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uwano\Documents\LapTimeSim\"/>
    </mc:Choice>
  </mc:AlternateContent>
  <bookViews>
    <workbookView xWindow="8370" yWindow="0" windowWidth="18270" windowHeight="7920" firstSheet="1" activeTab="1"/>
  </bookViews>
  <sheets>
    <sheet name="Traveling_Line" sheetId="1" r:id="rId1"/>
    <sheet name="ENG_Calc" sheetId="3" r:id="rId2"/>
    <sheet name="Speed_Calc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03" i="3" l="1"/>
  <c r="D1103" i="3" s="1"/>
  <c r="E1103" i="3" s="1"/>
  <c r="F1103" i="3" s="1"/>
  <c r="H1103" i="3" s="1"/>
  <c r="G1103" i="3"/>
  <c r="I1103" i="3"/>
  <c r="C1104" i="3"/>
  <c r="D1104" i="3"/>
  <c r="E1104" i="3" s="1"/>
  <c r="F1104" i="3" s="1"/>
  <c r="H1104" i="3" s="1"/>
  <c r="G1104" i="3"/>
  <c r="I1104" i="3"/>
  <c r="C1105" i="3"/>
  <c r="D1105" i="3" s="1"/>
  <c r="E1105" i="3" s="1"/>
  <c r="F1105" i="3" s="1"/>
  <c r="H1105" i="3" s="1"/>
  <c r="G1105" i="3"/>
  <c r="I1105" i="3"/>
  <c r="C1106" i="3"/>
  <c r="D1106" i="3"/>
  <c r="E1106" i="3" s="1"/>
  <c r="F1106" i="3"/>
  <c r="H1106" i="3" s="1"/>
  <c r="G1106" i="3"/>
  <c r="I1106" i="3"/>
  <c r="C1107" i="3"/>
  <c r="D1107" i="3" s="1"/>
  <c r="E1107" i="3" s="1"/>
  <c r="F1107" i="3" s="1"/>
  <c r="G1107" i="3"/>
  <c r="I1107" i="3"/>
  <c r="C1108" i="3"/>
  <c r="D1108" i="3" s="1"/>
  <c r="E1108" i="3" s="1"/>
  <c r="F1108" i="3" s="1"/>
  <c r="G1108" i="3"/>
  <c r="H1108" i="3"/>
  <c r="I1108" i="3"/>
  <c r="C1109" i="3"/>
  <c r="D1109" i="3" s="1"/>
  <c r="E1109" i="3" s="1"/>
  <c r="F1109" i="3" s="1"/>
  <c r="H1109" i="3" s="1"/>
  <c r="G1109" i="3"/>
  <c r="I1109" i="3"/>
  <c r="C1110" i="3"/>
  <c r="D1110" i="3"/>
  <c r="E1110" i="3" s="1"/>
  <c r="F1110" i="3" s="1"/>
  <c r="H1110" i="3" s="1"/>
  <c r="G1110" i="3"/>
  <c r="I1110" i="3"/>
  <c r="C1111" i="3"/>
  <c r="D1111" i="3" s="1"/>
  <c r="E1111" i="3" s="1"/>
  <c r="F1111" i="3" s="1"/>
  <c r="H1111" i="3" s="1"/>
  <c r="G1111" i="3"/>
  <c r="I1111" i="3"/>
  <c r="C1112" i="3"/>
  <c r="D1112" i="3"/>
  <c r="E1112" i="3" s="1"/>
  <c r="F1112" i="3" s="1"/>
  <c r="H1112" i="3" s="1"/>
  <c r="G1112" i="3"/>
  <c r="I1112" i="3"/>
  <c r="C1113" i="3"/>
  <c r="D1113" i="3" s="1"/>
  <c r="E1113" i="3" s="1"/>
  <c r="F1113" i="3" s="1"/>
  <c r="H1113" i="3" s="1"/>
  <c r="G1113" i="3"/>
  <c r="I1113" i="3"/>
  <c r="C1114" i="3"/>
  <c r="D1114" i="3"/>
  <c r="E1114" i="3" s="1"/>
  <c r="F1114" i="3"/>
  <c r="H1114" i="3" s="1"/>
  <c r="G1114" i="3"/>
  <c r="I1114" i="3"/>
  <c r="C1115" i="3"/>
  <c r="D1115" i="3"/>
  <c r="E1115" i="3"/>
  <c r="F1115" i="3" s="1"/>
  <c r="G1115" i="3"/>
  <c r="I1115" i="3"/>
  <c r="C1116" i="3"/>
  <c r="D1116" i="3" s="1"/>
  <c r="E1116" i="3" s="1"/>
  <c r="F1116" i="3" s="1"/>
  <c r="G1116" i="3"/>
  <c r="H1116" i="3"/>
  <c r="I1116" i="3"/>
  <c r="C1117" i="3"/>
  <c r="D1117" i="3" s="1"/>
  <c r="E1117" i="3" s="1"/>
  <c r="F1117" i="3" s="1"/>
  <c r="H1117" i="3" s="1"/>
  <c r="G1117" i="3"/>
  <c r="I1117" i="3"/>
  <c r="C1118" i="3"/>
  <c r="D1118" i="3"/>
  <c r="E1118" i="3" s="1"/>
  <c r="F1118" i="3" s="1"/>
  <c r="H1118" i="3" s="1"/>
  <c r="G1118" i="3"/>
  <c r="I1118" i="3"/>
  <c r="C1119" i="3"/>
  <c r="D1119" i="3" s="1"/>
  <c r="E1119" i="3" s="1"/>
  <c r="F1119" i="3" s="1"/>
  <c r="H1119" i="3" s="1"/>
  <c r="G1119" i="3"/>
  <c r="I1119" i="3"/>
  <c r="C1120" i="3"/>
  <c r="D1120" i="3"/>
  <c r="E1120" i="3" s="1"/>
  <c r="F1120" i="3" s="1"/>
  <c r="H1120" i="3" s="1"/>
  <c r="G1120" i="3"/>
  <c r="I1120" i="3"/>
  <c r="C1121" i="3"/>
  <c r="D1121" i="3" s="1"/>
  <c r="E1121" i="3" s="1"/>
  <c r="F1121" i="3" s="1"/>
  <c r="H1121" i="3" s="1"/>
  <c r="G1121" i="3"/>
  <c r="I1121" i="3"/>
  <c r="C1122" i="3"/>
  <c r="D1122" i="3"/>
  <c r="E1122" i="3" s="1"/>
  <c r="F1122" i="3"/>
  <c r="H1122" i="3" s="1"/>
  <c r="G1122" i="3"/>
  <c r="I1122" i="3"/>
  <c r="C1123" i="3"/>
  <c r="D1123" i="3"/>
  <c r="E1123" i="3"/>
  <c r="F1123" i="3" s="1"/>
  <c r="G1123" i="3"/>
  <c r="I1123" i="3"/>
  <c r="C1124" i="3"/>
  <c r="D1124" i="3" s="1"/>
  <c r="E1124" i="3" s="1"/>
  <c r="F1124" i="3" s="1"/>
  <c r="G1124" i="3"/>
  <c r="H1124" i="3"/>
  <c r="I1124" i="3"/>
  <c r="C1125" i="3"/>
  <c r="D1125" i="3" s="1"/>
  <c r="E1125" i="3" s="1"/>
  <c r="F1125" i="3" s="1"/>
  <c r="H1125" i="3" s="1"/>
  <c r="G1125" i="3"/>
  <c r="I1125" i="3"/>
  <c r="C1126" i="3"/>
  <c r="D1126" i="3"/>
  <c r="E1126" i="3" s="1"/>
  <c r="F1126" i="3" s="1"/>
  <c r="H1126" i="3" s="1"/>
  <c r="G1126" i="3"/>
  <c r="I1126" i="3"/>
  <c r="C1127" i="3"/>
  <c r="D1127" i="3" s="1"/>
  <c r="E1127" i="3" s="1"/>
  <c r="F1127" i="3" s="1"/>
  <c r="H1127" i="3" s="1"/>
  <c r="G1127" i="3"/>
  <c r="I1127" i="3"/>
  <c r="C1128" i="3"/>
  <c r="D1128" i="3"/>
  <c r="E1128" i="3" s="1"/>
  <c r="F1128" i="3" s="1"/>
  <c r="H1128" i="3" s="1"/>
  <c r="G1128" i="3"/>
  <c r="I1128" i="3"/>
  <c r="C1129" i="3"/>
  <c r="D1129" i="3" s="1"/>
  <c r="E1129" i="3" s="1"/>
  <c r="F1129" i="3" s="1"/>
  <c r="H1129" i="3" s="1"/>
  <c r="G1129" i="3"/>
  <c r="I1129" i="3"/>
  <c r="C1130" i="3"/>
  <c r="D1130" i="3"/>
  <c r="E1130" i="3" s="1"/>
  <c r="F1130" i="3"/>
  <c r="H1130" i="3" s="1"/>
  <c r="G1130" i="3"/>
  <c r="I1130" i="3"/>
  <c r="C1131" i="3"/>
  <c r="D1131" i="3"/>
  <c r="E1131" i="3"/>
  <c r="F1131" i="3" s="1"/>
  <c r="G1131" i="3"/>
  <c r="I1131" i="3"/>
  <c r="C1132" i="3"/>
  <c r="D1132" i="3" s="1"/>
  <c r="E1132" i="3" s="1"/>
  <c r="F1132" i="3" s="1"/>
  <c r="G1132" i="3"/>
  <c r="H1132" i="3"/>
  <c r="I1132" i="3"/>
  <c r="C1133" i="3"/>
  <c r="D1133" i="3" s="1"/>
  <c r="E1133" i="3" s="1"/>
  <c r="F1133" i="3" s="1"/>
  <c r="H1133" i="3" s="1"/>
  <c r="G1133" i="3"/>
  <c r="I1133" i="3"/>
  <c r="C1134" i="3"/>
  <c r="D1134" i="3"/>
  <c r="E1134" i="3" s="1"/>
  <c r="F1134" i="3" s="1"/>
  <c r="H1134" i="3" s="1"/>
  <c r="G1134" i="3"/>
  <c r="I1134" i="3"/>
  <c r="C1135" i="3"/>
  <c r="D1135" i="3" s="1"/>
  <c r="E1135" i="3" s="1"/>
  <c r="F1135" i="3" s="1"/>
  <c r="H1135" i="3" s="1"/>
  <c r="G1135" i="3"/>
  <c r="I1135" i="3"/>
  <c r="C1136" i="3"/>
  <c r="D1136" i="3"/>
  <c r="E1136" i="3" s="1"/>
  <c r="F1136" i="3" s="1"/>
  <c r="H1136" i="3" s="1"/>
  <c r="G1136" i="3"/>
  <c r="I1136" i="3"/>
  <c r="C1137" i="3"/>
  <c r="D1137" i="3" s="1"/>
  <c r="E1137" i="3" s="1"/>
  <c r="F1137" i="3" s="1"/>
  <c r="H1137" i="3" s="1"/>
  <c r="G1137" i="3"/>
  <c r="I1137" i="3"/>
  <c r="C1138" i="3"/>
  <c r="D1138" i="3"/>
  <c r="E1138" i="3" s="1"/>
  <c r="F1138" i="3"/>
  <c r="H1138" i="3" s="1"/>
  <c r="G1138" i="3"/>
  <c r="I1138" i="3"/>
  <c r="C1139" i="3"/>
  <c r="D1139" i="3"/>
  <c r="E1139" i="3"/>
  <c r="F1139" i="3" s="1"/>
  <c r="G1139" i="3"/>
  <c r="I1139" i="3"/>
  <c r="C1140" i="3"/>
  <c r="D1140" i="3" s="1"/>
  <c r="E1140" i="3" s="1"/>
  <c r="F1140" i="3" s="1"/>
  <c r="G1140" i="3"/>
  <c r="H1140" i="3"/>
  <c r="I1140" i="3"/>
  <c r="C1141" i="3"/>
  <c r="D1141" i="3" s="1"/>
  <c r="E1141" i="3" s="1"/>
  <c r="F1141" i="3" s="1"/>
  <c r="H1141" i="3" s="1"/>
  <c r="G1141" i="3"/>
  <c r="I1141" i="3"/>
  <c r="C1142" i="3"/>
  <c r="D1142" i="3"/>
  <c r="E1142" i="3" s="1"/>
  <c r="F1142" i="3" s="1"/>
  <c r="H1142" i="3" s="1"/>
  <c r="G1142" i="3"/>
  <c r="I1142" i="3"/>
  <c r="C1143" i="3"/>
  <c r="D1143" i="3" s="1"/>
  <c r="E1143" i="3" s="1"/>
  <c r="F1143" i="3" s="1"/>
  <c r="H1143" i="3" s="1"/>
  <c r="G1143" i="3"/>
  <c r="I1143" i="3"/>
  <c r="C1144" i="3"/>
  <c r="D1144" i="3"/>
  <c r="E1144" i="3" s="1"/>
  <c r="F1144" i="3" s="1"/>
  <c r="H1144" i="3" s="1"/>
  <c r="G1144" i="3"/>
  <c r="I1144" i="3"/>
  <c r="C1145" i="3"/>
  <c r="D1145" i="3" s="1"/>
  <c r="E1145" i="3" s="1"/>
  <c r="F1145" i="3" s="1"/>
  <c r="H1145" i="3" s="1"/>
  <c r="G1145" i="3"/>
  <c r="I1145" i="3"/>
  <c r="C1146" i="3"/>
  <c r="D1146" i="3"/>
  <c r="E1146" i="3" s="1"/>
  <c r="F1146" i="3"/>
  <c r="H1146" i="3" s="1"/>
  <c r="G1146" i="3"/>
  <c r="I1146" i="3"/>
  <c r="C1147" i="3"/>
  <c r="D1147" i="3"/>
  <c r="E1147" i="3"/>
  <c r="F1147" i="3" s="1"/>
  <c r="G1147" i="3"/>
  <c r="I1147" i="3"/>
  <c r="C1148" i="3"/>
  <c r="D1148" i="3" s="1"/>
  <c r="E1148" i="3" s="1"/>
  <c r="F1148" i="3" s="1"/>
  <c r="G1148" i="3"/>
  <c r="H1148" i="3"/>
  <c r="I1148" i="3"/>
  <c r="C1149" i="3"/>
  <c r="D1149" i="3" s="1"/>
  <c r="E1149" i="3" s="1"/>
  <c r="F1149" i="3" s="1"/>
  <c r="H1149" i="3" s="1"/>
  <c r="G1149" i="3"/>
  <c r="I1149" i="3"/>
  <c r="C1150" i="3"/>
  <c r="D1150" i="3"/>
  <c r="E1150" i="3" s="1"/>
  <c r="F1150" i="3" s="1"/>
  <c r="H1150" i="3" s="1"/>
  <c r="G1150" i="3"/>
  <c r="I1150" i="3"/>
  <c r="C1151" i="3"/>
  <c r="D1151" i="3" s="1"/>
  <c r="E1151" i="3" s="1"/>
  <c r="F1151" i="3" s="1"/>
  <c r="H1151" i="3" s="1"/>
  <c r="G1151" i="3"/>
  <c r="I1151" i="3"/>
  <c r="C1152" i="3"/>
  <c r="D1152" i="3"/>
  <c r="E1152" i="3" s="1"/>
  <c r="F1152" i="3" s="1"/>
  <c r="H1152" i="3" s="1"/>
  <c r="G1152" i="3"/>
  <c r="I1152" i="3"/>
  <c r="C1153" i="3"/>
  <c r="D1153" i="3" s="1"/>
  <c r="E1153" i="3" s="1"/>
  <c r="F1153" i="3" s="1"/>
  <c r="H1153" i="3" s="1"/>
  <c r="G1153" i="3"/>
  <c r="I1153" i="3"/>
  <c r="C1154" i="3"/>
  <c r="D1154" i="3"/>
  <c r="E1154" i="3" s="1"/>
  <c r="F1154" i="3"/>
  <c r="H1154" i="3" s="1"/>
  <c r="G1154" i="3"/>
  <c r="I1154" i="3"/>
  <c r="C1155" i="3"/>
  <c r="D1155" i="3"/>
  <c r="E1155" i="3"/>
  <c r="F1155" i="3" s="1"/>
  <c r="G1155" i="3"/>
  <c r="I1155" i="3"/>
  <c r="C1156" i="3"/>
  <c r="D1156" i="3" s="1"/>
  <c r="E1156" i="3" s="1"/>
  <c r="F1156" i="3"/>
  <c r="H1156" i="3" s="1"/>
  <c r="G1156" i="3"/>
  <c r="I1156" i="3"/>
  <c r="C1157" i="3"/>
  <c r="D1157" i="3" s="1"/>
  <c r="E1157" i="3" s="1"/>
  <c r="F1157" i="3" s="1"/>
  <c r="G1157" i="3"/>
  <c r="I1157" i="3"/>
  <c r="C1158" i="3"/>
  <c r="D1158" i="3"/>
  <c r="E1158" i="3" s="1"/>
  <c r="F1158" i="3" s="1"/>
  <c r="H1158" i="3" s="1"/>
  <c r="G1158" i="3"/>
  <c r="I1158" i="3"/>
  <c r="C1159" i="3"/>
  <c r="D1159" i="3" s="1"/>
  <c r="E1159" i="3" s="1"/>
  <c r="F1159" i="3" s="1"/>
  <c r="H1159" i="3" s="1"/>
  <c r="G1159" i="3"/>
  <c r="I1159" i="3"/>
  <c r="C1160" i="3"/>
  <c r="D1160" i="3"/>
  <c r="E1160" i="3" s="1"/>
  <c r="F1160" i="3" s="1"/>
  <c r="H1160" i="3" s="1"/>
  <c r="G1160" i="3"/>
  <c r="I1160" i="3"/>
  <c r="C1161" i="3"/>
  <c r="D1161" i="3" s="1"/>
  <c r="E1161" i="3" s="1"/>
  <c r="F1161" i="3" s="1"/>
  <c r="H1161" i="3" s="1"/>
  <c r="G1161" i="3"/>
  <c r="I1161" i="3"/>
  <c r="C1162" i="3"/>
  <c r="D1162" i="3"/>
  <c r="E1162" i="3" s="1"/>
  <c r="F1162" i="3"/>
  <c r="H1162" i="3" s="1"/>
  <c r="G1162" i="3"/>
  <c r="I1162" i="3"/>
  <c r="C1163" i="3"/>
  <c r="D1163" i="3"/>
  <c r="E1163" i="3"/>
  <c r="F1163" i="3" s="1"/>
  <c r="G1163" i="3"/>
  <c r="I1163" i="3"/>
  <c r="C1164" i="3"/>
  <c r="D1164" i="3" s="1"/>
  <c r="E1164" i="3" s="1"/>
  <c r="F1164" i="3" s="1"/>
  <c r="H1164" i="3" s="1"/>
  <c r="G1164" i="3"/>
  <c r="I1164" i="3"/>
  <c r="C1165" i="3"/>
  <c r="D1165" i="3" s="1"/>
  <c r="E1165" i="3" s="1"/>
  <c r="F1165" i="3" s="1"/>
  <c r="G1165" i="3"/>
  <c r="I1165" i="3"/>
  <c r="C1166" i="3"/>
  <c r="D1166" i="3"/>
  <c r="E1166" i="3" s="1"/>
  <c r="F1166" i="3" s="1"/>
  <c r="G1166" i="3"/>
  <c r="H1166" i="3"/>
  <c r="I1166" i="3"/>
  <c r="C1167" i="3"/>
  <c r="D1167" i="3" s="1"/>
  <c r="E1167" i="3"/>
  <c r="F1167" i="3" s="1"/>
  <c r="H1167" i="3" s="1"/>
  <c r="G1167" i="3"/>
  <c r="I1167" i="3"/>
  <c r="C1168" i="3"/>
  <c r="D1168" i="3"/>
  <c r="E1168" i="3" s="1"/>
  <c r="F1168" i="3" s="1"/>
  <c r="H1168" i="3" s="1"/>
  <c r="G1168" i="3"/>
  <c r="I1168" i="3"/>
  <c r="C1169" i="3"/>
  <c r="D1169" i="3" s="1"/>
  <c r="E1169" i="3"/>
  <c r="F1169" i="3" s="1"/>
  <c r="G1169" i="3"/>
  <c r="I1169" i="3"/>
  <c r="C1170" i="3"/>
  <c r="D1170" i="3"/>
  <c r="E1170" i="3" s="1"/>
  <c r="F1170" i="3"/>
  <c r="H1170" i="3" s="1"/>
  <c r="G1170" i="3"/>
  <c r="I1170" i="3"/>
  <c r="C1171" i="3"/>
  <c r="D1171" i="3"/>
  <c r="E1171" i="3"/>
  <c r="F1171" i="3" s="1"/>
  <c r="H1171" i="3" s="1"/>
  <c r="G1171" i="3"/>
  <c r="I1171" i="3"/>
  <c r="C1172" i="3"/>
  <c r="D1172" i="3" s="1"/>
  <c r="E1172" i="3" s="1"/>
  <c r="F1172" i="3"/>
  <c r="G1172" i="3"/>
  <c r="H1172" i="3"/>
  <c r="I1172" i="3"/>
  <c r="C1173" i="3"/>
  <c r="D1173" i="3" s="1"/>
  <c r="E1173" i="3" s="1"/>
  <c r="F1173" i="3" s="1"/>
  <c r="H1173" i="3" s="1"/>
  <c r="G1173" i="3"/>
  <c r="I1173" i="3"/>
  <c r="C1174" i="3"/>
  <c r="D1174" i="3"/>
  <c r="E1174" i="3" s="1"/>
  <c r="F1174" i="3" s="1"/>
  <c r="G1174" i="3"/>
  <c r="H1174" i="3"/>
  <c r="I1174" i="3"/>
  <c r="C1175" i="3"/>
  <c r="D1175" i="3" s="1"/>
  <c r="E1175" i="3" s="1"/>
  <c r="F1175" i="3" s="1"/>
  <c r="H1175" i="3" s="1"/>
  <c r="G1175" i="3"/>
  <c r="I1175" i="3"/>
  <c r="C1176" i="3"/>
  <c r="D1176" i="3"/>
  <c r="E1176" i="3" s="1"/>
  <c r="F1176" i="3"/>
  <c r="H1176" i="3" s="1"/>
  <c r="G1176" i="3"/>
  <c r="I1176" i="3"/>
  <c r="C1177" i="3"/>
  <c r="D1177" i="3" s="1"/>
  <c r="E1177" i="3"/>
  <c r="F1177" i="3" s="1"/>
  <c r="H1177" i="3" s="1"/>
  <c r="G1177" i="3"/>
  <c r="I1177" i="3"/>
  <c r="C1178" i="3"/>
  <c r="D1178" i="3"/>
  <c r="E1178" i="3" s="1"/>
  <c r="F1178" i="3" s="1"/>
  <c r="H1178" i="3" s="1"/>
  <c r="G1178" i="3"/>
  <c r="I1178" i="3"/>
  <c r="C1179" i="3"/>
  <c r="D1179" i="3"/>
  <c r="E1179" i="3"/>
  <c r="F1179" i="3" s="1"/>
  <c r="G1179" i="3"/>
  <c r="I1179" i="3"/>
  <c r="C1180" i="3"/>
  <c r="D1180" i="3" s="1"/>
  <c r="E1180" i="3" s="1"/>
  <c r="F1180" i="3" s="1"/>
  <c r="H1180" i="3" s="1"/>
  <c r="G1180" i="3"/>
  <c r="I1180" i="3"/>
  <c r="C1181" i="3"/>
  <c r="D1181" i="3" s="1"/>
  <c r="E1181" i="3" s="1"/>
  <c r="F1181" i="3" s="1"/>
  <c r="G1181" i="3"/>
  <c r="I1181" i="3"/>
  <c r="C1182" i="3"/>
  <c r="D1182" i="3"/>
  <c r="E1182" i="3" s="1"/>
  <c r="F1182" i="3" s="1"/>
  <c r="H1182" i="3" s="1"/>
  <c r="G1182" i="3"/>
  <c r="I1182" i="3"/>
  <c r="C1183" i="3"/>
  <c r="D1183" i="3" s="1"/>
  <c r="E1183" i="3"/>
  <c r="F1183" i="3" s="1"/>
  <c r="H1183" i="3" s="1"/>
  <c r="G1183" i="3"/>
  <c r="I1183" i="3"/>
  <c r="C1184" i="3"/>
  <c r="D1184" i="3"/>
  <c r="E1184" i="3" s="1"/>
  <c r="F1184" i="3" s="1"/>
  <c r="H1184" i="3" s="1"/>
  <c r="G1184" i="3"/>
  <c r="I1184" i="3"/>
  <c r="C1185" i="3"/>
  <c r="D1185" i="3" s="1"/>
  <c r="E1185" i="3" s="1"/>
  <c r="F1185" i="3" s="1"/>
  <c r="G1185" i="3"/>
  <c r="I1185" i="3"/>
  <c r="C1186" i="3"/>
  <c r="D1186" i="3"/>
  <c r="E1186" i="3" s="1"/>
  <c r="F1186" i="3"/>
  <c r="G1186" i="3"/>
  <c r="H1186" i="3"/>
  <c r="I1186" i="3"/>
  <c r="C1187" i="3"/>
  <c r="D1187" i="3"/>
  <c r="E1187" i="3"/>
  <c r="F1187" i="3" s="1"/>
  <c r="H1187" i="3" s="1"/>
  <c r="G1187" i="3"/>
  <c r="I1187" i="3"/>
  <c r="C1188" i="3"/>
  <c r="D1188" i="3" s="1"/>
  <c r="E1188" i="3" s="1"/>
  <c r="F1188" i="3"/>
  <c r="G1188" i="3"/>
  <c r="H1188" i="3"/>
  <c r="I1188" i="3"/>
  <c r="C1189" i="3"/>
  <c r="D1189" i="3" s="1"/>
  <c r="E1189" i="3" s="1"/>
  <c r="F1189" i="3" s="1"/>
  <c r="H1189" i="3" s="1"/>
  <c r="G1189" i="3"/>
  <c r="I1189" i="3"/>
  <c r="C1190" i="3"/>
  <c r="D1190" i="3"/>
  <c r="E1190" i="3" s="1"/>
  <c r="F1190" i="3" s="1"/>
  <c r="G1190" i="3"/>
  <c r="H1190" i="3"/>
  <c r="I1190" i="3"/>
  <c r="C1191" i="3"/>
  <c r="D1191" i="3" s="1"/>
  <c r="E1191" i="3" s="1"/>
  <c r="F1191" i="3" s="1"/>
  <c r="H1191" i="3" s="1"/>
  <c r="G1191" i="3"/>
  <c r="I1191" i="3"/>
  <c r="C1192" i="3"/>
  <c r="D1192" i="3"/>
  <c r="E1192" i="3" s="1"/>
  <c r="F1192" i="3" s="1"/>
  <c r="H1192" i="3" s="1"/>
  <c r="G1192" i="3"/>
  <c r="I1192" i="3"/>
  <c r="C1193" i="3"/>
  <c r="D1193" i="3" s="1"/>
  <c r="E1193" i="3"/>
  <c r="F1193" i="3" s="1"/>
  <c r="G1193" i="3"/>
  <c r="I1193" i="3"/>
  <c r="C1194" i="3"/>
  <c r="D1194" i="3" s="1"/>
  <c r="E1194" i="3" s="1"/>
  <c r="F1194" i="3" s="1"/>
  <c r="H1194" i="3" s="1"/>
  <c r="G1194" i="3"/>
  <c r="I1194" i="3"/>
  <c r="C1195" i="3"/>
  <c r="D1195" i="3"/>
  <c r="E1195" i="3"/>
  <c r="F1195" i="3" s="1"/>
  <c r="H1195" i="3" s="1"/>
  <c r="G1195" i="3"/>
  <c r="I1195" i="3"/>
  <c r="C1196" i="3"/>
  <c r="D1196" i="3" s="1"/>
  <c r="E1196" i="3"/>
  <c r="F1196" i="3"/>
  <c r="H1196" i="3" s="1"/>
  <c r="G1196" i="3"/>
  <c r="I1196" i="3"/>
  <c r="C1197" i="3"/>
  <c r="D1197" i="3" s="1"/>
  <c r="E1197" i="3" s="1"/>
  <c r="F1197" i="3"/>
  <c r="H1197" i="3" s="1"/>
  <c r="G1197" i="3"/>
  <c r="I1197" i="3"/>
  <c r="C1198" i="3"/>
  <c r="D1198" i="3"/>
  <c r="E1198" i="3" s="1"/>
  <c r="F1198" i="3" s="1"/>
  <c r="G1198" i="3"/>
  <c r="H1198" i="3"/>
  <c r="I1198" i="3"/>
  <c r="C1199" i="3"/>
  <c r="D1199" i="3" s="1"/>
  <c r="E1199" i="3" s="1"/>
  <c r="F1199" i="3" s="1"/>
  <c r="H1199" i="3" s="1"/>
  <c r="G1199" i="3"/>
  <c r="I1199" i="3"/>
  <c r="C1200" i="3"/>
  <c r="D1200" i="3"/>
  <c r="E1200" i="3" s="1"/>
  <c r="F1200" i="3" s="1"/>
  <c r="H1200" i="3" s="1"/>
  <c r="G1200" i="3"/>
  <c r="I1200" i="3"/>
  <c r="C1201" i="3"/>
  <c r="D1201" i="3" s="1"/>
  <c r="E1201" i="3"/>
  <c r="F1201" i="3" s="1"/>
  <c r="G1201" i="3"/>
  <c r="I1201" i="3"/>
  <c r="C1202" i="3"/>
  <c r="D1202" i="3" s="1"/>
  <c r="E1202" i="3" s="1"/>
  <c r="F1202" i="3" s="1"/>
  <c r="H1202" i="3" s="1"/>
  <c r="G1202" i="3"/>
  <c r="I1202" i="3"/>
  <c r="C1203" i="3"/>
  <c r="D1203" i="3"/>
  <c r="E1203" i="3"/>
  <c r="F1203" i="3" s="1"/>
  <c r="H1203" i="3" s="1"/>
  <c r="G1203" i="3"/>
  <c r="I1203" i="3"/>
  <c r="C1204" i="3"/>
  <c r="D1204" i="3" s="1"/>
  <c r="E1204" i="3"/>
  <c r="F1204" i="3"/>
  <c r="H1204" i="3" s="1"/>
  <c r="G1204" i="3"/>
  <c r="I1204" i="3"/>
  <c r="C1205" i="3"/>
  <c r="D1205" i="3" s="1"/>
  <c r="E1205" i="3" s="1"/>
  <c r="F1205" i="3"/>
  <c r="H1205" i="3" s="1"/>
  <c r="G1205" i="3"/>
  <c r="I1205" i="3"/>
  <c r="C1206" i="3"/>
  <c r="D1206" i="3"/>
  <c r="E1206" i="3" s="1"/>
  <c r="F1206" i="3" s="1"/>
  <c r="H1206" i="3" s="1"/>
  <c r="G1206" i="3"/>
  <c r="I1206" i="3"/>
  <c r="C1207" i="3"/>
  <c r="D1207" i="3" s="1"/>
  <c r="E1207" i="3" s="1"/>
  <c r="F1207" i="3" s="1"/>
  <c r="H1207" i="3" s="1"/>
  <c r="G1207" i="3"/>
  <c r="I1207" i="3"/>
  <c r="C1208" i="3"/>
  <c r="D1208" i="3"/>
  <c r="E1208" i="3" s="1"/>
  <c r="F1208" i="3" s="1"/>
  <c r="H1208" i="3" s="1"/>
  <c r="G1208" i="3"/>
  <c r="I1208" i="3"/>
  <c r="C1209" i="3"/>
  <c r="D1209" i="3" s="1"/>
  <c r="E1209" i="3"/>
  <c r="F1209" i="3" s="1"/>
  <c r="G1209" i="3"/>
  <c r="I1209" i="3"/>
  <c r="C1210" i="3"/>
  <c r="D1210" i="3" s="1"/>
  <c r="E1210" i="3" s="1"/>
  <c r="F1210" i="3" s="1"/>
  <c r="H1210" i="3" s="1"/>
  <c r="G1210" i="3"/>
  <c r="I1210" i="3"/>
  <c r="C1211" i="3"/>
  <c r="D1211" i="3"/>
  <c r="E1211" i="3"/>
  <c r="F1211" i="3" s="1"/>
  <c r="H1211" i="3" s="1"/>
  <c r="G1211" i="3"/>
  <c r="I1211" i="3"/>
  <c r="C1212" i="3"/>
  <c r="D1212" i="3" s="1"/>
  <c r="E1212" i="3"/>
  <c r="F1212" i="3"/>
  <c r="H1212" i="3" s="1"/>
  <c r="G1212" i="3"/>
  <c r="I1212" i="3"/>
  <c r="C1213" i="3"/>
  <c r="D1213" i="3" s="1"/>
  <c r="E1213" i="3" s="1"/>
  <c r="F1213" i="3"/>
  <c r="H1213" i="3" s="1"/>
  <c r="G1213" i="3"/>
  <c r="I1213" i="3"/>
  <c r="C1214" i="3"/>
  <c r="D1214" i="3"/>
  <c r="E1214" i="3" s="1"/>
  <c r="F1214" i="3" s="1"/>
  <c r="H1214" i="3" s="1"/>
  <c r="G1214" i="3"/>
  <c r="I1214" i="3"/>
  <c r="C1215" i="3"/>
  <c r="D1215" i="3" s="1"/>
  <c r="E1215" i="3" s="1"/>
  <c r="F1215" i="3" s="1"/>
  <c r="H1215" i="3" s="1"/>
  <c r="G1215" i="3"/>
  <c r="I1215" i="3"/>
  <c r="C1216" i="3"/>
  <c r="D1216" i="3"/>
  <c r="E1216" i="3" s="1"/>
  <c r="F1216" i="3" s="1"/>
  <c r="H1216" i="3" s="1"/>
  <c r="G1216" i="3"/>
  <c r="I1216" i="3"/>
  <c r="C1217" i="3"/>
  <c r="D1217" i="3" s="1"/>
  <c r="E1217" i="3"/>
  <c r="F1217" i="3" s="1"/>
  <c r="G1217" i="3"/>
  <c r="I1217" i="3"/>
  <c r="C1218" i="3"/>
  <c r="D1218" i="3" s="1"/>
  <c r="E1218" i="3" s="1"/>
  <c r="F1218" i="3" s="1"/>
  <c r="H1218" i="3" s="1"/>
  <c r="G1218" i="3"/>
  <c r="I1218" i="3"/>
  <c r="C1219" i="3"/>
  <c r="D1219" i="3"/>
  <c r="E1219" i="3"/>
  <c r="F1219" i="3" s="1"/>
  <c r="H1219" i="3" s="1"/>
  <c r="G1219" i="3"/>
  <c r="I1219" i="3"/>
  <c r="C1220" i="3"/>
  <c r="D1220" i="3" s="1"/>
  <c r="E1220" i="3"/>
  <c r="F1220" i="3"/>
  <c r="H1220" i="3" s="1"/>
  <c r="G1220" i="3"/>
  <c r="I1220" i="3"/>
  <c r="C1221" i="3"/>
  <c r="D1221" i="3" s="1"/>
  <c r="E1221" i="3" s="1"/>
  <c r="F1221" i="3"/>
  <c r="H1221" i="3" s="1"/>
  <c r="G1221" i="3"/>
  <c r="I1221" i="3"/>
  <c r="C1222" i="3"/>
  <c r="D1222" i="3"/>
  <c r="E1222" i="3" s="1"/>
  <c r="F1222" i="3" s="1"/>
  <c r="G1222" i="3"/>
  <c r="H1222" i="3"/>
  <c r="I1222" i="3"/>
  <c r="C1223" i="3"/>
  <c r="D1223" i="3" s="1"/>
  <c r="E1223" i="3" s="1"/>
  <c r="F1223" i="3" s="1"/>
  <c r="H1223" i="3" s="1"/>
  <c r="G1223" i="3"/>
  <c r="I1223" i="3"/>
  <c r="C1224" i="3"/>
  <c r="D1224" i="3"/>
  <c r="E1224" i="3" s="1"/>
  <c r="F1224" i="3" s="1"/>
  <c r="H1224" i="3" s="1"/>
  <c r="G1224" i="3"/>
  <c r="I1224" i="3"/>
  <c r="C1225" i="3"/>
  <c r="D1225" i="3" s="1"/>
  <c r="E1225" i="3"/>
  <c r="F1225" i="3" s="1"/>
  <c r="G1225" i="3"/>
  <c r="I1225" i="3"/>
  <c r="C1226" i="3"/>
  <c r="D1226" i="3" s="1"/>
  <c r="E1226" i="3" s="1"/>
  <c r="F1226" i="3" s="1"/>
  <c r="H1226" i="3" s="1"/>
  <c r="G1226" i="3"/>
  <c r="I1226" i="3"/>
  <c r="C1227" i="3"/>
  <c r="D1227" i="3"/>
  <c r="E1227" i="3"/>
  <c r="F1227" i="3" s="1"/>
  <c r="H1227" i="3" s="1"/>
  <c r="G1227" i="3"/>
  <c r="I1227" i="3"/>
  <c r="C1228" i="3"/>
  <c r="D1228" i="3" s="1"/>
  <c r="E1228" i="3"/>
  <c r="F1228" i="3"/>
  <c r="H1228" i="3" s="1"/>
  <c r="G1228" i="3"/>
  <c r="I1228" i="3"/>
  <c r="C1229" i="3"/>
  <c r="D1229" i="3" s="1"/>
  <c r="E1229" i="3" s="1"/>
  <c r="F1229" i="3"/>
  <c r="H1229" i="3" s="1"/>
  <c r="G1229" i="3"/>
  <c r="I1229" i="3"/>
  <c r="C1230" i="3"/>
  <c r="D1230" i="3"/>
  <c r="E1230" i="3" s="1"/>
  <c r="F1230" i="3" s="1"/>
  <c r="G1230" i="3"/>
  <c r="H1230" i="3"/>
  <c r="I1230" i="3"/>
  <c r="C1231" i="3"/>
  <c r="D1231" i="3" s="1"/>
  <c r="E1231" i="3" s="1"/>
  <c r="F1231" i="3" s="1"/>
  <c r="H1231" i="3" s="1"/>
  <c r="G1231" i="3"/>
  <c r="I1231" i="3"/>
  <c r="C1232" i="3"/>
  <c r="D1232" i="3"/>
  <c r="E1232" i="3" s="1"/>
  <c r="F1232" i="3" s="1"/>
  <c r="H1232" i="3" s="1"/>
  <c r="G1232" i="3"/>
  <c r="I1232" i="3"/>
  <c r="C1233" i="3"/>
  <c r="D1233" i="3" s="1"/>
  <c r="E1233" i="3"/>
  <c r="F1233" i="3" s="1"/>
  <c r="G1233" i="3"/>
  <c r="I1233" i="3"/>
  <c r="C1234" i="3"/>
  <c r="D1234" i="3" s="1"/>
  <c r="E1234" i="3" s="1"/>
  <c r="F1234" i="3" s="1"/>
  <c r="H1234" i="3" s="1"/>
  <c r="G1234" i="3"/>
  <c r="I1234" i="3"/>
  <c r="C1235" i="3"/>
  <c r="D1235" i="3"/>
  <c r="E1235" i="3"/>
  <c r="F1235" i="3" s="1"/>
  <c r="H1235" i="3" s="1"/>
  <c r="G1235" i="3"/>
  <c r="I1235" i="3"/>
  <c r="C1236" i="3"/>
  <c r="D1236" i="3" s="1"/>
  <c r="E1236" i="3"/>
  <c r="F1236" i="3"/>
  <c r="H1236" i="3" s="1"/>
  <c r="G1236" i="3"/>
  <c r="I1236" i="3"/>
  <c r="C1237" i="3"/>
  <c r="D1237" i="3" s="1"/>
  <c r="E1237" i="3" s="1"/>
  <c r="F1237" i="3"/>
  <c r="H1237" i="3" s="1"/>
  <c r="G1237" i="3"/>
  <c r="I1237" i="3"/>
  <c r="C1238" i="3"/>
  <c r="D1238" i="3"/>
  <c r="E1238" i="3" s="1"/>
  <c r="F1238" i="3" s="1"/>
  <c r="G1238" i="3"/>
  <c r="H1238" i="3"/>
  <c r="I1238" i="3"/>
  <c r="C1239" i="3"/>
  <c r="D1239" i="3" s="1"/>
  <c r="E1239" i="3" s="1"/>
  <c r="F1239" i="3" s="1"/>
  <c r="H1239" i="3" s="1"/>
  <c r="G1239" i="3"/>
  <c r="I1239" i="3"/>
  <c r="C1240" i="3"/>
  <c r="D1240" i="3"/>
  <c r="E1240" i="3" s="1"/>
  <c r="F1240" i="3" s="1"/>
  <c r="H1240" i="3" s="1"/>
  <c r="G1240" i="3"/>
  <c r="I1240" i="3"/>
  <c r="C1241" i="3"/>
  <c r="D1241" i="3" s="1"/>
  <c r="E1241" i="3"/>
  <c r="F1241" i="3" s="1"/>
  <c r="G1241" i="3"/>
  <c r="I1241" i="3"/>
  <c r="C1242" i="3"/>
  <c r="D1242" i="3" s="1"/>
  <c r="E1242" i="3" s="1"/>
  <c r="F1242" i="3" s="1"/>
  <c r="H1242" i="3" s="1"/>
  <c r="G1242" i="3"/>
  <c r="I1242" i="3"/>
  <c r="C1243" i="3"/>
  <c r="D1243" i="3"/>
  <c r="E1243" i="3"/>
  <c r="F1243" i="3" s="1"/>
  <c r="H1243" i="3" s="1"/>
  <c r="G1243" i="3"/>
  <c r="I1243" i="3"/>
  <c r="C1244" i="3"/>
  <c r="D1244" i="3" s="1"/>
  <c r="E1244" i="3"/>
  <c r="F1244" i="3"/>
  <c r="H1244" i="3" s="1"/>
  <c r="G1244" i="3"/>
  <c r="I1244" i="3"/>
  <c r="C1245" i="3"/>
  <c r="D1245" i="3" s="1"/>
  <c r="E1245" i="3" s="1"/>
  <c r="F1245" i="3"/>
  <c r="H1245" i="3" s="1"/>
  <c r="G1245" i="3"/>
  <c r="I1245" i="3"/>
  <c r="C1246" i="3"/>
  <c r="D1246" i="3"/>
  <c r="E1246" i="3" s="1"/>
  <c r="F1246" i="3" s="1"/>
  <c r="G1246" i="3"/>
  <c r="H1246" i="3"/>
  <c r="I1246" i="3"/>
  <c r="C1247" i="3"/>
  <c r="D1247" i="3" s="1"/>
  <c r="E1247" i="3" s="1"/>
  <c r="F1247" i="3" s="1"/>
  <c r="G1247" i="3"/>
  <c r="H1247" i="3"/>
  <c r="I1247" i="3"/>
  <c r="C1248" i="3"/>
  <c r="D1248" i="3"/>
  <c r="E1248" i="3"/>
  <c r="F1248" i="3" s="1"/>
  <c r="H1248" i="3" s="1"/>
  <c r="G1248" i="3"/>
  <c r="I1248" i="3"/>
  <c r="C1249" i="3"/>
  <c r="D1249" i="3" s="1"/>
  <c r="E1249" i="3" s="1"/>
  <c r="F1249" i="3" s="1"/>
  <c r="H1249" i="3" s="1"/>
  <c r="G1249" i="3"/>
  <c r="I1249" i="3"/>
  <c r="C1250" i="3"/>
  <c r="D1250" i="3"/>
  <c r="E1250" i="3" s="1"/>
  <c r="F1250" i="3" s="1"/>
  <c r="H1250" i="3" s="1"/>
  <c r="G1250" i="3"/>
  <c r="I1250" i="3"/>
  <c r="C1251" i="3"/>
  <c r="D1251" i="3"/>
  <c r="E1251" i="3" s="1"/>
  <c r="F1251" i="3" s="1"/>
  <c r="H1251" i="3" s="1"/>
  <c r="G1251" i="3"/>
  <c r="I1251" i="3"/>
  <c r="C1252" i="3"/>
  <c r="D1252" i="3" s="1"/>
  <c r="E1252" i="3"/>
  <c r="F1252" i="3" s="1"/>
  <c r="H1252" i="3" s="1"/>
  <c r="G1252" i="3"/>
  <c r="I1252" i="3"/>
  <c r="C1253" i="3"/>
  <c r="D1253" i="3" s="1"/>
  <c r="E1253" i="3" s="1"/>
  <c r="F1253" i="3"/>
  <c r="H1253" i="3" s="1"/>
  <c r="G1253" i="3"/>
  <c r="I1253" i="3"/>
  <c r="C1254" i="3"/>
  <c r="D1254" i="3"/>
  <c r="E1254" i="3" s="1"/>
  <c r="F1254" i="3" s="1"/>
  <c r="H1254" i="3" s="1"/>
  <c r="G1254" i="3"/>
  <c r="I1254" i="3"/>
  <c r="C1255" i="3"/>
  <c r="D1255" i="3" s="1"/>
  <c r="E1255" i="3" s="1"/>
  <c r="F1255" i="3" s="1"/>
  <c r="H1255" i="3" s="1"/>
  <c r="G1255" i="3"/>
  <c r="I1255" i="3"/>
  <c r="C1256" i="3"/>
  <c r="D1256" i="3"/>
  <c r="E1256" i="3"/>
  <c r="F1256" i="3" s="1"/>
  <c r="H1256" i="3" s="1"/>
  <c r="G1256" i="3"/>
  <c r="I1256" i="3"/>
  <c r="C1257" i="3"/>
  <c r="D1257" i="3" s="1"/>
  <c r="E1257" i="3" s="1"/>
  <c r="F1257" i="3" s="1"/>
  <c r="H1257" i="3" s="1"/>
  <c r="G1257" i="3"/>
  <c r="I1257" i="3"/>
  <c r="C1258" i="3"/>
  <c r="D1258" i="3"/>
  <c r="E1258" i="3" s="1"/>
  <c r="F1258" i="3" s="1"/>
  <c r="H1258" i="3" s="1"/>
  <c r="G1258" i="3"/>
  <c r="I1258" i="3"/>
  <c r="C1259" i="3"/>
  <c r="D1259" i="3"/>
  <c r="E1259" i="3" s="1"/>
  <c r="F1259" i="3" s="1"/>
  <c r="H1259" i="3" s="1"/>
  <c r="G1259" i="3"/>
  <c r="I1259" i="3"/>
  <c r="C1260" i="3"/>
  <c r="D1260" i="3" s="1"/>
  <c r="E1260" i="3"/>
  <c r="F1260" i="3"/>
  <c r="H1260" i="3" s="1"/>
  <c r="G1260" i="3"/>
  <c r="I1260" i="3"/>
  <c r="C1261" i="3"/>
  <c r="D1261" i="3" s="1"/>
  <c r="E1261" i="3" s="1"/>
  <c r="F1261" i="3" s="1"/>
  <c r="H1261" i="3" s="1"/>
  <c r="G1261" i="3"/>
  <c r="I1261" i="3"/>
  <c r="C1262" i="3"/>
  <c r="D1262" i="3"/>
  <c r="E1262" i="3" s="1"/>
  <c r="F1262" i="3" s="1"/>
  <c r="G1262" i="3"/>
  <c r="H1262" i="3" s="1"/>
  <c r="I1262" i="3"/>
  <c r="C1263" i="3"/>
  <c r="D1263" i="3"/>
  <c r="E1263" i="3"/>
  <c r="F1263" i="3"/>
  <c r="G1263" i="3"/>
  <c r="H1263" i="3"/>
  <c r="I1263" i="3"/>
  <c r="C1264" i="3"/>
  <c r="D1264" i="3"/>
  <c r="E1264" i="3"/>
  <c r="F1264" i="3"/>
  <c r="G1264" i="3"/>
  <c r="I1264" i="3"/>
  <c r="C1265" i="3"/>
  <c r="D1265" i="3" s="1"/>
  <c r="E1265" i="3" s="1"/>
  <c r="F1265" i="3"/>
  <c r="H1265" i="3" s="1"/>
  <c r="G1265" i="3"/>
  <c r="I1265" i="3"/>
  <c r="C1266" i="3"/>
  <c r="D1266" i="3" s="1"/>
  <c r="E1266" i="3" s="1"/>
  <c r="F1266" i="3" s="1"/>
  <c r="H1266" i="3" s="1"/>
  <c r="G1266" i="3"/>
  <c r="I1266" i="3"/>
  <c r="C1267" i="3"/>
  <c r="D1267" i="3"/>
  <c r="E1267" i="3"/>
  <c r="F1267" i="3" s="1"/>
  <c r="H1267" i="3" s="1"/>
  <c r="G1267" i="3"/>
  <c r="I1267" i="3"/>
  <c r="C1268" i="3"/>
  <c r="D1268" i="3" s="1"/>
  <c r="E1268" i="3" s="1"/>
  <c r="F1268" i="3" s="1"/>
  <c r="G1268" i="3"/>
  <c r="H1268" i="3"/>
  <c r="I1268" i="3"/>
  <c r="C1269" i="3"/>
  <c r="D1269" i="3"/>
  <c r="E1269" i="3" s="1"/>
  <c r="F1269" i="3" s="1"/>
  <c r="H1269" i="3" s="1"/>
  <c r="G1269" i="3"/>
  <c r="I1269" i="3"/>
  <c r="C1270" i="3"/>
  <c r="D1270" i="3"/>
  <c r="E1270" i="3" s="1"/>
  <c r="F1270" i="3" s="1"/>
  <c r="G1270" i="3"/>
  <c r="H1270" i="3"/>
  <c r="I1270" i="3"/>
  <c r="C1271" i="3"/>
  <c r="D1271" i="3"/>
  <c r="E1271" i="3"/>
  <c r="F1271" i="3"/>
  <c r="G1271" i="3"/>
  <c r="H1271" i="3"/>
  <c r="I1271" i="3"/>
  <c r="C1272" i="3"/>
  <c r="D1272" i="3"/>
  <c r="E1272" i="3"/>
  <c r="F1272" i="3"/>
  <c r="G1272" i="3"/>
  <c r="I1272" i="3"/>
  <c r="C1273" i="3"/>
  <c r="D1273" i="3" s="1"/>
  <c r="E1273" i="3"/>
  <c r="F1273" i="3" s="1"/>
  <c r="H1273" i="3" s="1"/>
  <c r="G1273" i="3"/>
  <c r="I1273" i="3"/>
  <c r="C1274" i="3"/>
  <c r="D1274" i="3" s="1"/>
  <c r="E1274" i="3" s="1"/>
  <c r="F1274" i="3"/>
  <c r="H1274" i="3" s="1"/>
  <c r="G1274" i="3"/>
  <c r="I1274" i="3"/>
  <c r="C1275" i="3"/>
  <c r="D1275" i="3"/>
  <c r="E1275" i="3" s="1"/>
  <c r="F1275" i="3" s="1"/>
  <c r="H1275" i="3" s="1"/>
  <c r="G1275" i="3"/>
  <c r="I1275" i="3"/>
  <c r="C1276" i="3"/>
  <c r="D1276" i="3"/>
  <c r="E1276" i="3"/>
  <c r="F1276" i="3" s="1"/>
  <c r="H1276" i="3" s="1"/>
  <c r="G1276" i="3"/>
  <c r="I1276" i="3"/>
  <c r="C1277" i="3"/>
  <c r="D1277" i="3"/>
  <c r="E1277" i="3"/>
  <c r="F1277" i="3"/>
  <c r="H1277" i="3" s="1"/>
  <c r="G1277" i="3"/>
  <c r="I1277" i="3"/>
  <c r="C1278" i="3"/>
  <c r="D1278" i="3" s="1"/>
  <c r="E1278" i="3" s="1"/>
  <c r="F1278" i="3" s="1"/>
  <c r="H1278" i="3" s="1"/>
  <c r="G1278" i="3"/>
  <c r="I1278" i="3"/>
  <c r="C1279" i="3"/>
  <c r="D1279" i="3"/>
  <c r="E1279" i="3" s="1"/>
  <c r="F1279" i="3" s="1"/>
  <c r="H1279" i="3" s="1"/>
  <c r="G1279" i="3"/>
  <c r="I1279" i="3"/>
  <c r="C1280" i="3"/>
  <c r="D1280" i="3" s="1"/>
  <c r="E1280" i="3"/>
  <c r="F1280" i="3" s="1"/>
  <c r="H1280" i="3" s="1"/>
  <c r="G1280" i="3"/>
  <c r="I1280" i="3"/>
  <c r="C1281" i="3"/>
  <c r="D1281" i="3"/>
  <c r="E1281" i="3" s="1"/>
  <c r="F1281" i="3" s="1"/>
  <c r="H1281" i="3" s="1"/>
  <c r="G1281" i="3"/>
  <c r="I1281" i="3"/>
  <c r="C1282" i="3"/>
  <c r="D1282" i="3" s="1"/>
  <c r="E1282" i="3"/>
  <c r="F1282" i="3" s="1"/>
  <c r="H1282" i="3" s="1"/>
  <c r="G1282" i="3"/>
  <c r="I1282" i="3"/>
  <c r="C1283" i="3"/>
  <c r="D1283" i="3"/>
  <c r="E1283" i="3" s="1"/>
  <c r="F1283" i="3"/>
  <c r="G1283" i="3"/>
  <c r="H1283" i="3"/>
  <c r="I1283" i="3"/>
  <c r="C1284" i="3"/>
  <c r="D1284" i="3"/>
  <c r="E1284" i="3"/>
  <c r="F1284" i="3" s="1"/>
  <c r="G1284" i="3"/>
  <c r="H1284" i="3"/>
  <c r="I1284" i="3"/>
  <c r="C1285" i="3"/>
  <c r="D1285" i="3"/>
  <c r="E1285" i="3"/>
  <c r="F1285" i="3" s="1"/>
  <c r="H1285" i="3" s="1"/>
  <c r="G1285" i="3"/>
  <c r="I1285" i="3"/>
  <c r="C1286" i="3"/>
  <c r="D1286" i="3" s="1"/>
  <c r="E1286" i="3" s="1"/>
  <c r="F1286" i="3"/>
  <c r="G1286" i="3"/>
  <c r="I1286" i="3"/>
  <c r="C1287" i="3"/>
  <c r="D1287" i="3"/>
  <c r="E1287" i="3" s="1"/>
  <c r="F1287" i="3" s="1"/>
  <c r="H1287" i="3" s="1"/>
  <c r="G1287" i="3"/>
  <c r="I1287" i="3"/>
  <c r="C1288" i="3"/>
  <c r="D1288" i="3"/>
  <c r="E1288" i="3" s="1"/>
  <c r="F1288" i="3" s="1"/>
  <c r="H1288" i="3" s="1"/>
  <c r="G1288" i="3"/>
  <c r="I1288" i="3"/>
  <c r="C1289" i="3"/>
  <c r="D1289" i="3"/>
  <c r="E1289" i="3"/>
  <c r="F1289" i="3"/>
  <c r="H1289" i="3" s="1"/>
  <c r="G1289" i="3"/>
  <c r="I1289" i="3"/>
  <c r="C1290" i="3"/>
  <c r="D1290" i="3" s="1"/>
  <c r="E1290" i="3" s="1"/>
  <c r="F1290" i="3"/>
  <c r="H1290" i="3" s="1"/>
  <c r="G1290" i="3"/>
  <c r="I1290" i="3"/>
  <c r="C1291" i="3"/>
  <c r="D1291" i="3" s="1"/>
  <c r="E1291" i="3" s="1"/>
  <c r="F1291" i="3" s="1"/>
  <c r="G1291" i="3"/>
  <c r="I1291" i="3"/>
  <c r="C1292" i="3"/>
  <c r="D1292" i="3" s="1"/>
  <c r="E1292" i="3" s="1"/>
  <c r="F1292" i="3" s="1"/>
  <c r="H1292" i="3" s="1"/>
  <c r="G1292" i="3"/>
  <c r="I1292" i="3"/>
  <c r="C1293" i="3"/>
  <c r="D1293" i="3"/>
  <c r="E1293" i="3"/>
  <c r="F1293" i="3" s="1"/>
  <c r="H1293" i="3" s="1"/>
  <c r="G1293" i="3"/>
  <c r="I1293" i="3"/>
  <c r="C1294" i="3"/>
  <c r="D1294" i="3" s="1"/>
  <c r="E1294" i="3" s="1"/>
  <c r="F1294" i="3" s="1"/>
  <c r="H1294" i="3" s="1"/>
  <c r="G1294" i="3"/>
  <c r="I1294" i="3"/>
  <c r="C1295" i="3"/>
  <c r="D1295" i="3" s="1"/>
  <c r="E1295" i="3" s="1"/>
  <c r="F1295" i="3" s="1"/>
  <c r="H1295" i="3" s="1"/>
  <c r="G1295" i="3"/>
  <c r="I1295" i="3"/>
  <c r="C1296" i="3"/>
  <c r="D1296" i="3" s="1"/>
  <c r="E1296" i="3" s="1"/>
  <c r="F1296" i="3" s="1"/>
  <c r="H1296" i="3" s="1"/>
  <c r="G1296" i="3"/>
  <c r="I1296" i="3"/>
  <c r="C1297" i="3"/>
  <c r="D1297" i="3"/>
  <c r="E1297" i="3" s="1"/>
  <c r="F1297" i="3" s="1"/>
  <c r="H1297" i="3" s="1"/>
  <c r="G1297" i="3"/>
  <c r="I1297" i="3"/>
  <c r="C1298" i="3"/>
  <c r="D1298" i="3" s="1"/>
  <c r="E1298" i="3" s="1"/>
  <c r="F1298" i="3" s="1"/>
  <c r="H1298" i="3" s="1"/>
  <c r="G1298" i="3"/>
  <c r="I1298" i="3"/>
  <c r="C1299" i="3"/>
  <c r="D1299" i="3" s="1"/>
  <c r="E1299" i="3" s="1"/>
  <c r="F1299" i="3" s="1"/>
  <c r="G1299" i="3"/>
  <c r="I1299" i="3"/>
  <c r="C1300" i="3"/>
  <c r="D1300" i="3"/>
  <c r="E1300" i="3" s="1"/>
  <c r="F1300" i="3" s="1"/>
  <c r="H1300" i="3" s="1"/>
  <c r="G1300" i="3"/>
  <c r="I1300" i="3"/>
  <c r="C1301" i="3"/>
  <c r="D1301" i="3"/>
  <c r="E1301" i="3" s="1"/>
  <c r="F1301" i="3" s="1"/>
  <c r="H1301" i="3" s="1"/>
  <c r="G1301" i="3"/>
  <c r="I1301" i="3"/>
  <c r="C1302" i="3"/>
  <c r="D1302" i="3" s="1"/>
  <c r="E1302" i="3" s="1"/>
  <c r="F1302" i="3" s="1"/>
  <c r="H1302" i="3" s="1"/>
  <c r="G1302" i="3"/>
  <c r="I1302" i="3"/>
  <c r="C1303" i="3"/>
  <c r="D1303" i="3" s="1"/>
  <c r="E1303" i="3" s="1"/>
  <c r="F1303" i="3" s="1"/>
  <c r="H1303" i="3" s="1"/>
  <c r="G1303" i="3"/>
  <c r="I1303" i="3"/>
  <c r="C1304" i="3"/>
  <c r="D1304" i="3"/>
  <c r="E1304" i="3" s="1"/>
  <c r="F1304" i="3" s="1"/>
  <c r="H1304" i="3" s="1"/>
  <c r="G1304" i="3"/>
  <c r="I1304" i="3"/>
  <c r="C1305" i="3"/>
  <c r="D1305" i="3"/>
  <c r="E1305" i="3"/>
  <c r="F1305" i="3" s="1"/>
  <c r="H1305" i="3" s="1"/>
  <c r="G1305" i="3"/>
  <c r="I1305" i="3"/>
  <c r="C1306" i="3"/>
  <c r="D1306" i="3" s="1"/>
  <c r="E1306" i="3" s="1"/>
  <c r="F1306" i="3"/>
  <c r="G1306" i="3"/>
  <c r="I1306" i="3"/>
  <c r="C1307" i="3"/>
  <c r="D1307" i="3" s="1"/>
  <c r="E1307" i="3" s="1"/>
  <c r="F1307" i="3" s="1"/>
  <c r="H1307" i="3" s="1"/>
  <c r="G1307" i="3"/>
  <c r="I1307" i="3"/>
  <c r="C1308" i="3"/>
  <c r="D1308" i="3" s="1"/>
  <c r="E1308" i="3" s="1"/>
  <c r="F1308" i="3" s="1"/>
  <c r="H1308" i="3" s="1"/>
  <c r="G1308" i="3"/>
  <c r="I1308" i="3"/>
  <c r="C1309" i="3"/>
  <c r="D1309" i="3"/>
  <c r="E1309" i="3"/>
  <c r="F1309" i="3" s="1"/>
  <c r="H1309" i="3" s="1"/>
  <c r="G1309" i="3"/>
  <c r="I1309" i="3"/>
  <c r="C1310" i="3"/>
  <c r="D1310" i="3" s="1"/>
  <c r="E1310" i="3" s="1"/>
  <c r="F1310" i="3" s="1"/>
  <c r="H1310" i="3" s="1"/>
  <c r="G1310" i="3"/>
  <c r="I1310" i="3"/>
  <c r="C1311" i="3"/>
  <c r="D1311" i="3" s="1"/>
  <c r="E1311" i="3" s="1"/>
  <c r="F1311" i="3" s="1"/>
  <c r="H1311" i="3" s="1"/>
  <c r="G1311" i="3"/>
  <c r="I1311" i="3"/>
  <c r="C1312" i="3"/>
  <c r="D1312" i="3"/>
  <c r="E1312" i="3" s="1"/>
  <c r="F1312" i="3" s="1"/>
  <c r="H1312" i="3" s="1"/>
  <c r="G1312" i="3"/>
  <c r="I1312" i="3"/>
  <c r="C1313" i="3"/>
  <c r="D1313" i="3"/>
  <c r="E1313" i="3" s="1"/>
  <c r="F1313" i="3" s="1"/>
  <c r="H1313" i="3" s="1"/>
  <c r="G1313" i="3"/>
  <c r="I1313" i="3"/>
  <c r="C1314" i="3"/>
  <c r="D1314" i="3" s="1"/>
  <c r="E1314" i="3" s="1"/>
  <c r="F1314" i="3" s="1"/>
  <c r="H1314" i="3" s="1"/>
  <c r="G1314" i="3"/>
  <c r="I1314" i="3"/>
  <c r="C1315" i="3"/>
  <c r="D1315" i="3" s="1"/>
  <c r="E1315" i="3" s="1"/>
  <c r="F1315" i="3" s="1"/>
  <c r="G1315" i="3"/>
  <c r="I1315" i="3"/>
  <c r="C1316" i="3"/>
  <c r="D1316" i="3"/>
  <c r="E1316" i="3" s="1"/>
  <c r="F1316" i="3" s="1"/>
  <c r="H1316" i="3" s="1"/>
  <c r="G1316" i="3"/>
  <c r="I1316" i="3"/>
  <c r="C1317" i="3"/>
  <c r="D1317" i="3"/>
  <c r="E1317" i="3"/>
  <c r="F1317" i="3" s="1"/>
  <c r="H1317" i="3" s="1"/>
  <c r="G1317" i="3"/>
  <c r="I1317" i="3"/>
  <c r="C1318" i="3"/>
  <c r="D1318" i="3" s="1"/>
  <c r="E1318" i="3" s="1"/>
  <c r="F1318" i="3" s="1"/>
  <c r="H1318" i="3" s="1"/>
  <c r="G1318" i="3"/>
  <c r="I1318" i="3"/>
  <c r="C1319" i="3"/>
  <c r="D1319" i="3" s="1"/>
  <c r="E1319" i="3" s="1"/>
  <c r="F1319" i="3" s="1"/>
  <c r="H1319" i="3" s="1"/>
  <c r="G1319" i="3"/>
  <c r="I1319" i="3"/>
  <c r="C1320" i="3"/>
  <c r="D1320" i="3"/>
  <c r="E1320" i="3" s="1"/>
  <c r="F1320" i="3" s="1"/>
  <c r="H1320" i="3" s="1"/>
  <c r="G1320" i="3"/>
  <c r="I1320" i="3"/>
  <c r="C1321" i="3"/>
  <c r="D1321" i="3"/>
  <c r="E1321" i="3"/>
  <c r="F1321" i="3" s="1"/>
  <c r="H1321" i="3" s="1"/>
  <c r="G1321" i="3"/>
  <c r="I1321" i="3"/>
  <c r="C1322" i="3"/>
  <c r="D1322" i="3" s="1"/>
  <c r="E1322" i="3" s="1"/>
  <c r="F1322" i="3"/>
  <c r="G1322" i="3"/>
  <c r="I1322" i="3"/>
  <c r="C1323" i="3"/>
  <c r="D1323" i="3" s="1"/>
  <c r="E1323" i="3" s="1"/>
  <c r="F1323" i="3" s="1"/>
  <c r="H1323" i="3" s="1"/>
  <c r="G1323" i="3"/>
  <c r="I1323" i="3"/>
  <c r="C1324" i="3"/>
  <c r="D1324" i="3" s="1"/>
  <c r="E1324" i="3" s="1"/>
  <c r="F1324" i="3" s="1"/>
  <c r="H1324" i="3" s="1"/>
  <c r="G1324" i="3"/>
  <c r="I1324" i="3"/>
  <c r="C1325" i="3"/>
  <c r="D1325" i="3"/>
  <c r="E1325" i="3"/>
  <c r="F1325" i="3" s="1"/>
  <c r="H1325" i="3" s="1"/>
  <c r="G1325" i="3"/>
  <c r="I1325" i="3"/>
  <c r="C1326" i="3"/>
  <c r="D1326" i="3" s="1"/>
  <c r="E1326" i="3" s="1"/>
  <c r="F1326" i="3" s="1"/>
  <c r="H1326" i="3" s="1"/>
  <c r="G1326" i="3"/>
  <c r="I1326" i="3"/>
  <c r="C1327" i="3"/>
  <c r="D1327" i="3" s="1"/>
  <c r="E1327" i="3" s="1"/>
  <c r="F1327" i="3" s="1"/>
  <c r="H1327" i="3" s="1"/>
  <c r="G1327" i="3"/>
  <c r="I1327" i="3"/>
  <c r="C1328" i="3"/>
  <c r="D1328" i="3"/>
  <c r="E1328" i="3" s="1"/>
  <c r="F1328" i="3" s="1"/>
  <c r="H1328" i="3" s="1"/>
  <c r="G1328" i="3"/>
  <c r="I1328" i="3"/>
  <c r="C1329" i="3"/>
  <c r="D1329" i="3"/>
  <c r="E1329" i="3" s="1"/>
  <c r="F1329" i="3" s="1"/>
  <c r="H1329" i="3" s="1"/>
  <c r="G1329" i="3"/>
  <c r="I1329" i="3"/>
  <c r="C1330" i="3"/>
  <c r="D1330" i="3" s="1"/>
  <c r="E1330" i="3" s="1"/>
  <c r="F1330" i="3" s="1"/>
  <c r="G1330" i="3"/>
  <c r="I1330" i="3"/>
  <c r="C1331" i="3"/>
  <c r="D1331" i="3" s="1"/>
  <c r="E1331" i="3" s="1"/>
  <c r="F1331" i="3" s="1"/>
  <c r="G1331" i="3"/>
  <c r="I1331" i="3"/>
  <c r="C1332" i="3"/>
  <c r="D1332" i="3"/>
  <c r="E1332" i="3" s="1"/>
  <c r="F1332" i="3" s="1"/>
  <c r="H1332" i="3" s="1"/>
  <c r="G1332" i="3"/>
  <c r="I1332" i="3"/>
  <c r="C1333" i="3"/>
  <c r="D1333" i="3"/>
  <c r="E1333" i="3"/>
  <c r="F1333" i="3" s="1"/>
  <c r="H1333" i="3" s="1"/>
  <c r="G1333" i="3"/>
  <c r="I1333" i="3"/>
  <c r="C1334" i="3"/>
  <c r="D1334" i="3" s="1"/>
  <c r="E1334" i="3" s="1"/>
  <c r="F1334" i="3" s="1"/>
  <c r="H1334" i="3" s="1"/>
  <c r="G1334" i="3"/>
  <c r="I1334" i="3"/>
  <c r="C1335" i="3"/>
  <c r="D1335" i="3" s="1"/>
  <c r="E1335" i="3" s="1"/>
  <c r="F1335" i="3" s="1"/>
  <c r="H1335" i="3" s="1"/>
  <c r="G1335" i="3"/>
  <c r="I1335" i="3"/>
  <c r="C1336" i="3"/>
  <c r="D1336" i="3"/>
  <c r="E1336" i="3" s="1"/>
  <c r="F1336" i="3" s="1"/>
  <c r="H1336" i="3" s="1"/>
  <c r="G1336" i="3"/>
  <c r="I1336" i="3"/>
  <c r="C1337" i="3"/>
  <c r="D1337" i="3"/>
  <c r="E1337" i="3"/>
  <c r="F1337" i="3" s="1"/>
  <c r="H1337" i="3" s="1"/>
  <c r="G1337" i="3"/>
  <c r="I1337" i="3"/>
  <c r="C1338" i="3"/>
  <c r="D1338" i="3" s="1"/>
  <c r="E1338" i="3" s="1"/>
  <c r="F1338" i="3"/>
  <c r="G1338" i="3"/>
  <c r="I1338" i="3"/>
  <c r="C1339" i="3"/>
  <c r="D1339" i="3" s="1"/>
  <c r="E1339" i="3" s="1"/>
  <c r="F1339" i="3" s="1"/>
  <c r="H1339" i="3" s="1"/>
  <c r="G1339" i="3"/>
  <c r="I1339" i="3"/>
  <c r="C1340" i="3"/>
  <c r="D1340" i="3" s="1"/>
  <c r="E1340" i="3" s="1"/>
  <c r="F1340" i="3" s="1"/>
  <c r="H1340" i="3" s="1"/>
  <c r="G1340" i="3"/>
  <c r="I1340" i="3"/>
  <c r="C1341" i="3"/>
  <c r="D1341" i="3"/>
  <c r="E1341" i="3"/>
  <c r="F1341" i="3" s="1"/>
  <c r="H1341" i="3" s="1"/>
  <c r="G1341" i="3"/>
  <c r="I1341" i="3"/>
  <c r="C1342" i="3"/>
  <c r="D1342" i="3" s="1"/>
  <c r="E1342" i="3" s="1"/>
  <c r="F1342" i="3" s="1"/>
  <c r="H1342" i="3" s="1"/>
  <c r="G1342" i="3"/>
  <c r="I1342" i="3"/>
  <c r="C1343" i="3"/>
  <c r="D1343" i="3" s="1"/>
  <c r="E1343" i="3" s="1"/>
  <c r="F1343" i="3" s="1"/>
  <c r="H1343" i="3" s="1"/>
  <c r="G1343" i="3"/>
  <c r="I1343" i="3"/>
  <c r="C1344" i="3"/>
  <c r="D1344" i="3"/>
  <c r="E1344" i="3" s="1"/>
  <c r="F1344" i="3" s="1"/>
  <c r="H1344" i="3" s="1"/>
  <c r="G1344" i="3"/>
  <c r="I1344" i="3"/>
  <c r="C1345" i="3"/>
  <c r="D1345" i="3"/>
  <c r="E1345" i="3" s="1"/>
  <c r="F1345" i="3" s="1"/>
  <c r="H1345" i="3" s="1"/>
  <c r="G1345" i="3"/>
  <c r="I1345" i="3"/>
  <c r="C1346" i="3"/>
  <c r="D1346" i="3" s="1"/>
  <c r="E1346" i="3" s="1"/>
  <c r="F1346" i="3" s="1"/>
  <c r="G1346" i="3"/>
  <c r="I1346" i="3"/>
  <c r="C1347" i="3"/>
  <c r="D1347" i="3" s="1"/>
  <c r="E1347" i="3" s="1"/>
  <c r="F1347" i="3" s="1"/>
  <c r="G1347" i="3"/>
  <c r="I1347" i="3"/>
  <c r="C1348" i="3"/>
  <c r="D1348" i="3"/>
  <c r="E1348" i="3" s="1"/>
  <c r="F1348" i="3" s="1"/>
  <c r="H1348" i="3" s="1"/>
  <c r="G1348" i="3"/>
  <c r="I1348" i="3"/>
  <c r="C1349" i="3"/>
  <c r="D1349" i="3"/>
  <c r="E1349" i="3"/>
  <c r="F1349" i="3" s="1"/>
  <c r="H1349" i="3" s="1"/>
  <c r="G1349" i="3"/>
  <c r="I1349" i="3"/>
  <c r="C1350" i="3"/>
  <c r="D1350" i="3" s="1"/>
  <c r="E1350" i="3" s="1"/>
  <c r="F1350" i="3" s="1"/>
  <c r="H1350" i="3" s="1"/>
  <c r="G1350" i="3"/>
  <c r="I1350" i="3"/>
  <c r="C1351" i="3"/>
  <c r="D1351" i="3" s="1"/>
  <c r="E1351" i="3" s="1"/>
  <c r="F1351" i="3" s="1"/>
  <c r="H1351" i="3" s="1"/>
  <c r="G1351" i="3"/>
  <c r="I1351" i="3"/>
  <c r="C1352" i="3"/>
  <c r="D1352" i="3"/>
  <c r="E1352" i="3" s="1"/>
  <c r="F1352" i="3" s="1"/>
  <c r="H1352" i="3" s="1"/>
  <c r="G1352" i="3"/>
  <c r="I1352" i="3"/>
  <c r="C1353" i="3"/>
  <c r="D1353" i="3"/>
  <c r="E1353" i="3"/>
  <c r="F1353" i="3" s="1"/>
  <c r="H1353" i="3" s="1"/>
  <c r="G1353" i="3"/>
  <c r="I1353" i="3"/>
  <c r="C1354" i="3"/>
  <c r="D1354" i="3" s="1"/>
  <c r="E1354" i="3" s="1"/>
  <c r="F1354" i="3"/>
  <c r="G1354" i="3"/>
  <c r="I1354" i="3"/>
  <c r="C1355" i="3"/>
  <c r="D1355" i="3" s="1"/>
  <c r="E1355" i="3" s="1"/>
  <c r="F1355" i="3" s="1"/>
  <c r="H1355" i="3" s="1"/>
  <c r="G1355" i="3"/>
  <c r="I1355" i="3"/>
  <c r="C1356" i="3"/>
  <c r="D1356" i="3" s="1"/>
  <c r="E1356" i="3" s="1"/>
  <c r="F1356" i="3" s="1"/>
  <c r="H1356" i="3" s="1"/>
  <c r="G1356" i="3"/>
  <c r="I1356" i="3"/>
  <c r="C1357" i="3"/>
  <c r="D1357" i="3"/>
  <c r="E1357" i="3"/>
  <c r="F1357" i="3" s="1"/>
  <c r="H1357" i="3" s="1"/>
  <c r="G1357" i="3"/>
  <c r="I1357" i="3"/>
  <c r="C1358" i="3"/>
  <c r="D1358" i="3" s="1"/>
  <c r="E1358" i="3" s="1"/>
  <c r="F1358" i="3" s="1"/>
  <c r="H1358" i="3" s="1"/>
  <c r="G1358" i="3"/>
  <c r="I1358" i="3"/>
  <c r="C1359" i="3"/>
  <c r="D1359" i="3" s="1"/>
  <c r="E1359" i="3" s="1"/>
  <c r="F1359" i="3" s="1"/>
  <c r="H1359" i="3" s="1"/>
  <c r="G1359" i="3"/>
  <c r="I1359" i="3"/>
  <c r="C1360" i="3"/>
  <c r="D1360" i="3"/>
  <c r="E1360" i="3" s="1"/>
  <c r="F1360" i="3" s="1"/>
  <c r="H1360" i="3" s="1"/>
  <c r="G1360" i="3"/>
  <c r="I1360" i="3"/>
  <c r="C1361" i="3"/>
  <c r="D1361" i="3"/>
  <c r="E1361" i="3" s="1"/>
  <c r="F1361" i="3" s="1"/>
  <c r="H1361" i="3" s="1"/>
  <c r="G1361" i="3"/>
  <c r="I1361" i="3"/>
  <c r="C1362" i="3"/>
  <c r="D1362" i="3" s="1"/>
  <c r="E1362" i="3" s="1"/>
  <c r="F1362" i="3" s="1"/>
  <c r="H1362" i="3" s="1"/>
  <c r="G1362" i="3"/>
  <c r="I1362" i="3"/>
  <c r="C1363" i="3"/>
  <c r="D1363" i="3" s="1"/>
  <c r="E1363" i="3" s="1"/>
  <c r="F1363" i="3" s="1"/>
  <c r="G1363" i="3"/>
  <c r="I1363" i="3"/>
  <c r="C1364" i="3"/>
  <c r="D1364" i="3"/>
  <c r="E1364" i="3" s="1"/>
  <c r="F1364" i="3" s="1"/>
  <c r="H1364" i="3" s="1"/>
  <c r="G1364" i="3"/>
  <c r="I1364" i="3"/>
  <c r="C1365" i="3"/>
  <c r="D1365" i="3"/>
  <c r="E1365" i="3"/>
  <c r="F1365" i="3" s="1"/>
  <c r="H1365" i="3" s="1"/>
  <c r="G1365" i="3"/>
  <c r="I1365" i="3"/>
  <c r="C1366" i="3"/>
  <c r="D1366" i="3" s="1"/>
  <c r="E1366" i="3" s="1"/>
  <c r="F1366" i="3" s="1"/>
  <c r="H1366" i="3" s="1"/>
  <c r="G1366" i="3"/>
  <c r="I1366" i="3"/>
  <c r="C1367" i="3"/>
  <c r="D1367" i="3" s="1"/>
  <c r="E1367" i="3" s="1"/>
  <c r="F1367" i="3" s="1"/>
  <c r="H1367" i="3" s="1"/>
  <c r="G1367" i="3"/>
  <c r="I1367" i="3"/>
  <c r="C1368" i="3"/>
  <c r="D1368" i="3" s="1"/>
  <c r="E1368" i="3" s="1"/>
  <c r="F1368" i="3" s="1"/>
  <c r="H1368" i="3" s="1"/>
  <c r="G1368" i="3"/>
  <c r="I1368" i="3"/>
  <c r="C1369" i="3"/>
  <c r="D1369" i="3"/>
  <c r="E1369" i="3" s="1"/>
  <c r="F1369" i="3" s="1"/>
  <c r="H1369" i="3" s="1"/>
  <c r="G1369" i="3"/>
  <c r="I1369" i="3"/>
  <c r="C1370" i="3"/>
  <c r="D1370" i="3" s="1"/>
  <c r="E1370" i="3"/>
  <c r="F1370" i="3" s="1"/>
  <c r="G1370" i="3"/>
  <c r="I1370" i="3"/>
  <c r="C1371" i="3"/>
  <c r="D1371" i="3" s="1"/>
  <c r="E1371" i="3" s="1"/>
  <c r="F1371" i="3" s="1"/>
  <c r="H1371" i="3" s="1"/>
  <c r="G1371" i="3"/>
  <c r="I1371" i="3"/>
  <c r="C1372" i="3"/>
  <c r="D1372" i="3" s="1"/>
  <c r="E1372" i="3"/>
  <c r="F1372" i="3" s="1"/>
  <c r="H1372" i="3" s="1"/>
  <c r="G1372" i="3"/>
  <c r="I1372" i="3"/>
  <c r="C1373" i="3"/>
  <c r="D1373" i="3"/>
  <c r="E1373" i="3" s="1"/>
  <c r="F1373" i="3" s="1"/>
  <c r="H1373" i="3" s="1"/>
  <c r="G1373" i="3"/>
  <c r="I1373" i="3"/>
  <c r="C1374" i="3"/>
  <c r="D1374" i="3" s="1"/>
  <c r="E1374" i="3" s="1"/>
  <c r="F1374" i="3" s="1"/>
  <c r="H1374" i="3" s="1"/>
  <c r="G1374" i="3"/>
  <c r="I1374" i="3"/>
  <c r="C1375" i="3"/>
  <c r="D1375" i="3"/>
  <c r="E1375" i="3" s="1"/>
  <c r="F1375" i="3"/>
  <c r="H1375" i="3" s="1"/>
  <c r="G1375" i="3"/>
  <c r="I1375" i="3"/>
  <c r="C1376" i="3"/>
  <c r="D1376" i="3" s="1"/>
  <c r="E1376" i="3" s="1"/>
  <c r="F1376" i="3" s="1"/>
  <c r="G1376" i="3"/>
  <c r="I1376" i="3"/>
  <c r="C1377" i="3"/>
  <c r="D1377" i="3"/>
  <c r="E1377" i="3" s="1"/>
  <c r="F1377" i="3" s="1"/>
  <c r="H1377" i="3" s="1"/>
  <c r="G1377" i="3"/>
  <c r="I1377" i="3"/>
  <c r="C1378" i="3"/>
  <c r="D1378" i="3" s="1"/>
  <c r="E1378" i="3" s="1"/>
  <c r="F1378" i="3"/>
  <c r="G1378" i="3"/>
  <c r="H1378" i="3"/>
  <c r="I1378" i="3"/>
  <c r="C1379" i="3"/>
  <c r="D1379" i="3"/>
  <c r="E1379" i="3" s="1"/>
  <c r="F1379" i="3" s="1"/>
  <c r="H1379" i="3" s="1"/>
  <c r="G1379" i="3"/>
  <c r="I1379" i="3"/>
  <c r="C1380" i="3"/>
  <c r="D1380" i="3"/>
  <c r="E1380" i="3"/>
  <c r="F1380" i="3" s="1"/>
  <c r="H1380" i="3" s="1"/>
  <c r="G1380" i="3"/>
  <c r="I1380" i="3"/>
  <c r="C1381" i="3"/>
  <c r="D1381" i="3" s="1"/>
  <c r="E1381" i="3" s="1"/>
  <c r="F1381" i="3" s="1"/>
  <c r="H1381" i="3" s="1"/>
  <c r="G1381" i="3"/>
  <c r="I1381" i="3"/>
  <c r="C1382" i="3"/>
  <c r="D1382" i="3"/>
  <c r="E1382" i="3" s="1"/>
  <c r="F1382" i="3" s="1"/>
  <c r="H1382" i="3" s="1"/>
  <c r="G1382" i="3"/>
  <c r="I1382" i="3"/>
  <c r="C1383" i="3"/>
  <c r="D1383" i="3" s="1"/>
  <c r="E1383" i="3" s="1"/>
  <c r="F1383" i="3"/>
  <c r="H1383" i="3" s="1"/>
  <c r="G1383" i="3"/>
  <c r="I1383" i="3"/>
  <c r="C1384" i="3"/>
  <c r="D1384" i="3" s="1"/>
  <c r="E1384" i="3" s="1"/>
  <c r="F1384" i="3" s="1"/>
  <c r="H1384" i="3" s="1"/>
  <c r="G1384" i="3"/>
  <c r="I1384" i="3"/>
  <c r="C1385" i="3"/>
  <c r="D1385" i="3"/>
  <c r="E1385" i="3" s="1"/>
  <c r="F1385" i="3" s="1"/>
  <c r="H1385" i="3" s="1"/>
  <c r="G1385" i="3"/>
  <c r="I1385" i="3"/>
  <c r="C1386" i="3"/>
  <c r="D1386" i="3" s="1"/>
  <c r="E1386" i="3" s="1"/>
  <c r="F1386" i="3" s="1"/>
  <c r="H1386" i="3" s="1"/>
  <c r="G1386" i="3"/>
  <c r="I1386" i="3"/>
  <c r="C1387" i="3"/>
  <c r="D1387" i="3" s="1"/>
  <c r="E1387" i="3" s="1"/>
  <c r="F1387" i="3" s="1"/>
  <c r="H1387" i="3" s="1"/>
  <c r="G1387" i="3"/>
  <c r="I1387" i="3"/>
  <c r="C1388" i="3"/>
  <c r="D1388" i="3" s="1"/>
  <c r="E1388" i="3"/>
  <c r="F1388" i="3" s="1"/>
  <c r="G1388" i="3"/>
  <c r="H1388" i="3"/>
  <c r="I1388" i="3"/>
  <c r="C1389" i="3"/>
  <c r="D1389" i="3" s="1"/>
  <c r="E1389" i="3" s="1"/>
  <c r="F1389" i="3"/>
  <c r="H1389" i="3" s="1"/>
  <c r="G1389" i="3"/>
  <c r="I1389" i="3"/>
  <c r="C1390" i="3"/>
  <c r="D1390" i="3"/>
  <c r="E1390" i="3" s="1"/>
  <c r="F1390" i="3" s="1"/>
  <c r="H1390" i="3" s="1"/>
  <c r="G1390" i="3"/>
  <c r="I1390" i="3"/>
  <c r="C1391" i="3"/>
  <c r="D1391" i="3" s="1"/>
  <c r="E1391" i="3"/>
  <c r="F1391" i="3" s="1"/>
  <c r="H1391" i="3" s="1"/>
  <c r="G1391" i="3"/>
  <c r="I1391" i="3"/>
  <c r="C1392" i="3"/>
  <c r="D1392" i="3" s="1"/>
  <c r="E1392" i="3"/>
  <c r="F1392" i="3" s="1"/>
  <c r="H1392" i="3" s="1"/>
  <c r="G1392" i="3"/>
  <c r="I1392" i="3"/>
  <c r="C1393" i="3"/>
  <c r="D1393" i="3"/>
  <c r="E1393" i="3" s="1"/>
  <c r="F1393" i="3" s="1"/>
  <c r="H1393" i="3" s="1"/>
  <c r="G1393" i="3"/>
  <c r="I1393" i="3"/>
  <c r="C1394" i="3"/>
  <c r="D1394" i="3" s="1"/>
  <c r="E1394" i="3" s="1"/>
  <c r="F1394" i="3" s="1"/>
  <c r="H1394" i="3" s="1"/>
  <c r="G1394" i="3"/>
  <c r="I1394" i="3"/>
  <c r="C1395" i="3"/>
  <c r="D1395" i="3"/>
  <c r="E1395" i="3" s="1"/>
  <c r="F1395" i="3"/>
  <c r="G1395" i="3"/>
  <c r="I1395" i="3"/>
  <c r="C1396" i="3"/>
  <c r="D1396" i="3" s="1"/>
  <c r="E1396" i="3" s="1"/>
  <c r="F1396" i="3" s="1"/>
  <c r="G1396" i="3"/>
  <c r="I1396" i="3"/>
  <c r="C1397" i="3"/>
  <c r="D1397" i="3" s="1"/>
  <c r="E1397" i="3" s="1"/>
  <c r="F1397" i="3" s="1"/>
  <c r="G1397" i="3"/>
  <c r="H1397" i="3"/>
  <c r="I1397" i="3"/>
  <c r="C1398" i="3"/>
  <c r="D1398" i="3" s="1"/>
  <c r="E1398" i="3" s="1"/>
  <c r="F1398" i="3" s="1"/>
  <c r="G1398" i="3"/>
  <c r="I1398" i="3"/>
  <c r="C1399" i="3"/>
  <c r="D1399" i="3"/>
  <c r="E1399" i="3"/>
  <c r="F1399" i="3" s="1"/>
  <c r="G1399" i="3"/>
  <c r="H1399" i="3"/>
  <c r="I1399" i="3"/>
  <c r="C1400" i="3"/>
  <c r="D1400" i="3"/>
  <c r="E1400" i="3" s="1"/>
  <c r="F1400" i="3"/>
  <c r="H1400" i="3" s="1"/>
  <c r="G1400" i="3"/>
  <c r="I1400" i="3"/>
  <c r="C1401" i="3"/>
  <c r="D1401" i="3"/>
  <c r="E1401" i="3"/>
  <c r="F1401" i="3"/>
  <c r="H1401" i="3" s="1"/>
  <c r="G1401" i="3"/>
  <c r="I1401" i="3"/>
  <c r="C1402" i="3"/>
  <c r="D1402" i="3" s="1"/>
  <c r="E1402" i="3" s="1"/>
  <c r="F1402" i="3"/>
  <c r="G1402" i="3"/>
  <c r="H1402" i="3"/>
  <c r="I1402" i="3"/>
  <c r="C1403" i="3"/>
  <c r="D1403" i="3"/>
  <c r="E1403" i="3" s="1"/>
  <c r="F1403" i="3" s="1"/>
  <c r="H1403" i="3" s="1"/>
  <c r="G1403" i="3"/>
  <c r="I1403" i="3"/>
  <c r="C1404" i="3"/>
  <c r="D1404" i="3" s="1"/>
  <c r="E1404" i="3" s="1"/>
  <c r="F1404" i="3" s="1"/>
  <c r="H1404" i="3" s="1"/>
  <c r="G1404" i="3"/>
  <c r="I1404" i="3"/>
  <c r="C1405" i="3"/>
  <c r="D1405" i="3" s="1"/>
  <c r="E1405" i="3" s="1"/>
  <c r="F1405" i="3"/>
  <c r="G1405" i="3"/>
  <c r="H1405" i="3"/>
  <c r="I1405" i="3"/>
  <c r="C1406" i="3"/>
  <c r="D1406" i="3"/>
  <c r="E1406" i="3" s="1"/>
  <c r="F1406" i="3" s="1"/>
  <c r="H1406" i="3" s="1"/>
  <c r="G1406" i="3"/>
  <c r="I1406" i="3"/>
  <c r="C1407" i="3"/>
  <c r="D1407" i="3" s="1"/>
  <c r="E1407" i="3" s="1"/>
  <c r="F1407" i="3" s="1"/>
  <c r="H1407" i="3" s="1"/>
  <c r="G1407" i="3"/>
  <c r="I1407" i="3"/>
  <c r="C1408" i="3"/>
  <c r="D1408" i="3" s="1"/>
  <c r="E1408" i="3" s="1"/>
  <c r="F1408" i="3" s="1"/>
  <c r="H1408" i="3" s="1"/>
  <c r="G1408" i="3"/>
  <c r="I1408" i="3"/>
  <c r="C1409" i="3"/>
  <c r="D1409" i="3"/>
  <c r="E1409" i="3"/>
  <c r="F1409" i="3" s="1"/>
  <c r="G1409" i="3"/>
  <c r="I1409" i="3"/>
  <c r="C1410" i="3"/>
  <c r="D1410" i="3" s="1"/>
  <c r="E1410" i="3"/>
  <c r="F1410" i="3" s="1"/>
  <c r="G1410" i="3"/>
  <c r="H1410" i="3"/>
  <c r="I1410" i="3"/>
  <c r="C1411" i="3"/>
  <c r="D1411" i="3"/>
  <c r="E1411" i="3" s="1"/>
  <c r="F1411" i="3" s="1"/>
  <c r="H1411" i="3" s="1"/>
  <c r="G1411" i="3"/>
  <c r="I1411" i="3"/>
  <c r="C1412" i="3"/>
  <c r="D1412" i="3" s="1"/>
  <c r="E1412" i="3" s="1"/>
  <c r="F1412" i="3" s="1"/>
  <c r="H1412" i="3" s="1"/>
  <c r="G1412" i="3"/>
  <c r="I1412" i="3"/>
  <c r="C1413" i="3"/>
  <c r="D1413" i="3" s="1"/>
  <c r="E1413" i="3" s="1"/>
  <c r="F1413" i="3" s="1"/>
  <c r="H1413" i="3" s="1"/>
  <c r="G1413" i="3"/>
  <c r="I1413" i="3"/>
  <c r="C1414" i="3"/>
  <c r="D1414" i="3"/>
  <c r="E1414" i="3" s="1"/>
  <c r="F1414" i="3" s="1"/>
  <c r="H1414" i="3" s="1"/>
  <c r="G1414" i="3"/>
  <c r="I1414" i="3"/>
  <c r="C1415" i="3"/>
  <c r="D1415" i="3"/>
  <c r="E1415" i="3" s="1"/>
  <c r="F1415" i="3" s="1"/>
  <c r="H1415" i="3" s="1"/>
  <c r="G1415" i="3"/>
  <c r="I1415" i="3"/>
  <c r="C1416" i="3"/>
  <c r="D1416" i="3"/>
  <c r="E1416" i="3" s="1"/>
  <c r="F1416" i="3"/>
  <c r="H1416" i="3" s="1"/>
  <c r="G1416" i="3"/>
  <c r="I1416" i="3"/>
  <c r="C1417" i="3"/>
  <c r="D1417" i="3"/>
  <c r="E1417" i="3"/>
  <c r="F1417" i="3" s="1"/>
  <c r="H1417" i="3" s="1"/>
  <c r="G1417" i="3"/>
  <c r="I1417" i="3"/>
  <c r="C1418" i="3"/>
  <c r="D1418" i="3" s="1"/>
  <c r="E1418" i="3" s="1"/>
  <c r="F1418" i="3" s="1"/>
  <c r="H1418" i="3" s="1"/>
  <c r="G1418" i="3"/>
  <c r="I1418" i="3"/>
  <c r="C1419" i="3"/>
  <c r="D1419" i="3"/>
  <c r="E1419" i="3" s="1"/>
  <c r="F1419" i="3"/>
  <c r="H1419" i="3" s="1"/>
  <c r="G1419" i="3"/>
  <c r="I1419" i="3"/>
  <c r="C1420" i="3"/>
  <c r="D1420" i="3" s="1"/>
  <c r="E1420" i="3"/>
  <c r="F1420" i="3" s="1"/>
  <c r="H1420" i="3" s="1"/>
  <c r="G1420" i="3"/>
  <c r="I1420" i="3"/>
  <c r="C1421" i="3"/>
  <c r="D1421" i="3" s="1"/>
  <c r="E1421" i="3" s="1"/>
  <c r="F1421" i="3"/>
  <c r="G1421" i="3"/>
  <c r="H1421" i="3"/>
  <c r="I1421" i="3"/>
  <c r="C1422" i="3"/>
  <c r="D1422" i="3"/>
  <c r="E1422" i="3" s="1"/>
  <c r="F1422" i="3" s="1"/>
  <c r="G1422" i="3"/>
  <c r="I1422" i="3"/>
  <c r="C1423" i="3"/>
  <c r="D1423" i="3"/>
  <c r="E1423" i="3" s="1"/>
  <c r="F1423" i="3" s="1"/>
  <c r="H1423" i="3" s="1"/>
  <c r="G1423" i="3"/>
  <c r="I1423" i="3"/>
  <c r="C1424" i="3"/>
  <c r="D1424" i="3" s="1"/>
  <c r="E1424" i="3"/>
  <c r="F1424" i="3" s="1"/>
  <c r="H1424" i="3" s="1"/>
  <c r="G1424" i="3"/>
  <c r="I1424" i="3"/>
  <c r="C1425" i="3"/>
  <c r="D1425" i="3"/>
  <c r="E1425" i="3" s="1"/>
  <c r="F1425" i="3" s="1"/>
  <c r="H1425" i="3" s="1"/>
  <c r="G1425" i="3"/>
  <c r="I1425" i="3"/>
  <c r="C1426" i="3"/>
  <c r="D1426" i="3" s="1"/>
  <c r="E1426" i="3" s="1"/>
  <c r="F1426" i="3" s="1"/>
  <c r="H1426" i="3" s="1"/>
  <c r="G1426" i="3"/>
  <c r="I1426" i="3"/>
  <c r="C1427" i="3"/>
  <c r="D1427" i="3"/>
  <c r="E1427" i="3" s="1"/>
  <c r="F1427" i="3"/>
  <c r="H1427" i="3" s="1"/>
  <c r="G1427" i="3"/>
  <c r="I1427" i="3"/>
  <c r="C1428" i="3"/>
  <c r="D1428" i="3" s="1"/>
  <c r="E1428" i="3" s="1"/>
  <c r="F1428" i="3" s="1"/>
  <c r="G1428" i="3"/>
  <c r="H1428" i="3"/>
  <c r="I1428" i="3"/>
  <c r="C1429" i="3"/>
  <c r="D1429" i="3" s="1"/>
  <c r="E1429" i="3" s="1"/>
  <c r="F1429" i="3" s="1"/>
  <c r="G1429" i="3"/>
  <c r="H1429" i="3"/>
  <c r="I1429" i="3"/>
  <c r="C1430" i="3"/>
  <c r="D1430" i="3" s="1"/>
  <c r="E1430" i="3" s="1"/>
  <c r="F1430" i="3" s="1"/>
  <c r="H1430" i="3" s="1"/>
  <c r="G1430" i="3"/>
  <c r="I1430" i="3"/>
  <c r="C1431" i="3"/>
  <c r="D1431" i="3"/>
  <c r="E1431" i="3" s="1"/>
  <c r="F1431" i="3" s="1"/>
  <c r="H1431" i="3" s="1"/>
  <c r="G1431" i="3"/>
  <c r="I1431" i="3"/>
  <c r="C1432" i="3"/>
  <c r="D1432" i="3" s="1"/>
  <c r="E1432" i="3" s="1"/>
  <c r="F1432" i="3" s="1"/>
  <c r="H1432" i="3" s="1"/>
  <c r="G1432" i="3"/>
  <c r="I1432" i="3"/>
  <c r="C1433" i="3"/>
  <c r="D1433" i="3"/>
  <c r="E1433" i="3" s="1"/>
  <c r="F1433" i="3" s="1"/>
  <c r="H1433" i="3" s="1"/>
  <c r="G1433" i="3"/>
  <c r="I1433" i="3"/>
  <c r="C1434" i="3"/>
  <c r="D1434" i="3" s="1"/>
  <c r="E1434" i="3" s="1"/>
  <c r="F1434" i="3" s="1"/>
  <c r="H1434" i="3" s="1"/>
  <c r="G1434" i="3"/>
  <c r="I1434" i="3"/>
  <c r="C1435" i="3"/>
  <c r="D1435" i="3"/>
  <c r="E1435" i="3" s="1"/>
  <c r="F1435" i="3"/>
  <c r="G1435" i="3"/>
  <c r="H1435" i="3"/>
  <c r="I1435" i="3"/>
  <c r="C1436" i="3"/>
  <c r="D1436" i="3" s="1"/>
  <c r="E1436" i="3" s="1"/>
  <c r="F1436" i="3" s="1"/>
  <c r="H1436" i="3" s="1"/>
  <c r="G1436" i="3"/>
  <c r="I1436" i="3"/>
  <c r="C1437" i="3"/>
  <c r="D1437" i="3" s="1"/>
  <c r="E1437" i="3" s="1"/>
  <c r="F1437" i="3"/>
  <c r="H1437" i="3" s="1"/>
  <c r="G1437" i="3"/>
  <c r="I1437" i="3"/>
  <c r="C1438" i="3"/>
  <c r="D1438" i="3"/>
  <c r="E1438" i="3" s="1"/>
  <c r="F1438" i="3" s="1"/>
  <c r="G1438" i="3"/>
  <c r="I1438" i="3"/>
  <c r="C1439" i="3"/>
  <c r="D1439" i="3" s="1"/>
  <c r="E1439" i="3" s="1"/>
  <c r="F1439" i="3" s="1"/>
  <c r="H1439" i="3" s="1"/>
  <c r="G1439" i="3"/>
  <c r="I1439" i="3"/>
  <c r="C1440" i="3"/>
  <c r="D1440" i="3" s="1"/>
  <c r="E1440" i="3"/>
  <c r="F1440" i="3"/>
  <c r="H1440" i="3" s="1"/>
  <c r="G1440" i="3"/>
  <c r="I1440" i="3"/>
  <c r="C1441" i="3"/>
  <c r="D1441" i="3"/>
  <c r="E1441" i="3"/>
  <c r="F1441" i="3" s="1"/>
  <c r="H1441" i="3" s="1"/>
  <c r="G1441" i="3"/>
  <c r="I1441" i="3"/>
  <c r="C1442" i="3"/>
  <c r="D1442" i="3" s="1"/>
  <c r="E1442" i="3" s="1"/>
  <c r="F1442" i="3" s="1"/>
  <c r="H1442" i="3" s="1"/>
  <c r="G1442" i="3"/>
  <c r="I1442" i="3"/>
  <c r="C1443" i="3"/>
  <c r="D1443" i="3"/>
  <c r="E1443" i="3" s="1"/>
  <c r="F1443" i="3"/>
  <c r="G1443" i="3"/>
  <c r="H1443" i="3"/>
  <c r="I1443" i="3"/>
  <c r="C1444" i="3"/>
  <c r="D1444" i="3" s="1"/>
  <c r="E1444" i="3"/>
  <c r="F1444" i="3" s="1"/>
  <c r="H1444" i="3" s="1"/>
  <c r="G1444" i="3"/>
  <c r="I1444" i="3"/>
  <c r="C1445" i="3"/>
  <c r="D1445" i="3"/>
  <c r="E1445" i="3" s="1"/>
  <c r="F1445" i="3" s="1"/>
  <c r="H1445" i="3" s="1"/>
  <c r="G1445" i="3"/>
  <c r="I1445" i="3"/>
  <c r="C1446" i="3"/>
  <c r="D1446" i="3"/>
  <c r="E1446" i="3" s="1"/>
  <c r="F1446" i="3" s="1"/>
  <c r="G1446" i="3"/>
  <c r="I1446" i="3"/>
  <c r="C1447" i="3"/>
  <c r="D1447" i="3"/>
  <c r="E1447" i="3" s="1"/>
  <c r="F1447" i="3" s="1"/>
  <c r="H1447" i="3" s="1"/>
  <c r="G1447" i="3"/>
  <c r="I1447" i="3"/>
  <c r="C1448" i="3"/>
  <c r="D1448" i="3" s="1"/>
  <c r="E1448" i="3" s="1"/>
  <c r="F1448" i="3" s="1"/>
  <c r="H1448" i="3" s="1"/>
  <c r="G1448" i="3"/>
  <c r="I1448" i="3"/>
  <c r="C1449" i="3"/>
  <c r="D1449" i="3"/>
  <c r="E1449" i="3"/>
  <c r="F1449" i="3" s="1"/>
  <c r="G1449" i="3"/>
  <c r="H1449" i="3" s="1"/>
  <c r="I1449" i="3"/>
  <c r="C1450" i="3"/>
  <c r="D1450" i="3" s="1"/>
  <c r="E1450" i="3" s="1"/>
  <c r="F1450" i="3" s="1"/>
  <c r="H1450" i="3" s="1"/>
  <c r="G1450" i="3"/>
  <c r="I1450" i="3"/>
  <c r="C1451" i="3"/>
  <c r="D1451" i="3"/>
  <c r="E1451" i="3" s="1"/>
  <c r="F1451" i="3" s="1"/>
  <c r="H1451" i="3" s="1"/>
  <c r="G1451" i="3"/>
  <c r="I1451" i="3"/>
  <c r="C1452" i="3"/>
  <c r="D1452" i="3" s="1"/>
  <c r="E1452" i="3"/>
  <c r="F1452" i="3" s="1"/>
  <c r="G1452" i="3"/>
  <c r="H1452" i="3"/>
  <c r="I1452" i="3"/>
  <c r="C1453" i="3"/>
  <c r="D1453" i="3"/>
  <c r="E1453" i="3" s="1"/>
  <c r="F1453" i="3" s="1"/>
  <c r="H1453" i="3" s="1"/>
  <c r="G1453" i="3"/>
  <c r="I1453" i="3"/>
  <c r="C1454" i="3"/>
  <c r="D1454" i="3" s="1"/>
  <c r="E1454" i="3" s="1"/>
  <c r="F1454" i="3" s="1"/>
  <c r="H1454" i="3" s="1"/>
  <c r="G1454" i="3"/>
  <c r="I1454" i="3"/>
  <c r="C1455" i="3"/>
  <c r="D1455" i="3"/>
  <c r="E1455" i="3" s="1"/>
  <c r="F1455" i="3" s="1"/>
  <c r="H1455" i="3" s="1"/>
  <c r="G1455" i="3"/>
  <c r="I1455" i="3"/>
  <c r="C1456" i="3"/>
  <c r="D1456" i="3" s="1"/>
  <c r="E1456" i="3"/>
  <c r="F1456" i="3" s="1"/>
  <c r="H1456" i="3" s="1"/>
  <c r="G1456" i="3"/>
  <c r="I1456" i="3"/>
  <c r="C1457" i="3"/>
  <c r="D1457" i="3"/>
  <c r="E1457" i="3" s="1"/>
  <c r="F1457" i="3" s="1"/>
  <c r="H1457" i="3" s="1"/>
  <c r="G1457" i="3"/>
  <c r="I1457" i="3"/>
  <c r="C1458" i="3"/>
  <c r="D1458" i="3" s="1"/>
  <c r="E1458" i="3" s="1"/>
  <c r="F1458" i="3" s="1"/>
  <c r="H1458" i="3" s="1"/>
  <c r="G1458" i="3"/>
  <c r="I1458" i="3"/>
  <c r="C1459" i="3"/>
  <c r="D1459" i="3"/>
  <c r="E1459" i="3" s="1"/>
  <c r="F1459" i="3"/>
  <c r="G1459" i="3"/>
  <c r="H1459" i="3"/>
  <c r="I1459" i="3"/>
  <c r="C1460" i="3"/>
  <c r="D1460" i="3" s="1"/>
  <c r="E1460" i="3"/>
  <c r="F1460" i="3" s="1"/>
  <c r="H1460" i="3" s="1"/>
  <c r="G1460" i="3"/>
  <c r="I1460" i="3"/>
  <c r="C1461" i="3"/>
  <c r="D1461" i="3"/>
  <c r="E1461" i="3" s="1"/>
  <c r="F1461" i="3" s="1"/>
  <c r="H1461" i="3" s="1"/>
  <c r="G1461" i="3"/>
  <c r="I1461" i="3"/>
  <c r="C1462" i="3"/>
  <c r="D1462" i="3"/>
  <c r="E1462" i="3" s="1"/>
  <c r="F1462" i="3" s="1"/>
  <c r="H1462" i="3" s="1"/>
  <c r="G1462" i="3"/>
  <c r="I1462" i="3"/>
  <c r="C1463" i="3"/>
  <c r="D1463" i="3"/>
  <c r="E1463" i="3"/>
  <c r="F1463" i="3" s="1"/>
  <c r="H1463" i="3" s="1"/>
  <c r="G1463" i="3"/>
  <c r="I1463" i="3"/>
  <c r="C1464" i="3"/>
  <c r="D1464" i="3" s="1"/>
  <c r="E1464" i="3"/>
  <c r="F1464" i="3" s="1"/>
  <c r="H1464" i="3" s="1"/>
  <c r="G1464" i="3"/>
  <c r="I1464" i="3"/>
  <c r="C1465" i="3"/>
  <c r="D1465" i="3"/>
  <c r="E1465" i="3"/>
  <c r="F1465" i="3" s="1"/>
  <c r="G1465" i="3"/>
  <c r="H1465" i="3"/>
  <c r="I1465" i="3"/>
  <c r="C1466" i="3"/>
  <c r="D1466" i="3" s="1"/>
  <c r="E1466" i="3" s="1"/>
  <c r="F1466" i="3"/>
  <c r="H1466" i="3" s="1"/>
  <c r="G1466" i="3"/>
  <c r="I1466" i="3"/>
  <c r="C1467" i="3"/>
  <c r="D1467" i="3"/>
  <c r="E1467" i="3" s="1"/>
  <c r="F1467" i="3"/>
  <c r="H1467" i="3" s="1"/>
  <c r="G1467" i="3"/>
  <c r="I1467" i="3"/>
  <c r="C1468" i="3"/>
  <c r="D1468" i="3" s="1"/>
  <c r="E1468" i="3"/>
  <c r="F1468" i="3" s="1"/>
  <c r="G1468" i="3"/>
  <c r="H1468" i="3" s="1"/>
  <c r="I1468" i="3"/>
  <c r="C1469" i="3"/>
  <c r="D1469" i="3"/>
  <c r="E1469" i="3" s="1"/>
  <c r="F1469" i="3"/>
  <c r="H1469" i="3" s="1"/>
  <c r="G1469" i="3"/>
  <c r="I1469" i="3"/>
  <c r="C1470" i="3"/>
  <c r="D1470" i="3"/>
  <c r="E1470" i="3" s="1"/>
  <c r="F1470" i="3" s="1"/>
  <c r="H1470" i="3" s="1"/>
  <c r="G1470" i="3"/>
  <c r="I1470" i="3"/>
  <c r="C1471" i="3"/>
  <c r="D1471" i="3"/>
  <c r="E1471" i="3" s="1"/>
  <c r="F1471" i="3" s="1"/>
  <c r="H1471" i="3" s="1"/>
  <c r="G1471" i="3"/>
  <c r="I1471" i="3"/>
  <c r="C1472" i="3"/>
  <c r="D1472" i="3" s="1"/>
  <c r="E1472" i="3"/>
  <c r="F1472" i="3"/>
  <c r="H1472" i="3" s="1"/>
  <c r="G1472" i="3"/>
  <c r="I1472" i="3"/>
  <c r="C1473" i="3"/>
  <c r="D1473" i="3"/>
  <c r="E1473" i="3"/>
  <c r="F1473" i="3" s="1"/>
  <c r="H1473" i="3" s="1"/>
  <c r="G1473" i="3"/>
  <c r="I1473" i="3"/>
  <c r="C1474" i="3"/>
  <c r="D1474" i="3" s="1"/>
  <c r="E1474" i="3" s="1"/>
  <c r="F1474" i="3" s="1"/>
  <c r="H1474" i="3" s="1"/>
  <c r="G1474" i="3"/>
  <c r="I1474" i="3"/>
  <c r="C1475" i="3"/>
  <c r="D1475" i="3"/>
  <c r="E1475" i="3" s="1"/>
  <c r="F1475" i="3"/>
  <c r="G1475" i="3"/>
  <c r="H1475" i="3"/>
  <c r="I1475" i="3"/>
  <c r="C1476" i="3"/>
  <c r="D1476" i="3" s="1"/>
  <c r="E1476" i="3"/>
  <c r="F1476" i="3" s="1"/>
  <c r="H1476" i="3" s="1"/>
  <c r="G1476" i="3"/>
  <c r="I1476" i="3"/>
  <c r="C1477" i="3"/>
  <c r="D1477" i="3"/>
  <c r="E1477" i="3" s="1"/>
  <c r="F1477" i="3" s="1"/>
  <c r="H1477" i="3" s="1"/>
  <c r="G1477" i="3"/>
  <c r="I1477" i="3"/>
  <c r="C1478" i="3"/>
  <c r="D1478" i="3"/>
  <c r="E1478" i="3" s="1"/>
  <c r="F1478" i="3" s="1"/>
  <c r="G1478" i="3"/>
  <c r="I1478" i="3"/>
  <c r="C1479" i="3"/>
  <c r="D1479" i="3"/>
  <c r="E1479" i="3" s="1"/>
  <c r="F1479" i="3" s="1"/>
  <c r="H1479" i="3" s="1"/>
  <c r="G1479" i="3"/>
  <c r="I1479" i="3"/>
  <c r="C1480" i="3"/>
  <c r="D1480" i="3" s="1"/>
  <c r="E1480" i="3" s="1"/>
  <c r="F1480" i="3" s="1"/>
  <c r="H1480" i="3" s="1"/>
  <c r="G1480" i="3"/>
  <c r="I1480" i="3"/>
  <c r="C1481" i="3"/>
  <c r="D1481" i="3"/>
  <c r="E1481" i="3"/>
  <c r="F1481" i="3" s="1"/>
  <c r="G1481" i="3"/>
  <c r="H1481" i="3" s="1"/>
  <c r="I1481" i="3"/>
  <c r="C1482" i="3"/>
  <c r="D1482" i="3" s="1"/>
  <c r="E1482" i="3" s="1"/>
  <c r="F1482" i="3" s="1"/>
  <c r="H1482" i="3" s="1"/>
  <c r="G1482" i="3"/>
  <c r="I1482" i="3"/>
  <c r="C1483" i="3"/>
  <c r="D1483" i="3"/>
  <c r="E1483" i="3" s="1"/>
  <c r="F1483" i="3" s="1"/>
  <c r="H1483" i="3" s="1"/>
  <c r="G1483" i="3"/>
  <c r="I1483" i="3"/>
  <c r="C1484" i="3"/>
  <c r="D1484" i="3" s="1"/>
  <c r="E1484" i="3"/>
  <c r="F1484" i="3" s="1"/>
  <c r="G1484" i="3"/>
  <c r="H1484" i="3"/>
  <c r="I1484" i="3"/>
  <c r="C1485" i="3"/>
  <c r="D1485" i="3"/>
  <c r="E1485" i="3" s="1"/>
  <c r="F1485" i="3" s="1"/>
  <c r="H1485" i="3" s="1"/>
  <c r="G1485" i="3"/>
  <c r="I1485" i="3"/>
  <c r="C1486" i="3"/>
  <c r="D1486" i="3" s="1"/>
  <c r="E1486" i="3" s="1"/>
  <c r="F1486" i="3" s="1"/>
  <c r="H1486" i="3" s="1"/>
  <c r="G1486" i="3"/>
  <c r="I1486" i="3"/>
  <c r="C1487" i="3"/>
  <c r="D1487" i="3"/>
  <c r="E1487" i="3" s="1"/>
  <c r="F1487" i="3" s="1"/>
  <c r="H1487" i="3" s="1"/>
  <c r="G1487" i="3"/>
  <c r="I1487" i="3"/>
  <c r="C1488" i="3"/>
  <c r="D1488" i="3" s="1"/>
  <c r="E1488" i="3"/>
  <c r="F1488" i="3" s="1"/>
  <c r="H1488" i="3" s="1"/>
  <c r="G1488" i="3"/>
  <c r="I1488" i="3"/>
  <c r="C1489" i="3"/>
  <c r="D1489" i="3"/>
  <c r="E1489" i="3" s="1"/>
  <c r="F1489" i="3" s="1"/>
  <c r="H1489" i="3" s="1"/>
  <c r="G1489" i="3"/>
  <c r="I1489" i="3"/>
  <c r="C1490" i="3"/>
  <c r="D1490" i="3" s="1"/>
  <c r="E1490" i="3" s="1"/>
  <c r="F1490" i="3" s="1"/>
  <c r="H1490" i="3" s="1"/>
  <c r="G1490" i="3"/>
  <c r="I1490" i="3"/>
  <c r="C1491" i="3"/>
  <c r="D1491" i="3" s="1"/>
  <c r="E1491" i="3" s="1"/>
  <c r="F1491" i="3" s="1"/>
  <c r="H1491" i="3" s="1"/>
  <c r="G1491" i="3"/>
  <c r="I1491" i="3"/>
  <c r="C1492" i="3"/>
  <c r="D1492" i="3" s="1"/>
  <c r="E1492" i="3" s="1"/>
  <c r="F1492" i="3" s="1"/>
  <c r="H1492" i="3" s="1"/>
  <c r="G1492" i="3"/>
  <c r="I1492" i="3"/>
  <c r="C1493" i="3"/>
  <c r="D1493" i="3"/>
  <c r="E1493" i="3"/>
  <c r="F1493" i="3" s="1"/>
  <c r="H1493" i="3" s="1"/>
  <c r="G1493" i="3"/>
  <c r="I1493" i="3"/>
  <c r="C1494" i="3"/>
  <c r="D1494" i="3"/>
  <c r="E1494" i="3"/>
  <c r="F1494" i="3"/>
  <c r="H1494" i="3" s="1"/>
  <c r="G1494" i="3"/>
  <c r="I1494" i="3"/>
  <c r="C1495" i="3"/>
  <c r="D1495" i="3" s="1"/>
  <c r="E1495" i="3" s="1"/>
  <c r="F1495" i="3" s="1"/>
  <c r="H1495" i="3" s="1"/>
  <c r="G1495" i="3"/>
  <c r="I1495" i="3"/>
  <c r="C1496" i="3"/>
  <c r="D1496" i="3" s="1"/>
  <c r="E1496" i="3" s="1"/>
  <c r="F1496" i="3" s="1"/>
  <c r="H1496" i="3" s="1"/>
  <c r="G1496" i="3"/>
  <c r="I1496" i="3"/>
  <c r="C1497" i="3"/>
  <c r="D1497" i="3"/>
  <c r="E1497" i="3" s="1"/>
  <c r="F1497" i="3" s="1"/>
  <c r="H1497" i="3" s="1"/>
  <c r="G1497" i="3"/>
  <c r="I1497" i="3"/>
  <c r="C1498" i="3"/>
  <c r="D1498" i="3" s="1"/>
  <c r="E1498" i="3" s="1"/>
  <c r="F1498" i="3" s="1"/>
  <c r="H1498" i="3" s="1"/>
  <c r="G1498" i="3"/>
  <c r="I1498" i="3"/>
  <c r="C1499" i="3"/>
  <c r="D1499" i="3" s="1"/>
  <c r="E1499" i="3" s="1"/>
  <c r="F1499" i="3" s="1"/>
  <c r="H1499" i="3" s="1"/>
  <c r="G1499" i="3"/>
  <c r="I1499" i="3"/>
  <c r="C1500" i="3"/>
  <c r="D1500" i="3" s="1"/>
  <c r="E1500" i="3" s="1"/>
  <c r="F1500" i="3" s="1"/>
  <c r="H1500" i="3" s="1"/>
  <c r="G1500" i="3"/>
  <c r="I1500" i="3"/>
  <c r="C1501" i="3"/>
  <c r="D1501" i="3"/>
  <c r="E1501" i="3"/>
  <c r="F1501" i="3" s="1"/>
  <c r="H1501" i="3" s="1"/>
  <c r="G1501" i="3"/>
  <c r="I1501" i="3"/>
  <c r="C1502" i="3"/>
  <c r="D1502" i="3"/>
  <c r="E1502" i="3"/>
  <c r="F1502" i="3"/>
  <c r="H1502" i="3" s="1"/>
  <c r="G1502" i="3"/>
  <c r="I1502" i="3"/>
  <c r="C1503" i="3"/>
  <c r="D1503" i="3" s="1"/>
  <c r="E1503" i="3" s="1"/>
  <c r="F1503" i="3" s="1"/>
  <c r="H1503" i="3" s="1"/>
  <c r="G1503" i="3"/>
  <c r="I1503" i="3"/>
  <c r="C1504" i="3"/>
  <c r="D1504" i="3" s="1"/>
  <c r="E1504" i="3" s="1"/>
  <c r="F1504" i="3" s="1"/>
  <c r="H1504" i="3" s="1"/>
  <c r="G1504" i="3"/>
  <c r="I1504" i="3"/>
  <c r="C1505" i="3"/>
  <c r="D1505" i="3"/>
  <c r="E1505" i="3" s="1"/>
  <c r="F1505" i="3" s="1"/>
  <c r="H1505" i="3" s="1"/>
  <c r="G1505" i="3"/>
  <c r="I1505" i="3"/>
  <c r="C1506" i="3"/>
  <c r="D1506" i="3" s="1"/>
  <c r="E1506" i="3" s="1"/>
  <c r="F1506" i="3" s="1"/>
  <c r="H1506" i="3" s="1"/>
  <c r="G1506" i="3"/>
  <c r="I1506" i="3"/>
  <c r="C1507" i="3"/>
  <c r="D1507" i="3" s="1"/>
  <c r="E1507" i="3" s="1"/>
  <c r="F1507" i="3" s="1"/>
  <c r="H1507" i="3" s="1"/>
  <c r="G1507" i="3"/>
  <c r="I1507" i="3"/>
  <c r="C1508" i="3"/>
  <c r="D1508" i="3" s="1"/>
  <c r="E1508" i="3" s="1"/>
  <c r="F1508" i="3" s="1"/>
  <c r="H1508" i="3" s="1"/>
  <c r="G1508" i="3"/>
  <c r="I1508" i="3"/>
  <c r="C1509" i="3"/>
  <c r="D1509" i="3"/>
  <c r="E1509" i="3"/>
  <c r="F1509" i="3" s="1"/>
  <c r="H1509" i="3" s="1"/>
  <c r="G1509" i="3"/>
  <c r="I1509" i="3"/>
  <c r="C1510" i="3"/>
  <c r="D1510" i="3"/>
  <c r="E1510" i="3"/>
  <c r="F1510" i="3"/>
  <c r="H1510" i="3" s="1"/>
  <c r="G1510" i="3"/>
  <c r="I1510" i="3"/>
  <c r="C1511" i="3"/>
  <c r="D1511" i="3" s="1"/>
  <c r="E1511" i="3" s="1"/>
  <c r="F1511" i="3" s="1"/>
  <c r="H1511" i="3" s="1"/>
  <c r="G1511" i="3"/>
  <c r="I1511" i="3"/>
  <c r="C1512" i="3"/>
  <c r="D1512" i="3" s="1"/>
  <c r="E1512" i="3" s="1"/>
  <c r="F1512" i="3" s="1"/>
  <c r="H1512" i="3" s="1"/>
  <c r="G1512" i="3"/>
  <c r="I1512" i="3"/>
  <c r="C1513" i="3"/>
  <c r="D1513" i="3"/>
  <c r="E1513" i="3" s="1"/>
  <c r="F1513" i="3" s="1"/>
  <c r="H1513" i="3" s="1"/>
  <c r="G1513" i="3"/>
  <c r="I1513" i="3"/>
  <c r="C1514" i="3"/>
  <c r="D1514" i="3" s="1"/>
  <c r="E1514" i="3" s="1"/>
  <c r="F1514" i="3" s="1"/>
  <c r="H1514" i="3" s="1"/>
  <c r="G1514" i="3"/>
  <c r="I1514" i="3"/>
  <c r="C1515" i="3"/>
  <c r="D1515" i="3" s="1"/>
  <c r="E1515" i="3" s="1"/>
  <c r="F1515" i="3"/>
  <c r="H1515" i="3" s="1"/>
  <c r="G1515" i="3"/>
  <c r="I1515" i="3"/>
  <c r="C1516" i="3"/>
  <c r="D1516" i="3" s="1"/>
  <c r="E1516" i="3" s="1"/>
  <c r="F1516" i="3" s="1"/>
  <c r="H1516" i="3" s="1"/>
  <c r="G1516" i="3"/>
  <c r="I1516" i="3"/>
  <c r="C1517" i="3"/>
  <c r="D1517" i="3"/>
  <c r="E1517" i="3"/>
  <c r="F1517" i="3" s="1"/>
  <c r="H1517" i="3" s="1"/>
  <c r="G1517" i="3"/>
  <c r="I1517" i="3"/>
  <c r="C1518" i="3"/>
  <c r="D1518" i="3"/>
  <c r="E1518" i="3"/>
  <c r="F1518" i="3"/>
  <c r="H1518" i="3" s="1"/>
  <c r="G1518" i="3"/>
  <c r="I1518" i="3"/>
  <c r="C1519" i="3"/>
  <c r="D1519" i="3" s="1"/>
  <c r="E1519" i="3" s="1"/>
  <c r="F1519" i="3" s="1"/>
  <c r="H1519" i="3" s="1"/>
  <c r="G1519" i="3"/>
  <c r="I1519" i="3"/>
  <c r="C1520" i="3"/>
  <c r="D1520" i="3" s="1"/>
  <c r="E1520" i="3" s="1"/>
  <c r="F1520" i="3"/>
  <c r="G1520" i="3"/>
  <c r="H1520" i="3"/>
  <c r="I1520" i="3"/>
  <c r="C1521" i="3"/>
  <c r="D1521" i="3"/>
  <c r="E1521" i="3" s="1"/>
  <c r="F1521" i="3" s="1"/>
  <c r="G1521" i="3"/>
  <c r="H1521" i="3"/>
  <c r="I1521" i="3"/>
  <c r="C1522" i="3"/>
  <c r="D1522" i="3" s="1"/>
  <c r="E1522" i="3" s="1"/>
  <c r="F1522" i="3" s="1"/>
  <c r="H1522" i="3" s="1"/>
  <c r="G1522" i="3"/>
  <c r="I1522" i="3"/>
  <c r="C1523" i="3"/>
  <c r="D1523" i="3" s="1"/>
  <c r="E1523" i="3" s="1"/>
  <c r="F1523" i="3" s="1"/>
  <c r="H1523" i="3" s="1"/>
  <c r="G1523" i="3"/>
  <c r="I1523" i="3"/>
  <c r="C1524" i="3"/>
  <c r="D1524" i="3" s="1"/>
  <c r="E1524" i="3" s="1"/>
  <c r="F1524" i="3" s="1"/>
  <c r="G1524" i="3"/>
  <c r="I1524" i="3"/>
  <c r="C1525" i="3"/>
  <c r="D1525" i="3"/>
  <c r="E1525" i="3"/>
  <c r="F1525" i="3" s="1"/>
  <c r="G1525" i="3"/>
  <c r="H1525" i="3"/>
  <c r="I1525" i="3"/>
  <c r="C1526" i="3"/>
  <c r="D1526" i="3"/>
  <c r="E1526" i="3"/>
  <c r="F1526" i="3"/>
  <c r="H1526" i="3" s="1"/>
  <c r="G1526" i="3"/>
  <c r="I1526" i="3"/>
  <c r="C1527" i="3"/>
  <c r="D1527" i="3" s="1"/>
  <c r="E1527" i="3" s="1"/>
  <c r="F1527" i="3"/>
  <c r="H1527" i="3" s="1"/>
  <c r="G1527" i="3"/>
  <c r="I1527" i="3"/>
  <c r="C1528" i="3"/>
  <c r="D1528" i="3" s="1"/>
  <c r="E1528" i="3" s="1"/>
  <c r="F1528" i="3" s="1"/>
  <c r="H1528" i="3" s="1"/>
  <c r="G1528" i="3"/>
  <c r="I1528" i="3"/>
  <c r="C1529" i="3"/>
  <c r="D1529" i="3"/>
  <c r="E1529" i="3" s="1"/>
  <c r="F1529" i="3" s="1"/>
  <c r="H1529" i="3" s="1"/>
  <c r="G1529" i="3"/>
  <c r="I1529" i="3"/>
  <c r="C1530" i="3"/>
  <c r="D1530" i="3" s="1"/>
  <c r="E1530" i="3" s="1"/>
  <c r="F1530" i="3" s="1"/>
  <c r="H1530" i="3" s="1"/>
  <c r="G1530" i="3"/>
  <c r="I1530" i="3"/>
  <c r="C1531" i="3"/>
  <c r="D1531" i="3" s="1"/>
  <c r="E1531" i="3" s="1"/>
  <c r="F1531" i="3"/>
  <c r="H1531" i="3" s="1"/>
  <c r="G1531" i="3"/>
  <c r="I1531" i="3"/>
  <c r="C1532" i="3"/>
  <c r="D1532" i="3" s="1"/>
  <c r="E1532" i="3" s="1"/>
  <c r="F1532" i="3" s="1"/>
  <c r="H1532" i="3" s="1"/>
  <c r="G1532" i="3"/>
  <c r="I1532" i="3"/>
  <c r="C1533" i="3"/>
  <c r="D1533" i="3"/>
  <c r="E1533" i="3"/>
  <c r="F1533" i="3" s="1"/>
  <c r="H1533" i="3" s="1"/>
  <c r="G1533" i="3"/>
  <c r="I1533" i="3"/>
  <c r="C1534" i="3"/>
  <c r="D1534" i="3"/>
  <c r="E1534" i="3"/>
  <c r="F1534" i="3"/>
  <c r="H1534" i="3" s="1"/>
  <c r="G1534" i="3"/>
  <c r="I1534" i="3"/>
  <c r="C1535" i="3"/>
  <c r="D1535" i="3" s="1"/>
  <c r="E1535" i="3" s="1"/>
  <c r="F1535" i="3" s="1"/>
  <c r="H1535" i="3" s="1"/>
  <c r="G1535" i="3"/>
  <c r="I1535" i="3"/>
  <c r="C1536" i="3"/>
  <c r="D1536" i="3" s="1"/>
  <c r="E1536" i="3" s="1"/>
  <c r="F1536" i="3"/>
  <c r="H1536" i="3" s="1"/>
  <c r="G1536" i="3"/>
  <c r="I1536" i="3"/>
  <c r="C1537" i="3"/>
  <c r="D1537" i="3"/>
  <c r="E1537" i="3" s="1"/>
  <c r="F1537" i="3" s="1"/>
  <c r="G1537" i="3"/>
  <c r="H1537" i="3"/>
  <c r="I1537" i="3"/>
  <c r="C1538" i="3"/>
  <c r="D1538" i="3" s="1"/>
  <c r="E1538" i="3" s="1"/>
  <c r="F1538" i="3"/>
  <c r="H1538" i="3" s="1"/>
  <c r="G1538" i="3"/>
  <c r="I1538" i="3"/>
  <c r="C1539" i="3"/>
  <c r="D1539" i="3" s="1"/>
  <c r="E1539" i="3" s="1"/>
  <c r="F1539" i="3"/>
  <c r="H1539" i="3" s="1"/>
  <c r="G1539" i="3"/>
  <c r="I1539" i="3"/>
  <c r="C1540" i="3"/>
  <c r="D1540" i="3" s="1"/>
  <c r="E1540" i="3" s="1"/>
  <c r="F1540" i="3" s="1"/>
  <c r="H1540" i="3" s="1"/>
  <c r="G1540" i="3"/>
  <c r="I1540" i="3"/>
  <c r="C1541" i="3"/>
  <c r="D1541" i="3"/>
  <c r="E1541" i="3"/>
  <c r="F1541" i="3" s="1"/>
  <c r="G1541" i="3"/>
  <c r="H1541" i="3"/>
  <c r="I1541" i="3"/>
  <c r="C1542" i="3"/>
  <c r="D1542" i="3"/>
  <c r="E1542" i="3"/>
  <c r="F1542" i="3" s="1"/>
  <c r="H1542" i="3" s="1"/>
  <c r="G1542" i="3"/>
  <c r="I1542" i="3"/>
  <c r="C1543" i="3"/>
  <c r="D1543" i="3" s="1"/>
  <c r="E1543" i="3" s="1"/>
  <c r="F1543" i="3" s="1"/>
  <c r="H1543" i="3" s="1"/>
  <c r="G1543" i="3"/>
  <c r="I1543" i="3"/>
  <c r="C1544" i="3"/>
  <c r="D1544" i="3" s="1"/>
  <c r="E1544" i="3" s="1"/>
  <c r="F1544" i="3"/>
  <c r="G1544" i="3"/>
  <c r="H1544" i="3"/>
  <c r="I1544" i="3"/>
  <c r="C1545" i="3"/>
  <c r="D1545" i="3"/>
  <c r="E1545" i="3" s="1"/>
  <c r="F1545" i="3" s="1"/>
  <c r="H1545" i="3" s="1"/>
  <c r="G1545" i="3"/>
  <c r="I1545" i="3"/>
  <c r="C1546" i="3"/>
  <c r="D1546" i="3" s="1"/>
  <c r="E1546" i="3" s="1"/>
  <c r="F1546" i="3" s="1"/>
  <c r="H1546" i="3" s="1"/>
  <c r="G1546" i="3"/>
  <c r="I1546" i="3"/>
  <c r="C1547" i="3"/>
  <c r="D1547" i="3" s="1"/>
  <c r="E1547" i="3" s="1"/>
  <c r="F1547" i="3"/>
  <c r="H1547" i="3" s="1"/>
  <c r="G1547" i="3"/>
  <c r="I1547" i="3"/>
  <c r="C1548" i="3"/>
  <c r="D1548" i="3" s="1"/>
  <c r="E1548" i="3" s="1"/>
  <c r="F1548" i="3" s="1"/>
  <c r="H1548" i="3" s="1"/>
  <c r="G1548" i="3"/>
  <c r="I1548" i="3"/>
  <c r="C1549" i="3"/>
  <c r="D1549" i="3"/>
  <c r="E1549" i="3"/>
  <c r="F1549" i="3"/>
  <c r="H1549" i="3" s="1"/>
  <c r="G1549" i="3"/>
  <c r="I1549" i="3"/>
  <c r="C1550" i="3"/>
  <c r="D1550" i="3" s="1"/>
  <c r="E1550" i="3" s="1"/>
  <c r="F1550" i="3" s="1"/>
  <c r="H1550" i="3" s="1"/>
  <c r="G1550" i="3"/>
  <c r="I1550" i="3"/>
  <c r="C1551" i="3"/>
  <c r="D1551" i="3"/>
  <c r="E1551" i="3" s="1"/>
  <c r="F1551" i="3" s="1"/>
  <c r="H1551" i="3" s="1"/>
  <c r="G1551" i="3"/>
  <c r="I1551" i="3"/>
  <c r="C1552" i="3"/>
  <c r="D1552" i="3" s="1"/>
  <c r="E1552" i="3"/>
  <c r="F1552" i="3" s="1"/>
  <c r="H1552" i="3" s="1"/>
  <c r="G1552" i="3"/>
  <c r="I1552" i="3"/>
  <c r="C1553" i="3"/>
  <c r="D1553" i="3"/>
  <c r="E1553" i="3" s="1"/>
  <c r="F1553" i="3"/>
  <c r="G1553" i="3"/>
  <c r="H1553" i="3"/>
  <c r="I1553" i="3"/>
  <c r="C1554" i="3"/>
  <c r="D1554" i="3" s="1"/>
  <c r="E1554" i="3" s="1"/>
  <c r="F1554" i="3" s="1"/>
  <c r="H1554" i="3" s="1"/>
  <c r="G1554" i="3"/>
  <c r="I1554" i="3"/>
  <c r="C1555" i="3"/>
  <c r="D1555" i="3"/>
  <c r="E1555" i="3" s="1"/>
  <c r="F1555" i="3"/>
  <c r="H1555" i="3" s="1"/>
  <c r="G1555" i="3"/>
  <c r="I1555" i="3"/>
  <c r="C1556" i="3"/>
  <c r="D1556" i="3" s="1"/>
  <c r="E1556" i="3" s="1"/>
  <c r="F1556" i="3" s="1"/>
  <c r="H1556" i="3" s="1"/>
  <c r="G1556" i="3"/>
  <c r="I1556" i="3"/>
  <c r="C1557" i="3"/>
  <c r="D1557" i="3"/>
  <c r="E1557" i="3" s="1"/>
  <c r="F1557" i="3" s="1"/>
  <c r="H1557" i="3" s="1"/>
  <c r="G1557" i="3"/>
  <c r="I1557" i="3"/>
  <c r="C1558" i="3"/>
  <c r="D1558" i="3" s="1"/>
  <c r="E1558" i="3" s="1"/>
  <c r="F1558" i="3" s="1"/>
  <c r="H1558" i="3" s="1"/>
  <c r="G1558" i="3"/>
  <c r="I1558" i="3"/>
  <c r="C1559" i="3"/>
  <c r="D1559" i="3"/>
  <c r="E1559" i="3" s="1"/>
  <c r="F1559" i="3"/>
  <c r="G1559" i="3"/>
  <c r="H1559" i="3" s="1"/>
  <c r="I1559" i="3"/>
  <c r="C1560" i="3"/>
  <c r="D1560" i="3" s="1"/>
  <c r="E1560" i="3" s="1"/>
  <c r="F1560" i="3" s="1"/>
  <c r="H1560" i="3" s="1"/>
  <c r="G1560" i="3"/>
  <c r="I1560" i="3"/>
  <c r="C1561" i="3"/>
  <c r="D1561" i="3"/>
  <c r="E1561" i="3" s="1"/>
  <c r="F1561" i="3"/>
  <c r="H1561" i="3" s="1"/>
  <c r="G1561" i="3"/>
  <c r="I1561" i="3"/>
  <c r="C1562" i="3"/>
  <c r="D1562" i="3" s="1"/>
  <c r="E1562" i="3"/>
  <c r="F1562" i="3" s="1"/>
  <c r="G1562" i="3"/>
  <c r="I1562" i="3"/>
  <c r="C1563" i="3"/>
  <c r="D1563" i="3" s="1"/>
  <c r="E1563" i="3" s="1"/>
  <c r="F1563" i="3" s="1"/>
  <c r="H1563" i="3" s="1"/>
  <c r="G1563" i="3"/>
  <c r="I1563" i="3"/>
  <c r="C1564" i="3"/>
  <c r="D1564" i="3" s="1"/>
  <c r="E1564" i="3" s="1"/>
  <c r="F1564" i="3" s="1"/>
  <c r="H1564" i="3" s="1"/>
  <c r="G1564" i="3"/>
  <c r="I1564" i="3"/>
  <c r="C1565" i="3"/>
  <c r="D1565" i="3"/>
  <c r="E1565" i="3"/>
  <c r="F1565" i="3"/>
  <c r="H1565" i="3" s="1"/>
  <c r="G1565" i="3"/>
  <c r="I1565" i="3"/>
  <c r="C1566" i="3"/>
  <c r="D1566" i="3" s="1"/>
  <c r="E1566" i="3" s="1"/>
  <c r="F1566" i="3" s="1"/>
  <c r="H1566" i="3" s="1"/>
  <c r="G1566" i="3"/>
  <c r="I1566" i="3"/>
  <c r="C1567" i="3"/>
  <c r="D1567" i="3"/>
  <c r="E1567" i="3" s="1"/>
  <c r="F1567" i="3" s="1"/>
  <c r="H1567" i="3" s="1"/>
  <c r="G1567" i="3"/>
  <c r="I1567" i="3"/>
  <c r="C1568" i="3"/>
  <c r="D1568" i="3" s="1"/>
  <c r="E1568" i="3"/>
  <c r="F1568" i="3" s="1"/>
  <c r="H1568" i="3" s="1"/>
  <c r="G1568" i="3"/>
  <c r="I1568" i="3"/>
  <c r="C1569" i="3"/>
  <c r="D1569" i="3"/>
  <c r="E1569" i="3" s="1"/>
  <c r="F1569" i="3"/>
  <c r="G1569" i="3"/>
  <c r="H1569" i="3"/>
  <c r="I1569" i="3"/>
  <c r="C1570" i="3"/>
  <c r="D1570" i="3" s="1"/>
  <c r="E1570" i="3" s="1"/>
  <c r="F1570" i="3" s="1"/>
  <c r="H1570" i="3" s="1"/>
  <c r="G1570" i="3"/>
  <c r="I1570" i="3"/>
  <c r="C1571" i="3"/>
  <c r="D1571" i="3"/>
  <c r="E1571" i="3" s="1"/>
  <c r="F1571" i="3"/>
  <c r="H1571" i="3" s="1"/>
  <c r="G1571" i="3"/>
  <c r="I1571" i="3"/>
  <c r="C1572" i="3"/>
  <c r="D1572" i="3" s="1"/>
  <c r="E1572" i="3" s="1"/>
  <c r="F1572" i="3" s="1"/>
  <c r="H1572" i="3" s="1"/>
  <c r="G1572" i="3"/>
  <c r="I1572" i="3"/>
  <c r="C1573" i="3"/>
  <c r="D1573" i="3"/>
  <c r="E1573" i="3" s="1"/>
  <c r="F1573" i="3" s="1"/>
  <c r="H1573" i="3" s="1"/>
  <c r="G1573" i="3"/>
  <c r="I1573" i="3"/>
  <c r="C1574" i="3"/>
  <c r="D1574" i="3" s="1"/>
  <c r="E1574" i="3" s="1"/>
  <c r="F1574" i="3" s="1"/>
  <c r="H1574" i="3" s="1"/>
  <c r="G1574" i="3"/>
  <c r="I1574" i="3"/>
  <c r="C1575" i="3"/>
  <c r="D1575" i="3"/>
  <c r="E1575" i="3" s="1"/>
  <c r="F1575" i="3"/>
  <c r="G1575" i="3"/>
  <c r="H1575" i="3" s="1"/>
  <c r="I1575" i="3"/>
  <c r="C1576" i="3"/>
  <c r="D1576" i="3" s="1"/>
  <c r="E1576" i="3" s="1"/>
  <c r="F1576" i="3" s="1"/>
  <c r="H1576" i="3" s="1"/>
  <c r="G1576" i="3"/>
  <c r="I1576" i="3"/>
  <c r="C1577" i="3"/>
  <c r="D1577" i="3"/>
  <c r="E1577" i="3" s="1"/>
  <c r="F1577" i="3"/>
  <c r="H1577" i="3" s="1"/>
  <c r="G1577" i="3"/>
  <c r="I1577" i="3"/>
  <c r="C1578" i="3"/>
  <c r="D1578" i="3" s="1"/>
  <c r="E1578" i="3"/>
  <c r="F1578" i="3" s="1"/>
  <c r="G1578" i="3"/>
  <c r="I1578" i="3"/>
  <c r="C1579" i="3"/>
  <c r="D1579" i="3" s="1"/>
  <c r="E1579" i="3" s="1"/>
  <c r="F1579" i="3" s="1"/>
  <c r="H1579" i="3" s="1"/>
  <c r="G1579" i="3"/>
  <c r="I1579" i="3"/>
  <c r="C1580" i="3"/>
  <c r="D1580" i="3" s="1"/>
  <c r="E1580" i="3" s="1"/>
  <c r="F1580" i="3" s="1"/>
  <c r="H1580" i="3" s="1"/>
  <c r="G1580" i="3"/>
  <c r="I1580" i="3"/>
  <c r="C1581" i="3"/>
  <c r="D1581" i="3"/>
  <c r="E1581" i="3"/>
  <c r="F1581" i="3"/>
  <c r="H1581" i="3" s="1"/>
  <c r="G1581" i="3"/>
  <c r="I1581" i="3"/>
  <c r="C1582" i="3"/>
  <c r="D1582" i="3" s="1"/>
  <c r="E1582" i="3" s="1"/>
  <c r="F1582" i="3" s="1"/>
  <c r="H1582" i="3" s="1"/>
  <c r="G1582" i="3"/>
  <c r="I1582" i="3"/>
  <c r="C1583" i="3"/>
  <c r="D1583" i="3"/>
  <c r="E1583" i="3" s="1"/>
  <c r="F1583" i="3" s="1"/>
  <c r="H1583" i="3" s="1"/>
  <c r="G1583" i="3"/>
  <c r="I1583" i="3"/>
  <c r="C1584" i="3"/>
  <c r="D1584" i="3" s="1"/>
  <c r="E1584" i="3"/>
  <c r="F1584" i="3" s="1"/>
  <c r="H1584" i="3" s="1"/>
  <c r="G1584" i="3"/>
  <c r="I1584" i="3"/>
  <c r="C1585" i="3"/>
  <c r="D1585" i="3"/>
  <c r="E1585" i="3" s="1"/>
  <c r="F1585" i="3"/>
  <c r="G1585" i="3"/>
  <c r="H1585" i="3"/>
  <c r="I1585" i="3"/>
  <c r="C1586" i="3"/>
  <c r="D1586" i="3" s="1"/>
  <c r="E1586" i="3" s="1"/>
  <c r="F1586" i="3" s="1"/>
  <c r="H1586" i="3" s="1"/>
  <c r="G1586" i="3"/>
  <c r="I1586" i="3"/>
  <c r="C1587" i="3"/>
  <c r="D1587" i="3"/>
  <c r="E1587" i="3" s="1"/>
  <c r="F1587" i="3"/>
  <c r="H1587" i="3" s="1"/>
  <c r="G1587" i="3"/>
  <c r="I1587" i="3"/>
  <c r="C1588" i="3"/>
  <c r="D1588" i="3" s="1"/>
  <c r="E1588" i="3" s="1"/>
  <c r="F1588" i="3" s="1"/>
  <c r="H1588" i="3" s="1"/>
  <c r="G1588" i="3"/>
  <c r="I1588" i="3"/>
  <c r="C1589" i="3"/>
  <c r="D1589" i="3"/>
  <c r="E1589" i="3" s="1"/>
  <c r="F1589" i="3" s="1"/>
  <c r="H1589" i="3" s="1"/>
  <c r="G1589" i="3"/>
  <c r="I1589" i="3"/>
  <c r="C1590" i="3"/>
  <c r="D1590" i="3" s="1"/>
  <c r="E1590" i="3" s="1"/>
  <c r="F1590" i="3" s="1"/>
  <c r="H1590" i="3" s="1"/>
  <c r="G1590" i="3"/>
  <c r="I1590" i="3"/>
  <c r="C1591" i="3"/>
  <c r="D1591" i="3"/>
  <c r="E1591" i="3" s="1"/>
  <c r="F1591" i="3"/>
  <c r="G1591" i="3"/>
  <c r="H1591" i="3" s="1"/>
  <c r="I1591" i="3"/>
  <c r="C1592" i="3"/>
  <c r="D1592" i="3" s="1"/>
  <c r="E1592" i="3" s="1"/>
  <c r="F1592" i="3" s="1"/>
  <c r="H1592" i="3" s="1"/>
  <c r="G1592" i="3"/>
  <c r="I1592" i="3"/>
  <c r="C1593" i="3"/>
  <c r="D1593" i="3"/>
  <c r="E1593" i="3" s="1"/>
  <c r="F1593" i="3"/>
  <c r="H1593" i="3" s="1"/>
  <c r="G1593" i="3"/>
  <c r="I1593" i="3"/>
  <c r="C1594" i="3"/>
  <c r="D1594" i="3" s="1"/>
  <c r="E1594" i="3"/>
  <c r="F1594" i="3" s="1"/>
  <c r="G1594" i="3"/>
  <c r="I1594" i="3"/>
  <c r="C1595" i="3"/>
  <c r="D1595" i="3" s="1"/>
  <c r="E1595" i="3" s="1"/>
  <c r="F1595" i="3" s="1"/>
  <c r="H1595" i="3" s="1"/>
  <c r="G1595" i="3"/>
  <c r="I1595" i="3"/>
  <c r="C1596" i="3"/>
  <c r="D1596" i="3" s="1"/>
  <c r="E1596" i="3" s="1"/>
  <c r="F1596" i="3" s="1"/>
  <c r="H1596" i="3" s="1"/>
  <c r="G1596" i="3"/>
  <c r="I1596" i="3"/>
  <c r="C1597" i="3"/>
  <c r="D1597" i="3"/>
  <c r="E1597" i="3" s="1"/>
  <c r="F1597" i="3" s="1"/>
  <c r="H1597" i="3" s="1"/>
  <c r="G1597" i="3"/>
  <c r="I1597" i="3"/>
  <c r="C1598" i="3"/>
  <c r="D1598" i="3" s="1"/>
  <c r="E1598" i="3" s="1"/>
  <c r="F1598" i="3" s="1"/>
  <c r="H1598" i="3" s="1"/>
  <c r="G1598" i="3"/>
  <c r="I1598" i="3"/>
  <c r="C1599" i="3"/>
  <c r="D1599" i="3"/>
  <c r="E1599" i="3" s="1"/>
  <c r="F1599" i="3" s="1"/>
  <c r="H1599" i="3" s="1"/>
  <c r="G1599" i="3"/>
  <c r="I1599" i="3"/>
  <c r="C1600" i="3"/>
  <c r="D1600" i="3" s="1"/>
  <c r="E1600" i="3"/>
  <c r="F1600" i="3" s="1"/>
  <c r="H1600" i="3" s="1"/>
  <c r="G1600" i="3"/>
  <c r="I1600" i="3"/>
  <c r="C1601" i="3"/>
  <c r="D1601" i="3"/>
  <c r="E1601" i="3" s="1"/>
  <c r="F1601" i="3"/>
  <c r="G1601" i="3"/>
  <c r="H1601" i="3"/>
  <c r="I1601" i="3"/>
  <c r="C1602" i="3"/>
  <c r="D1602" i="3" s="1"/>
  <c r="E1602" i="3" s="1"/>
  <c r="F1602" i="3" s="1"/>
  <c r="H1602" i="3" s="1"/>
  <c r="G1602" i="3"/>
  <c r="I1602" i="3"/>
  <c r="C1603" i="3"/>
  <c r="D1603" i="3"/>
  <c r="E1603" i="3" s="1"/>
  <c r="F1603" i="3"/>
  <c r="H1603" i="3" s="1"/>
  <c r="G1603" i="3"/>
  <c r="I1603" i="3"/>
  <c r="C1604" i="3"/>
  <c r="D1604" i="3" s="1"/>
  <c r="E1604" i="3" s="1"/>
  <c r="F1604" i="3" s="1"/>
  <c r="H1604" i="3" s="1"/>
  <c r="G1604" i="3"/>
  <c r="I1604" i="3"/>
  <c r="C1605" i="3"/>
  <c r="D1605" i="3"/>
  <c r="E1605" i="3" s="1"/>
  <c r="F1605" i="3" s="1"/>
  <c r="H1605" i="3" s="1"/>
  <c r="G1605" i="3"/>
  <c r="I1605" i="3"/>
  <c r="C1606" i="3"/>
  <c r="D1606" i="3" s="1"/>
  <c r="E1606" i="3" s="1"/>
  <c r="F1606" i="3" s="1"/>
  <c r="H1606" i="3" s="1"/>
  <c r="G1606" i="3"/>
  <c r="I1606" i="3"/>
  <c r="C1607" i="3"/>
  <c r="D1607" i="3"/>
  <c r="E1607" i="3" s="1"/>
  <c r="F1607" i="3"/>
  <c r="H1607" i="3" s="1"/>
  <c r="G1607" i="3"/>
  <c r="I1607" i="3"/>
  <c r="C1608" i="3"/>
  <c r="D1608" i="3" s="1"/>
  <c r="E1608" i="3" s="1"/>
  <c r="F1608" i="3" s="1"/>
  <c r="H1608" i="3" s="1"/>
  <c r="G1608" i="3"/>
  <c r="I1608" i="3"/>
  <c r="C1609" i="3"/>
  <c r="D1609" i="3"/>
  <c r="E1609" i="3" s="1"/>
  <c r="F1609" i="3"/>
  <c r="H1609" i="3" s="1"/>
  <c r="G1609" i="3"/>
  <c r="I1609" i="3"/>
  <c r="C1610" i="3"/>
  <c r="D1610" i="3" s="1"/>
  <c r="E1610" i="3" s="1"/>
  <c r="F1610" i="3" s="1"/>
  <c r="H1610" i="3" s="1"/>
  <c r="G1610" i="3"/>
  <c r="I1610" i="3"/>
  <c r="C1611" i="3"/>
  <c r="D1611" i="3" s="1"/>
  <c r="E1611" i="3" s="1"/>
  <c r="F1611" i="3" s="1"/>
  <c r="H1611" i="3" s="1"/>
  <c r="G1611" i="3"/>
  <c r="I1611" i="3"/>
  <c r="C1612" i="3"/>
  <c r="D1612" i="3" s="1"/>
  <c r="E1612" i="3" s="1"/>
  <c r="F1612" i="3" s="1"/>
  <c r="H1612" i="3" s="1"/>
  <c r="G1612" i="3"/>
  <c r="I1612" i="3"/>
  <c r="C1613" i="3"/>
  <c r="D1613" i="3"/>
  <c r="E1613" i="3" s="1"/>
  <c r="F1613" i="3" s="1"/>
  <c r="H1613" i="3" s="1"/>
  <c r="G1613" i="3"/>
  <c r="I1613" i="3"/>
  <c r="C1614" i="3"/>
  <c r="D1614" i="3" s="1"/>
  <c r="E1614" i="3" s="1"/>
  <c r="F1614" i="3" s="1"/>
  <c r="H1614" i="3" s="1"/>
  <c r="G1614" i="3"/>
  <c r="I1614" i="3"/>
  <c r="C1615" i="3"/>
  <c r="D1615" i="3"/>
  <c r="E1615" i="3" s="1"/>
  <c r="F1615" i="3" s="1"/>
  <c r="H1615" i="3" s="1"/>
  <c r="G1615" i="3"/>
  <c r="I1615" i="3"/>
  <c r="C1616" i="3"/>
  <c r="D1616" i="3" s="1"/>
  <c r="E1616" i="3"/>
  <c r="F1616" i="3" s="1"/>
  <c r="H1616" i="3" s="1"/>
  <c r="G1616" i="3"/>
  <c r="I1616" i="3"/>
  <c r="C1617" i="3"/>
  <c r="D1617" i="3"/>
  <c r="E1617" i="3" s="1"/>
  <c r="F1617" i="3"/>
  <c r="G1617" i="3"/>
  <c r="H1617" i="3"/>
  <c r="I1617" i="3"/>
  <c r="C1618" i="3"/>
  <c r="D1618" i="3" s="1"/>
  <c r="E1618" i="3" s="1"/>
  <c r="F1618" i="3" s="1"/>
  <c r="H1618" i="3" s="1"/>
  <c r="G1618" i="3"/>
  <c r="I1618" i="3"/>
  <c r="C1619" i="3"/>
  <c r="D1619" i="3" s="1"/>
  <c r="E1619" i="3" s="1"/>
  <c r="F1619" i="3" s="1"/>
  <c r="H1619" i="3" s="1"/>
  <c r="G1619" i="3"/>
  <c r="I1619" i="3"/>
  <c r="C1620" i="3"/>
  <c r="D1620" i="3" s="1"/>
  <c r="E1620" i="3" s="1"/>
  <c r="F1620" i="3" s="1"/>
  <c r="H1620" i="3" s="1"/>
  <c r="G1620" i="3"/>
  <c r="I1620" i="3"/>
  <c r="C1621" i="3"/>
  <c r="D1621" i="3"/>
  <c r="E1621" i="3" s="1"/>
  <c r="F1621" i="3" s="1"/>
  <c r="H1621" i="3" s="1"/>
  <c r="G1621" i="3"/>
  <c r="I1621" i="3"/>
  <c r="C1622" i="3"/>
  <c r="D1622" i="3" s="1"/>
  <c r="E1622" i="3" s="1"/>
  <c r="F1622" i="3" s="1"/>
  <c r="H1622" i="3" s="1"/>
  <c r="G1622" i="3"/>
  <c r="I1622" i="3"/>
  <c r="C1623" i="3"/>
  <c r="D1623" i="3"/>
  <c r="E1623" i="3" s="1"/>
  <c r="F1623" i="3" s="1"/>
  <c r="H1623" i="3" s="1"/>
  <c r="G1623" i="3"/>
  <c r="I1623" i="3"/>
  <c r="C1624" i="3"/>
  <c r="D1624" i="3" s="1"/>
  <c r="E1624" i="3" s="1"/>
  <c r="F1624" i="3" s="1"/>
  <c r="H1624" i="3" s="1"/>
  <c r="G1624" i="3"/>
  <c r="I1624" i="3"/>
  <c r="C1625" i="3"/>
  <c r="D1625" i="3"/>
  <c r="E1625" i="3" s="1"/>
  <c r="F1625" i="3"/>
  <c r="H1625" i="3" s="1"/>
  <c r="G1625" i="3"/>
  <c r="I1625" i="3"/>
  <c r="C1626" i="3"/>
  <c r="D1626" i="3" s="1"/>
  <c r="E1626" i="3" s="1"/>
  <c r="F1626" i="3" s="1"/>
  <c r="H1626" i="3" s="1"/>
  <c r="G1626" i="3"/>
  <c r="I1626" i="3"/>
  <c r="C1627" i="3"/>
  <c r="D1627" i="3" s="1"/>
  <c r="E1627" i="3" s="1"/>
  <c r="F1627" i="3" s="1"/>
  <c r="H1627" i="3" s="1"/>
  <c r="G1627" i="3"/>
  <c r="I1627" i="3"/>
  <c r="C1628" i="3"/>
  <c r="D1628" i="3" s="1"/>
  <c r="E1628" i="3" s="1"/>
  <c r="F1628" i="3" s="1"/>
  <c r="H1628" i="3" s="1"/>
  <c r="G1628" i="3"/>
  <c r="I1628" i="3"/>
  <c r="C1629" i="3"/>
  <c r="D1629" i="3"/>
  <c r="E1629" i="3" s="1"/>
  <c r="F1629" i="3" s="1"/>
  <c r="H1629" i="3" s="1"/>
  <c r="G1629" i="3"/>
  <c r="I1629" i="3"/>
  <c r="C1630" i="3"/>
  <c r="D1630" i="3" s="1"/>
  <c r="E1630" i="3" s="1"/>
  <c r="F1630" i="3" s="1"/>
  <c r="H1630" i="3" s="1"/>
  <c r="G1630" i="3"/>
  <c r="I1630" i="3"/>
  <c r="C1631" i="3"/>
  <c r="D1631" i="3"/>
  <c r="E1631" i="3" s="1"/>
  <c r="F1631" i="3" s="1"/>
  <c r="H1631" i="3" s="1"/>
  <c r="G1631" i="3"/>
  <c r="I1631" i="3"/>
  <c r="C1632" i="3"/>
  <c r="D1632" i="3" s="1"/>
  <c r="E1632" i="3"/>
  <c r="F1632" i="3" s="1"/>
  <c r="G1632" i="3"/>
  <c r="H1632" i="3"/>
  <c r="I1632" i="3"/>
  <c r="C1633" i="3"/>
  <c r="D1633" i="3"/>
  <c r="E1633" i="3"/>
  <c r="F1633" i="3" s="1"/>
  <c r="H1633" i="3" s="1"/>
  <c r="G1633" i="3"/>
  <c r="I1633" i="3"/>
  <c r="C1634" i="3"/>
  <c r="D1634" i="3" s="1"/>
  <c r="E1634" i="3" s="1"/>
  <c r="F1634" i="3" s="1"/>
  <c r="H1634" i="3" s="1"/>
  <c r="G1634" i="3"/>
  <c r="I1634" i="3"/>
  <c r="C1635" i="3"/>
  <c r="D1635" i="3" s="1"/>
  <c r="E1635" i="3" s="1"/>
  <c r="F1635" i="3" s="1"/>
  <c r="H1635" i="3" s="1"/>
  <c r="G1635" i="3"/>
  <c r="I1635" i="3"/>
  <c r="C1636" i="3"/>
  <c r="D1636" i="3" s="1"/>
  <c r="E1636" i="3" s="1"/>
  <c r="F1636" i="3" s="1"/>
  <c r="H1636" i="3" s="1"/>
  <c r="G1636" i="3"/>
  <c r="I1636" i="3"/>
  <c r="C1637" i="3"/>
  <c r="D1637" i="3"/>
  <c r="E1637" i="3"/>
  <c r="F1637" i="3" s="1"/>
  <c r="H1637" i="3" s="1"/>
  <c r="G1637" i="3"/>
  <c r="I1637" i="3"/>
  <c r="C1638" i="3"/>
  <c r="D1638" i="3" s="1"/>
  <c r="E1638" i="3" s="1"/>
  <c r="F1638" i="3" s="1"/>
  <c r="H1638" i="3" s="1"/>
  <c r="G1638" i="3"/>
  <c r="I1638" i="3"/>
  <c r="C1639" i="3"/>
  <c r="D1639" i="3" s="1"/>
  <c r="E1639" i="3" s="1"/>
  <c r="F1639" i="3" s="1"/>
  <c r="H1639" i="3" s="1"/>
  <c r="G1639" i="3"/>
  <c r="I1639" i="3"/>
  <c r="C1640" i="3"/>
  <c r="D1640" i="3" s="1"/>
  <c r="E1640" i="3" s="1"/>
  <c r="F1640" i="3" s="1"/>
  <c r="H1640" i="3" s="1"/>
  <c r="G1640" i="3"/>
  <c r="I1640" i="3"/>
  <c r="C1641" i="3"/>
  <c r="D1641" i="3"/>
  <c r="E1641" i="3"/>
  <c r="F1641" i="3" s="1"/>
  <c r="H1641" i="3" s="1"/>
  <c r="G1641" i="3"/>
  <c r="I1641" i="3"/>
  <c r="C1642" i="3"/>
  <c r="D1642" i="3" s="1"/>
  <c r="E1642" i="3" s="1"/>
  <c r="F1642" i="3" s="1"/>
  <c r="H1642" i="3" s="1"/>
  <c r="G1642" i="3"/>
  <c r="I1642" i="3"/>
  <c r="C1643" i="3"/>
  <c r="D1643" i="3" s="1"/>
  <c r="E1643" i="3" s="1"/>
  <c r="F1643" i="3" s="1"/>
  <c r="H1643" i="3" s="1"/>
  <c r="G1643" i="3"/>
  <c r="I1643" i="3"/>
  <c r="C1644" i="3"/>
  <c r="D1644" i="3" s="1"/>
  <c r="E1644" i="3" s="1"/>
  <c r="F1644" i="3" s="1"/>
  <c r="H1644" i="3" s="1"/>
  <c r="G1644" i="3"/>
  <c r="I1644" i="3"/>
  <c r="C1645" i="3"/>
  <c r="D1645" i="3"/>
  <c r="E1645" i="3"/>
  <c r="F1645" i="3" s="1"/>
  <c r="H1645" i="3" s="1"/>
  <c r="G1645" i="3"/>
  <c r="I1645" i="3"/>
  <c r="C1646" i="3"/>
  <c r="D1646" i="3" s="1"/>
  <c r="E1646" i="3" s="1"/>
  <c r="F1646" i="3" s="1"/>
  <c r="H1646" i="3" s="1"/>
  <c r="G1646" i="3"/>
  <c r="I1646" i="3"/>
  <c r="C1647" i="3"/>
  <c r="D1647" i="3" s="1"/>
  <c r="E1647" i="3" s="1"/>
  <c r="F1647" i="3" s="1"/>
  <c r="H1647" i="3" s="1"/>
  <c r="G1647" i="3"/>
  <c r="I1647" i="3"/>
  <c r="C1648" i="3"/>
  <c r="D1648" i="3" s="1"/>
  <c r="E1648" i="3" s="1"/>
  <c r="F1648" i="3" s="1"/>
  <c r="H1648" i="3" s="1"/>
  <c r="G1648" i="3"/>
  <c r="I1648" i="3"/>
  <c r="C1649" i="3"/>
  <c r="D1649" i="3"/>
  <c r="E1649" i="3"/>
  <c r="F1649" i="3" s="1"/>
  <c r="H1649" i="3" s="1"/>
  <c r="G1649" i="3"/>
  <c r="I1649" i="3"/>
  <c r="C1650" i="3"/>
  <c r="D1650" i="3" s="1"/>
  <c r="E1650" i="3" s="1"/>
  <c r="F1650" i="3" s="1"/>
  <c r="H1650" i="3" s="1"/>
  <c r="G1650" i="3"/>
  <c r="I1650" i="3"/>
  <c r="C1651" i="3"/>
  <c r="D1651" i="3" s="1"/>
  <c r="E1651" i="3" s="1"/>
  <c r="F1651" i="3" s="1"/>
  <c r="H1651" i="3" s="1"/>
  <c r="G1651" i="3"/>
  <c r="I1651" i="3"/>
  <c r="C1652" i="3"/>
  <c r="D1652" i="3" s="1"/>
  <c r="E1652" i="3" s="1"/>
  <c r="F1652" i="3" s="1"/>
  <c r="H1652" i="3" s="1"/>
  <c r="G1652" i="3"/>
  <c r="I1652" i="3"/>
  <c r="C1653" i="3"/>
  <c r="D1653" i="3"/>
  <c r="E1653" i="3"/>
  <c r="F1653" i="3" s="1"/>
  <c r="H1653" i="3" s="1"/>
  <c r="G1653" i="3"/>
  <c r="I1653" i="3"/>
  <c r="C1654" i="3"/>
  <c r="D1654" i="3" s="1"/>
  <c r="E1654" i="3" s="1"/>
  <c r="F1654" i="3" s="1"/>
  <c r="H1654" i="3" s="1"/>
  <c r="G1654" i="3"/>
  <c r="I1654" i="3"/>
  <c r="C1655" i="3"/>
  <c r="D1655" i="3" s="1"/>
  <c r="E1655" i="3" s="1"/>
  <c r="F1655" i="3" s="1"/>
  <c r="H1655" i="3" s="1"/>
  <c r="G1655" i="3"/>
  <c r="I1655" i="3"/>
  <c r="C1656" i="3"/>
  <c r="D1656" i="3" s="1"/>
  <c r="E1656" i="3" s="1"/>
  <c r="F1656" i="3" s="1"/>
  <c r="H1656" i="3" s="1"/>
  <c r="G1656" i="3"/>
  <c r="I1656" i="3"/>
  <c r="C1657" i="3"/>
  <c r="D1657" i="3"/>
  <c r="E1657" i="3"/>
  <c r="F1657" i="3" s="1"/>
  <c r="H1657" i="3" s="1"/>
  <c r="G1657" i="3"/>
  <c r="I1657" i="3"/>
  <c r="C1658" i="3"/>
  <c r="D1658" i="3" s="1"/>
  <c r="E1658" i="3" s="1"/>
  <c r="F1658" i="3" s="1"/>
  <c r="H1658" i="3" s="1"/>
  <c r="G1658" i="3"/>
  <c r="I1658" i="3"/>
  <c r="C1659" i="3"/>
  <c r="D1659" i="3" s="1"/>
  <c r="E1659" i="3" s="1"/>
  <c r="F1659" i="3" s="1"/>
  <c r="H1659" i="3" s="1"/>
  <c r="G1659" i="3"/>
  <c r="I1659" i="3"/>
  <c r="C1660" i="3"/>
  <c r="D1660" i="3" s="1"/>
  <c r="E1660" i="3" s="1"/>
  <c r="F1660" i="3" s="1"/>
  <c r="H1660" i="3" s="1"/>
  <c r="G1660" i="3"/>
  <c r="I1660" i="3"/>
  <c r="C1661" i="3"/>
  <c r="D1661" i="3"/>
  <c r="E1661" i="3"/>
  <c r="F1661" i="3" s="1"/>
  <c r="H1661" i="3" s="1"/>
  <c r="G1661" i="3"/>
  <c r="I1661" i="3"/>
  <c r="C1662" i="3"/>
  <c r="D1662" i="3" s="1"/>
  <c r="E1662" i="3" s="1"/>
  <c r="F1662" i="3" s="1"/>
  <c r="H1662" i="3" s="1"/>
  <c r="G1662" i="3"/>
  <c r="I1662" i="3"/>
  <c r="C1663" i="3"/>
  <c r="D1663" i="3" s="1"/>
  <c r="E1663" i="3" s="1"/>
  <c r="F1663" i="3" s="1"/>
  <c r="H1663" i="3" s="1"/>
  <c r="G1663" i="3"/>
  <c r="I1663" i="3"/>
  <c r="C1664" i="3"/>
  <c r="D1664" i="3" s="1"/>
  <c r="E1664" i="3" s="1"/>
  <c r="F1664" i="3" s="1"/>
  <c r="H1664" i="3" s="1"/>
  <c r="G1664" i="3"/>
  <c r="I1664" i="3"/>
  <c r="C1665" i="3"/>
  <c r="D1665" i="3"/>
  <c r="E1665" i="3"/>
  <c r="F1665" i="3" s="1"/>
  <c r="H1665" i="3" s="1"/>
  <c r="G1665" i="3"/>
  <c r="I1665" i="3"/>
  <c r="C1666" i="3"/>
  <c r="D1666" i="3" s="1"/>
  <c r="E1666" i="3" s="1"/>
  <c r="F1666" i="3" s="1"/>
  <c r="H1666" i="3" s="1"/>
  <c r="G1666" i="3"/>
  <c r="I1666" i="3"/>
  <c r="C1667" i="3"/>
  <c r="D1667" i="3" s="1"/>
  <c r="E1667" i="3" s="1"/>
  <c r="F1667" i="3" s="1"/>
  <c r="H1667" i="3" s="1"/>
  <c r="G1667" i="3"/>
  <c r="I1667" i="3"/>
  <c r="C1668" i="3"/>
  <c r="D1668" i="3" s="1"/>
  <c r="E1668" i="3" s="1"/>
  <c r="F1668" i="3" s="1"/>
  <c r="H1668" i="3" s="1"/>
  <c r="G1668" i="3"/>
  <c r="I1668" i="3"/>
  <c r="C1669" i="3"/>
  <c r="D1669" i="3"/>
  <c r="E1669" i="3"/>
  <c r="F1669" i="3" s="1"/>
  <c r="H1669" i="3" s="1"/>
  <c r="G1669" i="3"/>
  <c r="I1669" i="3"/>
  <c r="C1670" i="3"/>
  <c r="D1670" i="3" s="1"/>
  <c r="E1670" i="3" s="1"/>
  <c r="F1670" i="3" s="1"/>
  <c r="H1670" i="3" s="1"/>
  <c r="G1670" i="3"/>
  <c r="I1670" i="3"/>
  <c r="C1671" i="3"/>
  <c r="D1671" i="3" s="1"/>
  <c r="E1671" i="3" s="1"/>
  <c r="F1671" i="3" s="1"/>
  <c r="H1671" i="3" s="1"/>
  <c r="G1671" i="3"/>
  <c r="I1671" i="3"/>
  <c r="C1672" i="3"/>
  <c r="D1672" i="3" s="1"/>
  <c r="E1672" i="3" s="1"/>
  <c r="F1672" i="3" s="1"/>
  <c r="H1672" i="3" s="1"/>
  <c r="G1672" i="3"/>
  <c r="I1672" i="3"/>
  <c r="C1673" i="3"/>
  <c r="D1673" i="3"/>
  <c r="E1673" i="3"/>
  <c r="F1673" i="3" s="1"/>
  <c r="H1673" i="3" s="1"/>
  <c r="G1673" i="3"/>
  <c r="I1673" i="3"/>
  <c r="C1674" i="3"/>
  <c r="D1674" i="3" s="1"/>
  <c r="E1674" i="3" s="1"/>
  <c r="F1674" i="3" s="1"/>
  <c r="H1674" i="3" s="1"/>
  <c r="G1674" i="3"/>
  <c r="I1674" i="3"/>
  <c r="C1675" i="3"/>
  <c r="D1675" i="3" s="1"/>
  <c r="E1675" i="3" s="1"/>
  <c r="F1675" i="3" s="1"/>
  <c r="H1675" i="3" s="1"/>
  <c r="G1675" i="3"/>
  <c r="I1675" i="3"/>
  <c r="C1676" i="3"/>
  <c r="D1676" i="3" s="1"/>
  <c r="E1676" i="3" s="1"/>
  <c r="F1676" i="3" s="1"/>
  <c r="H1676" i="3" s="1"/>
  <c r="G1676" i="3"/>
  <c r="I1676" i="3"/>
  <c r="C1677" i="3"/>
  <c r="D1677" i="3"/>
  <c r="E1677" i="3"/>
  <c r="F1677" i="3" s="1"/>
  <c r="H1677" i="3" s="1"/>
  <c r="G1677" i="3"/>
  <c r="I1677" i="3"/>
  <c r="C1678" i="3"/>
  <c r="D1678" i="3" s="1"/>
  <c r="E1678" i="3" s="1"/>
  <c r="F1678" i="3" s="1"/>
  <c r="H1678" i="3" s="1"/>
  <c r="G1678" i="3"/>
  <c r="I1678" i="3"/>
  <c r="C1679" i="3"/>
  <c r="D1679" i="3" s="1"/>
  <c r="E1679" i="3" s="1"/>
  <c r="F1679" i="3" s="1"/>
  <c r="H1679" i="3" s="1"/>
  <c r="G1679" i="3"/>
  <c r="I1679" i="3"/>
  <c r="C1680" i="3"/>
  <c r="D1680" i="3" s="1"/>
  <c r="E1680" i="3" s="1"/>
  <c r="F1680" i="3" s="1"/>
  <c r="H1680" i="3" s="1"/>
  <c r="G1680" i="3"/>
  <c r="I1680" i="3"/>
  <c r="C1681" i="3"/>
  <c r="D1681" i="3"/>
  <c r="E1681" i="3"/>
  <c r="F1681" i="3" s="1"/>
  <c r="H1681" i="3" s="1"/>
  <c r="G1681" i="3"/>
  <c r="I1681" i="3"/>
  <c r="C1682" i="3"/>
  <c r="D1682" i="3" s="1"/>
  <c r="E1682" i="3" s="1"/>
  <c r="F1682" i="3" s="1"/>
  <c r="H1682" i="3" s="1"/>
  <c r="G1682" i="3"/>
  <c r="I1682" i="3"/>
  <c r="C1683" i="3"/>
  <c r="D1683" i="3" s="1"/>
  <c r="E1683" i="3" s="1"/>
  <c r="F1683" i="3" s="1"/>
  <c r="H1683" i="3" s="1"/>
  <c r="G1683" i="3"/>
  <c r="I1683" i="3"/>
  <c r="C1684" i="3"/>
  <c r="D1684" i="3" s="1"/>
  <c r="E1684" i="3" s="1"/>
  <c r="F1684" i="3" s="1"/>
  <c r="H1684" i="3" s="1"/>
  <c r="G1684" i="3"/>
  <c r="I1684" i="3"/>
  <c r="C1685" i="3"/>
  <c r="D1685" i="3"/>
  <c r="E1685" i="3"/>
  <c r="F1685" i="3" s="1"/>
  <c r="H1685" i="3" s="1"/>
  <c r="G1685" i="3"/>
  <c r="I1685" i="3"/>
  <c r="C1686" i="3"/>
  <c r="D1686" i="3" s="1"/>
  <c r="E1686" i="3" s="1"/>
  <c r="F1686" i="3" s="1"/>
  <c r="H1686" i="3" s="1"/>
  <c r="G1686" i="3"/>
  <c r="I1686" i="3"/>
  <c r="C1687" i="3"/>
  <c r="D1687" i="3" s="1"/>
  <c r="E1687" i="3" s="1"/>
  <c r="F1687" i="3" s="1"/>
  <c r="H1687" i="3" s="1"/>
  <c r="G1687" i="3"/>
  <c r="I1687" i="3"/>
  <c r="C1688" i="3"/>
  <c r="D1688" i="3" s="1"/>
  <c r="E1688" i="3" s="1"/>
  <c r="F1688" i="3" s="1"/>
  <c r="H1688" i="3" s="1"/>
  <c r="G1688" i="3"/>
  <c r="I1688" i="3"/>
  <c r="C1689" i="3"/>
  <c r="D1689" i="3"/>
  <c r="E1689" i="3"/>
  <c r="F1689" i="3" s="1"/>
  <c r="H1689" i="3" s="1"/>
  <c r="G1689" i="3"/>
  <c r="I1689" i="3"/>
  <c r="C1690" i="3"/>
  <c r="D1690" i="3" s="1"/>
  <c r="E1690" i="3" s="1"/>
  <c r="F1690" i="3" s="1"/>
  <c r="H1690" i="3" s="1"/>
  <c r="G1690" i="3"/>
  <c r="I1690" i="3"/>
  <c r="C1691" i="3"/>
  <c r="D1691" i="3" s="1"/>
  <c r="E1691" i="3" s="1"/>
  <c r="F1691" i="3" s="1"/>
  <c r="H1691" i="3" s="1"/>
  <c r="G1691" i="3"/>
  <c r="I1691" i="3"/>
  <c r="C1692" i="3"/>
  <c r="D1692" i="3" s="1"/>
  <c r="E1692" i="3" s="1"/>
  <c r="F1692" i="3" s="1"/>
  <c r="H1692" i="3" s="1"/>
  <c r="G1692" i="3"/>
  <c r="I1692" i="3"/>
  <c r="C1693" i="3"/>
  <c r="D1693" i="3"/>
  <c r="E1693" i="3"/>
  <c r="F1693" i="3" s="1"/>
  <c r="H1693" i="3" s="1"/>
  <c r="G1693" i="3"/>
  <c r="I1693" i="3"/>
  <c r="C1694" i="3"/>
  <c r="D1694" i="3" s="1"/>
  <c r="E1694" i="3" s="1"/>
  <c r="F1694" i="3" s="1"/>
  <c r="H1694" i="3" s="1"/>
  <c r="G1694" i="3"/>
  <c r="I1694" i="3"/>
  <c r="C1695" i="3"/>
  <c r="D1695" i="3" s="1"/>
  <c r="E1695" i="3" s="1"/>
  <c r="F1695" i="3" s="1"/>
  <c r="H1695" i="3" s="1"/>
  <c r="G1695" i="3"/>
  <c r="I1695" i="3"/>
  <c r="C1696" i="3"/>
  <c r="D1696" i="3" s="1"/>
  <c r="E1696" i="3" s="1"/>
  <c r="F1696" i="3" s="1"/>
  <c r="H1696" i="3" s="1"/>
  <c r="G1696" i="3"/>
  <c r="I1696" i="3"/>
  <c r="C1697" i="3"/>
  <c r="D1697" i="3"/>
  <c r="E1697" i="3" s="1"/>
  <c r="F1697" i="3" s="1"/>
  <c r="G1697" i="3"/>
  <c r="H1697" i="3"/>
  <c r="I1697" i="3"/>
  <c r="C1698" i="3"/>
  <c r="D1698" i="3" s="1"/>
  <c r="E1698" i="3"/>
  <c r="F1698" i="3"/>
  <c r="H1698" i="3" s="1"/>
  <c r="G1698" i="3"/>
  <c r="I1698" i="3"/>
  <c r="C1699" i="3"/>
  <c r="D1699" i="3" s="1"/>
  <c r="E1699" i="3" s="1"/>
  <c r="F1699" i="3" s="1"/>
  <c r="H1699" i="3" s="1"/>
  <c r="G1699" i="3"/>
  <c r="I1699" i="3"/>
  <c r="C1700" i="3"/>
  <c r="D1700" i="3" s="1"/>
  <c r="E1700" i="3"/>
  <c r="F1700" i="3" s="1"/>
  <c r="H1700" i="3" s="1"/>
  <c r="G1700" i="3"/>
  <c r="I1700" i="3"/>
  <c r="C1701" i="3"/>
  <c r="D1701" i="3" s="1"/>
  <c r="E1701" i="3" s="1"/>
  <c r="F1701" i="3" s="1"/>
  <c r="H1701" i="3" s="1"/>
  <c r="G1701" i="3"/>
  <c r="I1701" i="3"/>
  <c r="C1702" i="3"/>
  <c r="D1702" i="3"/>
  <c r="E1702" i="3" s="1"/>
  <c r="F1702" i="3" s="1"/>
  <c r="H1702" i="3" s="1"/>
  <c r="G1702" i="3"/>
  <c r="I1702" i="3"/>
  <c r="C1703" i="3"/>
  <c r="D1703" i="3" s="1"/>
  <c r="E1703" i="3" s="1"/>
  <c r="F1703" i="3"/>
  <c r="H1703" i="3" s="1"/>
  <c r="G1703" i="3"/>
  <c r="I1703" i="3"/>
  <c r="C1704" i="3"/>
  <c r="D1704" i="3"/>
  <c r="E1704" i="3" s="1"/>
  <c r="F1704" i="3" s="1"/>
  <c r="H1704" i="3" s="1"/>
  <c r="G1704" i="3"/>
  <c r="I1704" i="3"/>
  <c r="C1705" i="3"/>
  <c r="D1705" i="3"/>
  <c r="E1705" i="3"/>
  <c r="F1705" i="3" s="1"/>
  <c r="H1705" i="3" s="1"/>
  <c r="G1705" i="3"/>
  <c r="I1705" i="3"/>
  <c r="C1706" i="3"/>
  <c r="D1706" i="3" s="1"/>
  <c r="E1706" i="3" s="1"/>
  <c r="F1706" i="3" s="1"/>
  <c r="H1706" i="3" s="1"/>
  <c r="G1706" i="3"/>
  <c r="I1706" i="3"/>
  <c r="C1707" i="3"/>
  <c r="D1707" i="3" s="1"/>
  <c r="E1707" i="3" s="1"/>
  <c r="F1707" i="3" s="1"/>
  <c r="H1707" i="3" s="1"/>
  <c r="G1707" i="3"/>
  <c r="I1707" i="3"/>
  <c r="C1708" i="3"/>
  <c r="D1708" i="3"/>
  <c r="E1708" i="3"/>
  <c r="F1708" i="3" s="1"/>
  <c r="H1708" i="3" s="1"/>
  <c r="G1708" i="3"/>
  <c r="I1708" i="3"/>
  <c r="C1709" i="3"/>
  <c r="D1709" i="3" s="1"/>
  <c r="E1709" i="3" s="1"/>
  <c r="F1709" i="3" s="1"/>
  <c r="H1709" i="3" s="1"/>
  <c r="G1709" i="3"/>
  <c r="I1709" i="3"/>
  <c r="C1710" i="3"/>
  <c r="D1710" i="3"/>
  <c r="E1710" i="3" s="1"/>
  <c r="F1710" i="3" s="1"/>
  <c r="H1710" i="3" s="1"/>
  <c r="G1710" i="3"/>
  <c r="I1710" i="3"/>
  <c r="C1711" i="3"/>
  <c r="D1711" i="3"/>
  <c r="E1711" i="3" s="1"/>
  <c r="F1711" i="3"/>
  <c r="G1711" i="3"/>
  <c r="I1711" i="3"/>
  <c r="C1712" i="3"/>
  <c r="D1712" i="3" s="1"/>
  <c r="E1712" i="3"/>
  <c r="F1712" i="3" s="1"/>
  <c r="G1712" i="3"/>
  <c r="H1712" i="3" s="1"/>
  <c r="I1712" i="3"/>
  <c r="C1713" i="3"/>
  <c r="D1713" i="3"/>
  <c r="E1713" i="3" s="1"/>
  <c r="F1713" i="3"/>
  <c r="H1713" i="3" s="1"/>
  <c r="G1713" i="3"/>
  <c r="I1713" i="3"/>
  <c r="C1714" i="3"/>
  <c r="D1714" i="3"/>
  <c r="E1714" i="3"/>
  <c r="F1714" i="3" s="1"/>
  <c r="G1714" i="3"/>
  <c r="I1714" i="3"/>
  <c r="C1715" i="3"/>
  <c r="D1715" i="3" s="1"/>
  <c r="E1715" i="3" s="1"/>
  <c r="F1715" i="3"/>
  <c r="G1715" i="3"/>
  <c r="H1715" i="3"/>
  <c r="I1715" i="3"/>
  <c r="C1716" i="3"/>
  <c r="D1716" i="3"/>
  <c r="E1716" i="3" s="1"/>
  <c r="F1716" i="3" s="1"/>
  <c r="G1716" i="3"/>
  <c r="I1716" i="3"/>
  <c r="C1717" i="3"/>
  <c r="D1717" i="3"/>
  <c r="E1717" i="3" s="1"/>
  <c r="F1717" i="3" s="1"/>
  <c r="H1717" i="3" s="1"/>
  <c r="G1717" i="3"/>
  <c r="I1717" i="3"/>
  <c r="C1718" i="3"/>
  <c r="D1718" i="3" s="1"/>
  <c r="E1718" i="3" s="1"/>
  <c r="F1718" i="3" s="1"/>
  <c r="H1718" i="3" s="1"/>
  <c r="G1718" i="3"/>
  <c r="I1718" i="3"/>
  <c r="C1719" i="3"/>
  <c r="D1719" i="3"/>
  <c r="E1719" i="3" s="1"/>
  <c r="F1719" i="3"/>
  <c r="G1719" i="3"/>
  <c r="I1719" i="3"/>
  <c r="C1720" i="3"/>
  <c r="D1720" i="3" s="1"/>
  <c r="E1720" i="3"/>
  <c r="F1720" i="3" s="1"/>
  <c r="H1720" i="3" s="1"/>
  <c r="G1720" i="3"/>
  <c r="I1720" i="3"/>
  <c r="C1721" i="3"/>
  <c r="D1721" i="3"/>
  <c r="E1721" i="3" s="1"/>
  <c r="F1721" i="3" s="1"/>
  <c r="H1721" i="3" s="1"/>
  <c r="G1721" i="3"/>
  <c r="I1721" i="3"/>
  <c r="C1722" i="3"/>
  <c r="D1722" i="3"/>
  <c r="E1722" i="3"/>
  <c r="F1722" i="3" s="1"/>
  <c r="G1722" i="3"/>
  <c r="I1722" i="3"/>
  <c r="C1723" i="3"/>
  <c r="D1723" i="3" s="1"/>
  <c r="E1723" i="3" s="1"/>
  <c r="F1723" i="3"/>
  <c r="H1723" i="3" s="1"/>
  <c r="G1723" i="3"/>
  <c r="I1723" i="3"/>
  <c r="C1724" i="3"/>
  <c r="D1724" i="3"/>
  <c r="E1724" i="3" s="1"/>
  <c r="F1724" i="3" s="1"/>
  <c r="H1724" i="3" s="1"/>
  <c r="G1724" i="3"/>
  <c r="I1724" i="3"/>
  <c r="C1725" i="3"/>
  <c r="D1725" i="3"/>
  <c r="E1725" i="3" s="1"/>
  <c r="F1725" i="3" s="1"/>
  <c r="H1725" i="3" s="1"/>
  <c r="G1725" i="3"/>
  <c r="I1725" i="3"/>
  <c r="C1726" i="3"/>
  <c r="D1726" i="3" s="1"/>
  <c r="E1726" i="3"/>
  <c r="F1726" i="3"/>
  <c r="H1726" i="3" s="1"/>
  <c r="G1726" i="3"/>
  <c r="I1726" i="3"/>
  <c r="C1727" i="3"/>
  <c r="D1727" i="3"/>
  <c r="E1727" i="3" s="1"/>
  <c r="F1727" i="3"/>
  <c r="H1727" i="3" s="1"/>
  <c r="G1727" i="3"/>
  <c r="I1727" i="3"/>
  <c r="C1728" i="3"/>
  <c r="D1728" i="3" s="1"/>
  <c r="E1728" i="3" s="1"/>
  <c r="F1728" i="3" s="1"/>
  <c r="H1728" i="3" s="1"/>
  <c r="G1728" i="3"/>
  <c r="I1728" i="3"/>
  <c r="C1729" i="3"/>
  <c r="D1729" i="3"/>
  <c r="E1729" i="3" s="1"/>
  <c r="F1729" i="3"/>
  <c r="G1729" i="3"/>
  <c r="H1729" i="3"/>
  <c r="I1729" i="3"/>
  <c r="C1730" i="3"/>
  <c r="D1730" i="3"/>
  <c r="E1730" i="3"/>
  <c r="F1730" i="3" s="1"/>
  <c r="H1730" i="3" s="1"/>
  <c r="G1730" i="3"/>
  <c r="I1730" i="3"/>
  <c r="C1731" i="3"/>
  <c r="D1731" i="3" s="1"/>
  <c r="E1731" i="3" s="1"/>
  <c r="F1731" i="3" s="1"/>
  <c r="H1731" i="3" s="1"/>
  <c r="G1731" i="3"/>
  <c r="I1731" i="3"/>
  <c r="C1732" i="3"/>
  <c r="D1732" i="3" s="1"/>
  <c r="E1732" i="3" s="1"/>
  <c r="F1732" i="3" s="1"/>
  <c r="H1732" i="3" s="1"/>
  <c r="G1732" i="3"/>
  <c r="I1732" i="3"/>
  <c r="C1733" i="3"/>
  <c r="D1733" i="3"/>
  <c r="E1733" i="3"/>
  <c r="F1733" i="3" s="1"/>
  <c r="G1733" i="3"/>
  <c r="H1733" i="3"/>
  <c r="I1733" i="3"/>
  <c r="C1734" i="3"/>
  <c r="D1734" i="3" s="1"/>
  <c r="E1734" i="3"/>
  <c r="F1734" i="3" s="1"/>
  <c r="H1734" i="3" s="1"/>
  <c r="G1734" i="3"/>
  <c r="I1734" i="3"/>
  <c r="C1735" i="3"/>
  <c r="D1735" i="3"/>
  <c r="E1735" i="3" s="1"/>
  <c r="F1735" i="3" s="1"/>
  <c r="H1735" i="3" s="1"/>
  <c r="G1735" i="3"/>
  <c r="I1735" i="3"/>
  <c r="C1736" i="3"/>
  <c r="D1736" i="3" s="1"/>
  <c r="E1736" i="3" s="1"/>
  <c r="F1736" i="3" s="1"/>
  <c r="H1736" i="3" s="1"/>
  <c r="G1736" i="3"/>
  <c r="I1736" i="3"/>
  <c r="C1737" i="3"/>
  <c r="D1737" i="3"/>
  <c r="E1737" i="3" s="1"/>
  <c r="F1737" i="3"/>
  <c r="H1737" i="3" s="1"/>
  <c r="G1737" i="3"/>
  <c r="I1737" i="3"/>
  <c r="C1738" i="3"/>
  <c r="D1738" i="3"/>
  <c r="E1738" i="3"/>
  <c r="F1738" i="3" s="1"/>
  <c r="G1738" i="3"/>
  <c r="I1738" i="3"/>
  <c r="C1739" i="3"/>
  <c r="D1739" i="3" s="1"/>
  <c r="E1739" i="3" s="1"/>
  <c r="F1739" i="3" s="1"/>
  <c r="H1739" i="3" s="1"/>
  <c r="G1739" i="3"/>
  <c r="I1739" i="3"/>
  <c r="C1740" i="3"/>
  <c r="D1740" i="3"/>
  <c r="E1740" i="3" s="1"/>
  <c r="F1740" i="3" s="1"/>
  <c r="G1740" i="3"/>
  <c r="I1740" i="3"/>
  <c r="C1741" i="3"/>
  <c r="D1741" i="3"/>
  <c r="E1741" i="3"/>
  <c r="F1741" i="3" s="1"/>
  <c r="H1741" i="3" s="1"/>
  <c r="G1741" i="3"/>
  <c r="I1741" i="3"/>
  <c r="C1742" i="3"/>
  <c r="D1742" i="3" s="1"/>
  <c r="E1742" i="3" s="1"/>
  <c r="F1742" i="3" s="1"/>
  <c r="H1742" i="3" s="1"/>
  <c r="G1742" i="3"/>
  <c r="I1742" i="3"/>
  <c r="C1743" i="3"/>
  <c r="D1743" i="3"/>
  <c r="E1743" i="3" s="1"/>
  <c r="F1743" i="3"/>
  <c r="G1743" i="3"/>
  <c r="I1743" i="3"/>
  <c r="C1744" i="3"/>
  <c r="D1744" i="3" s="1"/>
  <c r="E1744" i="3"/>
  <c r="F1744" i="3" s="1"/>
  <c r="G1744" i="3"/>
  <c r="H1744" i="3"/>
  <c r="I1744" i="3"/>
  <c r="C1745" i="3"/>
  <c r="D1745" i="3"/>
  <c r="E1745" i="3" s="1"/>
  <c r="F1745" i="3" s="1"/>
  <c r="H1745" i="3" s="1"/>
  <c r="G1745" i="3"/>
  <c r="I1745" i="3"/>
  <c r="C1746" i="3"/>
  <c r="D1746" i="3"/>
  <c r="E1746" i="3"/>
  <c r="F1746" i="3" s="1"/>
  <c r="G1746" i="3"/>
  <c r="I1746" i="3"/>
  <c r="C1747" i="3"/>
  <c r="D1747" i="3" s="1"/>
  <c r="E1747" i="3" s="1"/>
  <c r="F1747" i="3"/>
  <c r="G1747" i="3"/>
  <c r="H1747" i="3"/>
  <c r="I1747" i="3"/>
  <c r="C1748" i="3"/>
  <c r="D1748" i="3"/>
  <c r="E1748" i="3" s="1"/>
  <c r="F1748" i="3" s="1"/>
  <c r="H1748" i="3" s="1"/>
  <c r="G1748" i="3"/>
  <c r="I1748" i="3"/>
  <c r="C1749" i="3"/>
  <c r="D1749" i="3"/>
  <c r="E1749" i="3"/>
  <c r="F1749" i="3" s="1"/>
  <c r="H1749" i="3" s="1"/>
  <c r="G1749" i="3"/>
  <c r="I1749" i="3"/>
  <c r="C1750" i="3"/>
  <c r="D1750" i="3" s="1"/>
  <c r="E1750" i="3" s="1"/>
  <c r="F1750" i="3" s="1"/>
  <c r="H1750" i="3" s="1"/>
  <c r="G1750" i="3"/>
  <c r="I1750" i="3"/>
  <c r="C1751" i="3"/>
  <c r="D1751" i="3"/>
  <c r="E1751" i="3" s="1"/>
  <c r="F1751" i="3"/>
  <c r="H1751" i="3" s="1"/>
  <c r="G1751" i="3"/>
  <c r="I1751" i="3"/>
  <c r="C1752" i="3"/>
  <c r="D1752" i="3" s="1"/>
  <c r="E1752" i="3"/>
  <c r="F1752" i="3" s="1"/>
  <c r="H1752" i="3" s="1"/>
  <c r="G1752" i="3"/>
  <c r="I1752" i="3"/>
  <c r="C1753" i="3"/>
  <c r="D1753" i="3"/>
  <c r="E1753" i="3" s="1"/>
  <c r="F1753" i="3" s="1"/>
  <c r="H1753" i="3" s="1"/>
  <c r="G1753" i="3"/>
  <c r="I1753" i="3"/>
  <c r="C1754" i="3"/>
  <c r="D1754" i="3"/>
  <c r="E1754" i="3"/>
  <c r="F1754" i="3" s="1"/>
  <c r="H1754" i="3" s="1"/>
  <c r="G1754" i="3"/>
  <c r="I1754" i="3"/>
  <c r="C1755" i="3"/>
  <c r="D1755" i="3" s="1"/>
  <c r="E1755" i="3" s="1"/>
  <c r="F1755" i="3"/>
  <c r="H1755" i="3" s="1"/>
  <c r="G1755" i="3"/>
  <c r="I1755" i="3"/>
  <c r="C1756" i="3"/>
  <c r="D1756" i="3" s="1"/>
  <c r="E1756" i="3" s="1"/>
  <c r="F1756" i="3" s="1"/>
  <c r="H1756" i="3" s="1"/>
  <c r="G1756" i="3"/>
  <c r="I1756" i="3"/>
  <c r="C1757" i="3"/>
  <c r="D1757" i="3"/>
  <c r="E1757" i="3" s="1"/>
  <c r="F1757" i="3" s="1"/>
  <c r="H1757" i="3" s="1"/>
  <c r="G1757" i="3"/>
  <c r="I1757" i="3"/>
  <c r="C1758" i="3"/>
  <c r="D1758" i="3" s="1"/>
  <c r="E1758" i="3"/>
  <c r="F1758" i="3"/>
  <c r="H1758" i="3" s="1"/>
  <c r="G1758" i="3"/>
  <c r="I1758" i="3"/>
  <c r="C1759" i="3"/>
  <c r="D1759" i="3"/>
  <c r="E1759" i="3" s="1"/>
  <c r="F1759" i="3" s="1"/>
  <c r="H1759" i="3" s="1"/>
  <c r="G1759" i="3"/>
  <c r="I1759" i="3"/>
  <c r="C1760" i="3"/>
  <c r="D1760" i="3" s="1"/>
  <c r="E1760" i="3"/>
  <c r="F1760" i="3" s="1"/>
  <c r="H1760" i="3" s="1"/>
  <c r="G1760" i="3"/>
  <c r="I1760" i="3"/>
  <c r="C1761" i="3"/>
  <c r="D1761" i="3"/>
  <c r="E1761" i="3" s="1"/>
  <c r="F1761" i="3"/>
  <c r="G1761" i="3"/>
  <c r="H1761" i="3"/>
  <c r="I1761" i="3"/>
  <c r="C1762" i="3"/>
  <c r="D1762" i="3"/>
  <c r="E1762" i="3"/>
  <c r="F1762" i="3" s="1"/>
  <c r="H1762" i="3" s="1"/>
  <c r="G1762" i="3"/>
  <c r="I1762" i="3"/>
  <c r="C1763" i="3"/>
  <c r="D1763" i="3" s="1"/>
  <c r="E1763" i="3" s="1"/>
  <c r="F1763" i="3"/>
  <c r="H1763" i="3" s="1"/>
  <c r="G1763" i="3"/>
  <c r="I1763" i="3"/>
  <c r="C1764" i="3"/>
  <c r="D1764" i="3" s="1"/>
  <c r="E1764" i="3" s="1"/>
  <c r="F1764" i="3" s="1"/>
  <c r="H1764" i="3" s="1"/>
  <c r="G1764" i="3"/>
  <c r="I1764" i="3"/>
  <c r="C1765" i="3"/>
  <c r="D1765" i="3"/>
  <c r="E1765" i="3"/>
  <c r="F1765" i="3" s="1"/>
  <c r="H1765" i="3" s="1"/>
  <c r="G1765" i="3"/>
  <c r="I1765" i="3"/>
  <c r="C1766" i="3"/>
  <c r="D1766" i="3"/>
  <c r="E1766" i="3" s="1"/>
  <c r="F1766" i="3" s="1"/>
  <c r="H1766" i="3" s="1"/>
  <c r="G1766" i="3"/>
  <c r="I1766" i="3"/>
  <c r="C1767" i="3"/>
  <c r="D1767" i="3"/>
  <c r="E1767" i="3"/>
  <c r="F1767" i="3"/>
  <c r="H1767" i="3" s="1"/>
  <c r="G1767" i="3"/>
  <c r="I1767" i="3"/>
  <c r="C1768" i="3"/>
  <c r="D1768" i="3" s="1"/>
  <c r="E1768" i="3" s="1"/>
  <c r="F1768" i="3" s="1"/>
  <c r="H1768" i="3" s="1"/>
  <c r="G1768" i="3"/>
  <c r="I1768" i="3"/>
  <c r="C1769" i="3"/>
  <c r="D1769" i="3"/>
  <c r="E1769" i="3" s="1"/>
  <c r="F1769" i="3" s="1"/>
  <c r="H1769" i="3" s="1"/>
  <c r="G1769" i="3"/>
  <c r="I1769" i="3"/>
  <c r="C1770" i="3"/>
  <c r="D1770" i="3"/>
  <c r="E1770" i="3"/>
  <c r="F1770" i="3" s="1"/>
  <c r="H1770" i="3" s="1"/>
  <c r="G1770" i="3"/>
  <c r="I1770" i="3"/>
  <c r="C1771" i="3"/>
  <c r="D1771" i="3" s="1"/>
  <c r="E1771" i="3" s="1"/>
  <c r="F1771" i="3" s="1"/>
  <c r="H1771" i="3" s="1"/>
  <c r="G1771" i="3"/>
  <c r="I1771" i="3"/>
  <c r="C1772" i="3"/>
  <c r="D1772" i="3"/>
  <c r="E1772" i="3" s="1"/>
  <c r="F1772" i="3" s="1"/>
  <c r="G1772" i="3"/>
  <c r="H1772" i="3"/>
  <c r="I1772" i="3"/>
  <c r="C1773" i="3"/>
  <c r="D1773" i="3"/>
  <c r="E1773" i="3" s="1"/>
  <c r="F1773" i="3" s="1"/>
  <c r="H1773" i="3" s="1"/>
  <c r="G1773" i="3"/>
  <c r="I1773" i="3"/>
  <c r="C1774" i="3"/>
  <c r="D1774" i="3" s="1"/>
  <c r="E1774" i="3" s="1"/>
  <c r="F1774" i="3" s="1"/>
  <c r="H1774" i="3" s="1"/>
  <c r="G1774" i="3"/>
  <c r="I1774" i="3"/>
  <c r="C1775" i="3"/>
  <c r="D1775" i="3"/>
  <c r="E1775" i="3"/>
  <c r="F1775" i="3" s="1"/>
  <c r="H1775" i="3" s="1"/>
  <c r="G1775" i="3"/>
  <c r="I1775" i="3"/>
  <c r="C1776" i="3"/>
  <c r="D1776" i="3" s="1"/>
  <c r="E1776" i="3" s="1"/>
  <c r="F1776" i="3" s="1"/>
  <c r="H1776" i="3" s="1"/>
  <c r="G1776" i="3"/>
  <c r="I1776" i="3"/>
  <c r="C1777" i="3"/>
  <c r="D1777" i="3"/>
  <c r="E1777" i="3" s="1"/>
  <c r="F1777" i="3" s="1"/>
  <c r="H1777" i="3" s="1"/>
  <c r="G1777" i="3"/>
  <c r="I1777" i="3"/>
  <c r="C1778" i="3"/>
  <c r="D1778" i="3"/>
  <c r="E1778" i="3"/>
  <c r="F1778" i="3" s="1"/>
  <c r="H1778" i="3" s="1"/>
  <c r="G1778" i="3"/>
  <c r="I1778" i="3"/>
  <c r="C1779" i="3"/>
  <c r="D1779" i="3" s="1"/>
  <c r="E1779" i="3" s="1"/>
  <c r="F1779" i="3"/>
  <c r="G1779" i="3"/>
  <c r="H1779" i="3" s="1"/>
  <c r="I1779" i="3"/>
  <c r="C1780" i="3"/>
  <c r="D1780" i="3"/>
  <c r="E1780" i="3" s="1"/>
  <c r="F1780" i="3" s="1"/>
  <c r="H1780" i="3" s="1"/>
  <c r="G1780" i="3"/>
  <c r="I1780" i="3"/>
  <c r="C1781" i="3"/>
  <c r="D1781" i="3" s="1"/>
  <c r="E1781" i="3" s="1"/>
  <c r="F1781" i="3" s="1"/>
  <c r="H1781" i="3" s="1"/>
  <c r="G1781" i="3"/>
  <c r="I1781" i="3"/>
  <c r="C1782" i="3"/>
  <c r="D1782" i="3"/>
  <c r="E1782" i="3"/>
  <c r="F1782" i="3" s="1"/>
  <c r="H1782" i="3" s="1"/>
  <c r="G1782" i="3"/>
  <c r="I1782" i="3"/>
  <c r="C1783" i="3"/>
  <c r="D1783" i="3"/>
  <c r="E1783" i="3" s="1"/>
  <c r="F1783" i="3" s="1"/>
  <c r="H1783" i="3" s="1"/>
  <c r="G1783" i="3"/>
  <c r="I1783" i="3"/>
  <c r="C1784" i="3"/>
  <c r="D1784" i="3"/>
  <c r="E1784" i="3"/>
  <c r="F1784" i="3"/>
  <c r="H1784" i="3" s="1"/>
  <c r="G1784" i="3"/>
  <c r="I1784" i="3"/>
  <c r="C1785" i="3"/>
  <c r="D1785" i="3"/>
  <c r="E1785" i="3"/>
  <c r="F1785" i="3"/>
  <c r="H1785" i="3" s="1"/>
  <c r="G1785" i="3"/>
  <c r="I1785" i="3"/>
  <c r="C1786" i="3"/>
  <c r="D1786" i="3"/>
  <c r="E1786" i="3"/>
  <c r="F1786" i="3"/>
  <c r="G1786" i="3"/>
  <c r="H1786" i="3"/>
  <c r="I1786" i="3"/>
  <c r="C1787" i="3"/>
  <c r="D1787" i="3" s="1"/>
  <c r="E1787" i="3" s="1"/>
  <c r="F1787" i="3"/>
  <c r="H1787" i="3" s="1"/>
  <c r="G1787" i="3"/>
  <c r="I1787" i="3"/>
  <c r="C1788" i="3"/>
  <c r="D1788" i="3"/>
  <c r="E1788" i="3" s="1"/>
  <c r="F1788" i="3" s="1"/>
  <c r="H1788" i="3" s="1"/>
  <c r="G1788" i="3"/>
  <c r="I1788" i="3"/>
  <c r="C1789" i="3"/>
  <c r="D1789" i="3" s="1"/>
  <c r="E1789" i="3" s="1"/>
  <c r="F1789" i="3" s="1"/>
  <c r="H1789" i="3" s="1"/>
  <c r="G1789" i="3"/>
  <c r="I1789" i="3"/>
  <c r="C1790" i="3"/>
  <c r="D1790" i="3"/>
  <c r="E1790" i="3" s="1"/>
  <c r="F1790" i="3" s="1"/>
  <c r="H1790" i="3" s="1"/>
  <c r="G1790" i="3"/>
  <c r="I1790" i="3"/>
  <c r="C1791" i="3"/>
  <c r="D1791" i="3" s="1"/>
  <c r="E1791" i="3" s="1"/>
  <c r="F1791" i="3" s="1"/>
  <c r="H1791" i="3" s="1"/>
  <c r="G1791" i="3"/>
  <c r="I1791" i="3"/>
  <c r="C1792" i="3"/>
  <c r="D1792" i="3"/>
  <c r="E1792" i="3"/>
  <c r="F1792" i="3" s="1"/>
  <c r="H1792" i="3" s="1"/>
  <c r="G1792" i="3"/>
  <c r="I1792" i="3"/>
  <c r="C1793" i="3"/>
  <c r="D1793" i="3"/>
  <c r="E1793" i="3"/>
  <c r="F1793" i="3"/>
  <c r="H1793" i="3" s="1"/>
  <c r="G1793" i="3"/>
  <c r="I1793" i="3"/>
  <c r="C1794" i="3"/>
  <c r="D1794" i="3"/>
  <c r="E1794" i="3"/>
  <c r="F1794" i="3"/>
  <c r="H1794" i="3" s="1"/>
  <c r="G1794" i="3"/>
  <c r="I1794" i="3"/>
  <c r="C1795" i="3"/>
  <c r="D1795" i="3" s="1"/>
  <c r="E1795" i="3" s="1"/>
  <c r="F1795" i="3" s="1"/>
  <c r="H1795" i="3" s="1"/>
  <c r="G1795" i="3"/>
  <c r="I1795" i="3"/>
  <c r="C1796" i="3"/>
  <c r="D1796" i="3" s="1"/>
  <c r="E1796" i="3" s="1"/>
  <c r="F1796" i="3" s="1"/>
  <c r="H1796" i="3" s="1"/>
  <c r="G1796" i="3"/>
  <c r="I1796" i="3"/>
  <c r="C1797" i="3"/>
  <c r="D1797" i="3"/>
  <c r="E1797" i="3"/>
  <c r="F1797" i="3" s="1"/>
  <c r="H1797" i="3" s="1"/>
  <c r="G1797" i="3"/>
  <c r="I1797" i="3"/>
  <c r="C1798" i="3"/>
  <c r="D1798" i="3" s="1"/>
  <c r="E1798" i="3" s="1"/>
  <c r="F1798" i="3" s="1"/>
  <c r="H1798" i="3" s="1"/>
  <c r="G1798" i="3"/>
  <c r="I1798" i="3"/>
  <c r="C1799" i="3"/>
  <c r="D1799" i="3"/>
  <c r="E1799" i="3"/>
  <c r="F1799" i="3" s="1"/>
  <c r="H1799" i="3" s="1"/>
  <c r="G1799" i="3"/>
  <c r="I1799" i="3"/>
  <c r="C1800" i="3"/>
  <c r="D1800" i="3"/>
  <c r="E1800" i="3" s="1"/>
  <c r="F1800" i="3" s="1"/>
  <c r="G1800" i="3"/>
  <c r="I1800" i="3"/>
  <c r="C1801" i="3"/>
  <c r="D1801" i="3"/>
  <c r="E1801" i="3"/>
  <c r="F1801" i="3" s="1"/>
  <c r="H1801" i="3" s="1"/>
  <c r="G1801" i="3"/>
  <c r="I1801" i="3"/>
  <c r="C1802" i="3"/>
  <c r="D1802" i="3"/>
  <c r="E1802" i="3"/>
  <c r="F1802" i="3"/>
  <c r="H1802" i="3" s="1"/>
  <c r="G1802" i="3"/>
  <c r="I1802" i="3"/>
  <c r="C1803" i="3"/>
  <c r="D1803" i="3" s="1"/>
  <c r="E1803" i="3" s="1"/>
  <c r="F1803" i="3" s="1"/>
  <c r="H1803" i="3" s="1"/>
  <c r="G1803" i="3"/>
  <c r="I1803" i="3"/>
  <c r="C1804" i="3"/>
  <c r="D1804" i="3"/>
  <c r="E1804" i="3" s="1"/>
  <c r="F1804" i="3" s="1"/>
  <c r="G1804" i="3"/>
  <c r="H1804" i="3" s="1"/>
  <c r="I1804" i="3"/>
  <c r="C1805" i="3"/>
  <c r="D1805" i="3"/>
  <c r="E1805" i="3"/>
  <c r="F1805" i="3" s="1"/>
  <c r="H1805" i="3" s="1"/>
  <c r="G1805" i="3"/>
  <c r="I1805" i="3"/>
  <c r="C1806" i="3"/>
  <c r="D1806" i="3" s="1"/>
  <c r="E1806" i="3" s="1"/>
  <c r="F1806" i="3" s="1"/>
  <c r="H1806" i="3" s="1"/>
  <c r="G1806" i="3"/>
  <c r="I1806" i="3"/>
  <c r="C1807" i="3"/>
  <c r="D1807" i="3"/>
  <c r="E1807" i="3" s="1"/>
  <c r="F1807" i="3" s="1"/>
  <c r="H1807" i="3" s="1"/>
  <c r="G1807" i="3"/>
  <c r="I1807" i="3"/>
  <c r="C1808" i="3"/>
  <c r="D1808" i="3" s="1"/>
  <c r="E1808" i="3" s="1"/>
  <c r="F1808" i="3" s="1"/>
  <c r="H1808" i="3" s="1"/>
  <c r="G1808" i="3"/>
  <c r="I1808" i="3"/>
  <c r="C1809" i="3"/>
  <c r="D1809" i="3"/>
  <c r="E1809" i="3" s="1"/>
  <c r="F1809" i="3" s="1"/>
  <c r="G1809" i="3"/>
  <c r="I1809" i="3"/>
  <c r="C1810" i="3"/>
  <c r="D1810" i="3"/>
  <c r="E1810" i="3"/>
  <c r="F1810" i="3" s="1"/>
  <c r="G1810" i="3"/>
  <c r="H1810" i="3"/>
  <c r="I1810" i="3"/>
  <c r="C1811" i="3"/>
  <c r="D1811" i="3" s="1"/>
  <c r="E1811" i="3" s="1"/>
  <c r="F1811" i="3"/>
  <c r="G1811" i="3"/>
  <c r="H1811" i="3"/>
  <c r="I1811" i="3"/>
  <c r="C1812" i="3"/>
  <c r="D1812" i="3"/>
  <c r="E1812" i="3" s="1"/>
  <c r="F1812" i="3" s="1"/>
  <c r="H1812" i="3" s="1"/>
  <c r="G1812" i="3"/>
  <c r="I1812" i="3"/>
  <c r="C1813" i="3"/>
  <c r="D1813" i="3"/>
  <c r="E1813" i="3" s="1"/>
  <c r="F1813" i="3" s="1"/>
  <c r="H1813" i="3" s="1"/>
  <c r="G1813" i="3"/>
  <c r="I1813" i="3"/>
  <c r="C1814" i="3"/>
  <c r="D1814" i="3"/>
  <c r="E1814" i="3"/>
  <c r="F1814" i="3"/>
  <c r="H1814" i="3" s="1"/>
  <c r="G1814" i="3"/>
  <c r="I1814" i="3"/>
  <c r="C1815" i="3"/>
  <c r="D1815" i="3" s="1"/>
  <c r="E1815" i="3" s="1"/>
  <c r="F1815" i="3" s="1"/>
  <c r="H1815" i="3" s="1"/>
  <c r="G1815" i="3"/>
  <c r="I1815" i="3"/>
  <c r="C1816" i="3"/>
  <c r="D1816" i="3"/>
  <c r="E1816" i="3"/>
  <c r="F1816" i="3" s="1"/>
  <c r="H1816" i="3" s="1"/>
  <c r="G1816" i="3"/>
  <c r="I1816" i="3"/>
  <c r="C1817" i="3"/>
  <c r="D1817" i="3" s="1"/>
  <c r="E1817" i="3" s="1"/>
  <c r="F1817" i="3"/>
  <c r="H1817" i="3" s="1"/>
  <c r="G1817" i="3"/>
  <c r="I1817" i="3"/>
  <c r="C1818" i="3"/>
  <c r="D1818" i="3"/>
  <c r="E1818" i="3" s="1"/>
  <c r="F1818" i="3" s="1"/>
  <c r="G1818" i="3"/>
  <c r="I1818" i="3"/>
  <c r="C1819" i="3"/>
  <c r="D1819" i="3" s="1"/>
  <c r="E1819" i="3"/>
  <c r="F1819" i="3"/>
  <c r="H1819" i="3" s="1"/>
  <c r="G1819" i="3"/>
  <c r="I1819" i="3"/>
  <c r="C1820" i="3"/>
  <c r="D1820" i="3" s="1"/>
  <c r="E1820" i="3" s="1"/>
  <c r="F1820" i="3" s="1"/>
  <c r="H1820" i="3" s="1"/>
  <c r="G1820" i="3"/>
  <c r="I1820" i="3"/>
  <c r="C1821" i="3"/>
  <c r="D1821" i="3"/>
  <c r="E1821" i="3" s="1"/>
  <c r="F1821" i="3" s="1"/>
  <c r="H1821" i="3" s="1"/>
  <c r="G1821" i="3"/>
  <c r="I1821" i="3"/>
  <c r="C1822" i="3"/>
  <c r="D1822" i="3" s="1"/>
  <c r="E1822" i="3" s="1"/>
  <c r="F1822" i="3" s="1"/>
  <c r="H1822" i="3" s="1"/>
  <c r="G1822" i="3"/>
  <c r="I1822" i="3"/>
  <c r="C1823" i="3"/>
  <c r="D1823" i="3"/>
  <c r="E1823" i="3" s="1"/>
  <c r="F1823" i="3" s="1"/>
  <c r="H1823" i="3" s="1"/>
  <c r="G1823" i="3"/>
  <c r="I1823" i="3"/>
  <c r="C1824" i="3"/>
  <c r="D1824" i="3"/>
  <c r="E1824" i="3"/>
  <c r="F1824" i="3"/>
  <c r="H1824" i="3" s="1"/>
  <c r="G1824" i="3"/>
  <c r="I1824" i="3"/>
  <c r="C1825" i="3"/>
  <c r="D1825" i="3" s="1"/>
  <c r="E1825" i="3" s="1"/>
  <c r="F1825" i="3" s="1"/>
  <c r="G1825" i="3"/>
  <c r="I1825" i="3"/>
  <c r="C1826" i="3"/>
  <c r="D1826" i="3"/>
  <c r="E1826" i="3" s="1"/>
  <c r="F1826" i="3" s="1"/>
  <c r="G1826" i="3"/>
  <c r="H1826" i="3"/>
  <c r="I1826" i="3"/>
  <c r="C1827" i="3"/>
  <c r="D1827" i="3" s="1"/>
  <c r="E1827" i="3"/>
  <c r="F1827" i="3" s="1"/>
  <c r="H1827" i="3" s="1"/>
  <c r="G1827" i="3"/>
  <c r="I1827" i="3"/>
  <c r="C1828" i="3"/>
  <c r="D1828" i="3" s="1"/>
  <c r="E1828" i="3" s="1"/>
  <c r="F1828" i="3" s="1"/>
  <c r="G1828" i="3"/>
  <c r="I1828" i="3"/>
  <c r="C1829" i="3"/>
  <c r="D1829" i="3"/>
  <c r="E1829" i="3"/>
  <c r="F1829" i="3" s="1"/>
  <c r="H1829" i="3" s="1"/>
  <c r="G1829" i="3"/>
  <c r="I1829" i="3"/>
  <c r="C1830" i="3"/>
  <c r="D1830" i="3" s="1"/>
  <c r="E1830" i="3" s="1"/>
  <c r="F1830" i="3"/>
  <c r="H1830" i="3" s="1"/>
  <c r="G1830" i="3"/>
  <c r="I1830" i="3"/>
  <c r="C1831" i="3"/>
  <c r="D1831" i="3" s="1"/>
  <c r="E1831" i="3" s="1"/>
  <c r="F1831" i="3" s="1"/>
  <c r="G1831" i="3"/>
  <c r="I1831" i="3"/>
  <c r="C1832" i="3"/>
  <c r="D1832" i="3"/>
  <c r="E1832" i="3"/>
  <c r="F1832" i="3" s="1"/>
  <c r="H1832" i="3" s="1"/>
  <c r="G1832" i="3"/>
  <c r="I1832" i="3"/>
  <c r="C1833" i="3"/>
  <c r="D1833" i="3" s="1"/>
  <c r="E1833" i="3" s="1"/>
  <c r="F1833" i="3"/>
  <c r="H1833" i="3" s="1"/>
  <c r="G1833" i="3"/>
  <c r="I1833" i="3"/>
  <c r="C1834" i="3"/>
  <c r="D1834" i="3"/>
  <c r="E1834" i="3" s="1"/>
  <c r="F1834" i="3" s="1"/>
  <c r="G1834" i="3"/>
  <c r="I1834" i="3"/>
  <c r="C1835" i="3"/>
  <c r="D1835" i="3" s="1"/>
  <c r="E1835" i="3"/>
  <c r="F1835" i="3"/>
  <c r="H1835" i="3" s="1"/>
  <c r="G1835" i="3"/>
  <c r="I1835" i="3"/>
  <c r="C1836" i="3"/>
  <c r="D1836" i="3" s="1"/>
  <c r="E1836" i="3" s="1"/>
  <c r="F1836" i="3" s="1"/>
  <c r="G1836" i="3"/>
  <c r="H1836" i="3"/>
  <c r="I1836" i="3"/>
  <c r="C1837" i="3"/>
  <c r="D1837" i="3"/>
  <c r="E1837" i="3" s="1"/>
  <c r="F1837" i="3" s="1"/>
  <c r="H1837" i="3" s="1"/>
  <c r="G1837" i="3"/>
  <c r="I1837" i="3"/>
  <c r="C1838" i="3"/>
  <c r="D1838" i="3" s="1"/>
  <c r="E1838" i="3" s="1"/>
  <c r="F1838" i="3"/>
  <c r="H1838" i="3" s="1"/>
  <c r="G1838" i="3"/>
  <c r="I1838" i="3"/>
  <c r="C1839" i="3"/>
  <c r="D1839" i="3"/>
  <c r="E1839" i="3" s="1"/>
  <c r="F1839" i="3" s="1"/>
  <c r="H1839" i="3" s="1"/>
  <c r="G1839" i="3"/>
  <c r="I1839" i="3"/>
  <c r="C1840" i="3"/>
  <c r="D1840" i="3"/>
  <c r="E1840" i="3"/>
  <c r="F1840" i="3" s="1"/>
  <c r="H1840" i="3" s="1"/>
  <c r="G1840" i="3"/>
  <c r="I1840" i="3"/>
  <c r="C1841" i="3"/>
  <c r="D1841" i="3" s="1"/>
  <c r="E1841" i="3" s="1"/>
  <c r="F1841" i="3" s="1"/>
  <c r="H1841" i="3" s="1"/>
  <c r="G1841" i="3"/>
  <c r="I1841" i="3"/>
  <c r="C1842" i="3"/>
  <c r="D1842" i="3"/>
  <c r="E1842" i="3" s="1"/>
  <c r="F1842" i="3" s="1"/>
  <c r="G1842" i="3"/>
  <c r="H1842" i="3"/>
  <c r="I1842" i="3"/>
  <c r="C1843" i="3"/>
  <c r="D1843" i="3" s="1"/>
  <c r="E1843" i="3"/>
  <c r="F1843" i="3" s="1"/>
  <c r="H1843" i="3" s="1"/>
  <c r="G1843" i="3"/>
  <c r="I1843" i="3"/>
  <c r="C1844" i="3"/>
  <c r="D1844" i="3" s="1"/>
  <c r="E1844" i="3" s="1"/>
  <c r="F1844" i="3" s="1"/>
  <c r="G1844" i="3"/>
  <c r="I1844" i="3"/>
  <c r="C1845" i="3"/>
  <c r="D1845" i="3"/>
  <c r="E1845" i="3"/>
  <c r="F1845" i="3" s="1"/>
  <c r="H1845" i="3" s="1"/>
  <c r="G1845" i="3"/>
  <c r="I1845" i="3"/>
  <c r="C1846" i="3"/>
  <c r="D1846" i="3" s="1"/>
  <c r="E1846" i="3" s="1"/>
  <c r="F1846" i="3"/>
  <c r="H1846" i="3" s="1"/>
  <c r="G1846" i="3"/>
  <c r="I1846" i="3"/>
  <c r="C1847" i="3"/>
  <c r="D1847" i="3"/>
  <c r="E1847" i="3" s="1"/>
  <c r="F1847" i="3" s="1"/>
  <c r="H1847" i="3" s="1"/>
  <c r="G1847" i="3"/>
  <c r="I1847" i="3"/>
  <c r="C1848" i="3"/>
  <c r="D1848" i="3"/>
  <c r="E1848" i="3"/>
  <c r="F1848" i="3" s="1"/>
  <c r="H1848" i="3" s="1"/>
  <c r="G1848" i="3"/>
  <c r="I1848" i="3"/>
  <c r="C1849" i="3"/>
  <c r="D1849" i="3" s="1"/>
  <c r="E1849" i="3" s="1"/>
  <c r="F1849" i="3"/>
  <c r="H1849" i="3" s="1"/>
  <c r="G1849" i="3"/>
  <c r="I1849" i="3"/>
  <c r="C1850" i="3"/>
  <c r="D1850" i="3"/>
  <c r="E1850" i="3" s="1"/>
  <c r="F1850" i="3" s="1"/>
  <c r="H1850" i="3" s="1"/>
  <c r="G1850" i="3"/>
  <c r="I1850" i="3"/>
  <c r="C1851" i="3"/>
  <c r="D1851" i="3" s="1"/>
  <c r="E1851" i="3"/>
  <c r="F1851" i="3"/>
  <c r="H1851" i="3" s="1"/>
  <c r="G1851" i="3"/>
  <c r="I1851" i="3"/>
  <c r="C1852" i="3"/>
  <c r="D1852" i="3" s="1"/>
  <c r="E1852" i="3" s="1"/>
  <c r="F1852" i="3" s="1"/>
  <c r="G1852" i="3"/>
  <c r="H1852" i="3" s="1"/>
  <c r="I1852" i="3"/>
  <c r="C1853" i="3"/>
  <c r="D1853" i="3"/>
  <c r="E1853" i="3"/>
  <c r="F1853" i="3" s="1"/>
  <c r="H1853" i="3" s="1"/>
  <c r="G1853" i="3"/>
  <c r="I1853" i="3"/>
  <c r="C1854" i="3"/>
  <c r="D1854" i="3" s="1"/>
  <c r="E1854" i="3" s="1"/>
  <c r="F1854" i="3" s="1"/>
  <c r="H1854" i="3" s="1"/>
  <c r="G1854" i="3"/>
  <c r="I1854" i="3"/>
  <c r="C1855" i="3"/>
  <c r="D1855" i="3"/>
  <c r="E1855" i="3" s="1"/>
  <c r="F1855" i="3" s="1"/>
  <c r="H1855" i="3" s="1"/>
  <c r="G1855" i="3"/>
  <c r="I1855" i="3"/>
  <c r="C1856" i="3"/>
  <c r="D1856" i="3"/>
  <c r="E1856" i="3"/>
  <c r="F1856" i="3" s="1"/>
  <c r="H1856" i="3" s="1"/>
  <c r="G1856" i="3"/>
  <c r="I1856" i="3"/>
  <c r="C1857" i="3"/>
  <c r="D1857" i="3" s="1"/>
  <c r="E1857" i="3" s="1"/>
  <c r="F1857" i="3" s="1"/>
  <c r="H1857" i="3" s="1"/>
  <c r="G1857" i="3"/>
  <c r="I1857" i="3"/>
  <c r="C1858" i="3"/>
  <c r="D1858" i="3"/>
  <c r="E1858" i="3" s="1"/>
  <c r="F1858" i="3" s="1"/>
  <c r="G1858" i="3"/>
  <c r="H1858" i="3"/>
  <c r="I1858" i="3"/>
  <c r="C1859" i="3"/>
  <c r="D1859" i="3" s="1"/>
  <c r="E1859" i="3"/>
  <c r="F1859" i="3" s="1"/>
  <c r="H1859" i="3" s="1"/>
  <c r="G1859" i="3"/>
  <c r="I1859" i="3"/>
  <c r="C1860" i="3"/>
  <c r="D1860" i="3" s="1"/>
  <c r="E1860" i="3" s="1"/>
  <c r="F1860" i="3" s="1"/>
  <c r="G1860" i="3"/>
  <c r="H1860" i="3" s="1"/>
  <c r="I1860" i="3"/>
  <c r="C1861" i="3"/>
  <c r="D1861" i="3"/>
  <c r="E1861" i="3"/>
  <c r="F1861" i="3" s="1"/>
  <c r="H1861" i="3" s="1"/>
  <c r="G1861" i="3"/>
  <c r="I1861" i="3"/>
  <c r="C1862" i="3"/>
  <c r="D1862" i="3" s="1"/>
  <c r="E1862" i="3" s="1"/>
  <c r="F1862" i="3" s="1"/>
  <c r="H1862" i="3" s="1"/>
  <c r="G1862" i="3"/>
  <c r="I1862" i="3"/>
  <c r="C1863" i="3"/>
  <c r="D1863" i="3"/>
  <c r="E1863" i="3" s="1"/>
  <c r="F1863" i="3" s="1"/>
  <c r="H1863" i="3" s="1"/>
  <c r="G1863" i="3"/>
  <c r="I1863" i="3"/>
  <c r="C1864" i="3"/>
  <c r="D1864" i="3"/>
  <c r="E1864" i="3"/>
  <c r="F1864" i="3"/>
  <c r="H1864" i="3" s="1"/>
  <c r="G1864" i="3"/>
  <c r="I1864" i="3"/>
  <c r="C1865" i="3"/>
  <c r="D1865" i="3" s="1"/>
  <c r="E1865" i="3" s="1"/>
  <c r="F1865" i="3"/>
  <c r="G1865" i="3"/>
  <c r="I1865" i="3"/>
  <c r="C1866" i="3"/>
  <c r="D1866" i="3"/>
  <c r="E1866" i="3" s="1"/>
  <c r="F1866" i="3" s="1"/>
  <c r="G1866" i="3"/>
  <c r="H1866" i="3"/>
  <c r="I1866" i="3"/>
  <c r="C1867" i="3"/>
  <c r="D1867" i="3" s="1"/>
  <c r="E1867" i="3"/>
  <c r="F1867" i="3" s="1"/>
  <c r="H1867" i="3" s="1"/>
  <c r="G1867" i="3"/>
  <c r="I1867" i="3"/>
  <c r="C1868" i="3"/>
  <c r="D1868" i="3" s="1"/>
  <c r="E1868" i="3" s="1"/>
  <c r="F1868" i="3" s="1"/>
  <c r="H1868" i="3" s="1"/>
  <c r="G1868" i="3"/>
  <c r="I1868" i="3"/>
  <c r="C1869" i="3"/>
  <c r="D1869" i="3"/>
  <c r="E1869" i="3" s="1"/>
  <c r="F1869" i="3" s="1"/>
  <c r="H1869" i="3" s="1"/>
  <c r="G1869" i="3"/>
  <c r="I1869" i="3"/>
  <c r="C1870" i="3"/>
  <c r="D1870" i="3" s="1"/>
  <c r="E1870" i="3" s="1"/>
  <c r="F1870" i="3" s="1"/>
  <c r="H1870" i="3" s="1"/>
  <c r="G1870" i="3"/>
  <c r="I1870" i="3"/>
  <c r="C1871" i="3"/>
  <c r="D1871" i="3" s="1"/>
  <c r="E1871" i="3" s="1"/>
  <c r="F1871" i="3" s="1"/>
  <c r="H1871" i="3" s="1"/>
  <c r="G1871" i="3"/>
  <c r="I1871" i="3"/>
  <c r="C1872" i="3"/>
  <c r="D1872" i="3"/>
  <c r="E1872" i="3"/>
  <c r="F1872" i="3"/>
  <c r="H1872" i="3" s="1"/>
  <c r="G1872" i="3"/>
  <c r="I1872" i="3"/>
  <c r="C1873" i="3"/>
  <c r="D1873" i="3" s="1"/>
  <c r="E1873" i="3" s="1"/>
  <c r="F1873" i="3" s="1"/>
  <c r="H1873" i="3" s="1"/>
  <c r="G1873" i="3"/>
  <c r="I1873" i="3"/>
  <c r="C1874" i="3"/>
  <c r="D1874" i="3"/>
  <c r="E1874" i="3" s="1"/>
  <c r="F1874" i="3" s="1"/>
  <c r="H1874" i="3" s="1"/>
  <c r="G1874" i="3"/>
  <c r="I1874" i="3"/>
  <c r="C1875" i="3"/>
  <c r="D1875" i="3" s="1"/>
  <c r="E1875" i="3"/>
  <c r="F1875" i="3"/>
  <c r="H1875" i="3" s="1"/>
  <c r="G1875" i="3"/>
  <c r="I1875" i="3"/>
  <c r="C1876" i="3"/>
  <c r="D1876" i="3" s="1"/>
  <c r="E1876" i="3" s="1"/>
  <c r="F1876" i="3"/>
  <c r="H1876" i="3" s="1"/>
  <c r="G1876" i="3"/>
  <c r="I1876" i="3"/>
  <c r="C1877" i="3"/>
  <c r="D1877" i="3" s="1"/>
  <c r="E1877" i="3" s="1"/>
  <c r="F1877" i="3" s="1"/>
  <c r="H1877" i="3" s="1"/>
  <c r="G1877" i="3"/>
  <c r="I1877" i="3"/>
  <c r="C1878" i="3"/>
  <c r="D1878" i="3" s="1"/>
  <c r="E1878" i="3"/>
  <c r="F1878" i="3" s="1"/>
  <c r="H1878" i="3" s="1"/>
  <c r="G1878" i="3"/>
  <c r="I1878" i="3"/>
  <c r="C1879" i="3"/>
  <c r="D1879" i="3"/>
  <c r="E1879" i="3" s="1"/>
  <c r="F1879" i="3" s="1"/>
  <c r="H1879" i="3" s="1"/>
  <c r="G1879" i="3"/>
  <c r="I1879" i="3"/>
  <c r="C1880" i="3"/>
  <c r="D1880" i="3"/>
  <c r="E1880" i="3"/>
  <c r="F1880" i="3" s="1"/>
  <c r="H1880" i="3" s="1"/>
  <c r="G1880" i="3"/>
  <c r="I1880" i="3"/>
  <c r="C1881" i="3"/>
  <c r="D1881" i="3" s="1"/>
  <c r="E1881" i="3" s="1"/>
  <c r="F1881" i="3" s="1"/>
  <c r="H1881" i="3" s="1"/>
  <c r="G1881" i="3"/>
  <c r="I1881" i="3"/>
  <c r="C1882" i="3"/>
  <c r="D1882" i="3"/>
  <c r="E1882" i="3" s="1"/>
  <c r="F1882" i="3"/>
  <c r="G1882" i="3"/>
  <c r="H1882" i="3" s="1"/>
  <c r="I1882" i="3"/>
  <c r="C1883" i="3"/>
  <c r="D1883" i="3" s="1"/>
  <c r="E1883" i="3" s="1"/>
  <c r="F1883" i="3" s="1"/>
  <c r="H1883" i="3" s="1"/>
  <c r="G1883" i="3"/>
  <c r="I1883" i="3"/>
  <c r="C1884" i="3"/>
  <c r="D1884" i="3" s="1"/>
  <c r="E1884" i="3" s="1"/>
  <c r="F1884" i="3" s="1"/>
  <c r="H1884" i="3" s="1"/>
  <c r="G1884" i="3"/>
  <c r="I1884" i="3"/>
  <c r="C1885" i="3"/>
  <c r="D1885" i="3"/>
  <c r="E1885" i="3"/>
  <c r="F1885" i="3" s="1"/>
  <c r="H1885" i="3" s="1"/>
  <c r="G1885" i="3"/>
  <c r="I1885" i="3"/>
  <c r="C1886" i="3"/>
  <c r="D1886" i="3" s="1"/>
  <c r="E1886" i="3"/>
  <c r="F1886" i="3" s="1"/>
  <c r="H1886" i="3" s="1"/>
  <c r="G1886" i="3"/>
  <c r="I1886" i="3"/>
  <c r="C1887" i="3"/>
  <c r="D1887" i="3" s="1"/>
  <c r="E1887" i="3" s="1"/>
  <c r="F1887" i="3" s="1"/>
  <c r="H1887" i="3" s="1"/>
  <c r="G1887" i="3"/>
  <c r="I1887" i="3"/>
  <c r="C1888" i="3"/>
  <c r="D1888" i="3"/>
  <c r="E1888" i="3"/>
  <c r="F1888" i="3" s="1"/>
  <c r="H1888" i="3" s="1"/>
  <c r="G1888" i="3"/>
  <c r="I1888" i="3"/>
  <c r="C1889" i="3"/>
  <c r="D1889" i="3" s="1"/>
  <c r="E1889" i="3" s="1"/>
  <c r="F1889" i="3" s="1"/>
  <c r="H1889" i="3" s="1"/>
  <c r="G1889" i="3"/>
  <c r="I1889" i="3"/>
  <c r="C1890" i="3"/>
  <c r="D1890" i="3"/>
  <c r="E1890" i="3" s="1"/>
  <c r="F1890" i="3" s="1"/>
  <c r="H1890" i="3" s="1"/>
  <c r="G1890" i="3"/>
  <c r="I1890" i="3"/>
  <c r="C1891" i="3"/>
  <c r="D1891" i="3" s="1"/>
  <c r="E1891" i="3" s="1"/>
  <c r="F1891" i="3" s="1"/>
  <c r="H1891" i="3" s="1"/>
  <c r="G1891" i="3"/>
  <c r="I1891" i="3"/>
  <c r="C1892" i="3"/>
  <c r="D1892" i="3" s="1"/>
  <c r="E1892" i="3" s="1"/>
  <c r="F1892" i="3"/>
  <c r="G1892" i="3"/>
  <c r="H1892" i="3" s="1"/>
  <c r="I1892" i="3"/>
  <c r="C1893" i="3"/>
  <c r="D1893" i="3" s="1"/>
  <c r="E1893" i="3" s="1"/>
  <c r="F1893" i="3" s="1"/>
  <c r="H1893" i="3" s="1"/>
  <c r="G1893" i="3"/>
  <c r="I1893" i="3"/>
  <c r="C1894" i="3"/>
  <c r="D1894" i="3" s="1"/>
  <c r="E1894" i="3" s="1"/>
  <c r="F1894" i="3" s="1"/>
  <c r="H1894" i="3" s="1"/>
  <c r="G1894" i="3"/>
  <c r="I1894" i="3"/>
  <c r="C1895" i="3"/>
  <c r="D1895" i="3"/>
  <c r="E1895" i="3" s="1"/>
  <c r="F1895" i="3"/>
  <c r="H1895" i="3" s="1"/>
  <c r="G1895" i="3"/>
  <c r="I1895" i="3"/>
  <c r="C1896" i="3"/>
  <c r="D1896" i="3"/>
  <c r="E1896" i="3"/>
  <c r="F1896" i="3" s="1"/>
  <c r="H1896" i="3" s="1"/>
  <c r="G1896" i="3"/>
  <c r="I1896" i="3"/>
  <c r="C1897" i="3"/>
  <c r="D1897" i="3" s="1"/>
  <c r="E1897" i="3"/>
  <c r="F1897" i="3" s="1"/>
  <c r="H1897" i="3" s="1"/>
  <c r="G1897" i="3"/>
  <c r="I1897" i="3"/>
  <c r="C1898" i="3"/>
  <c r="D1898" i="3"/>
  <c r="E1898" i="3" s="1"/>
  <c r="F1898" i="3" s="1"/>
  <c r="H1898" i="3" s="1"/>
  <c r="G1898" i="3"/>
  <c r="I1898" i="3"/>
  <c r="C1899" i="3"/>
  <c r="D1899" i="3" s="1"/>
  <c r="E1899" i="3" s="1"/>
  <c r="F1899" i="3" s="1"/>
  <c r="H1899" i="3" s="1"/>
  <c r="G1899" i="3"/>
  <c r="I1899" i="3"/>
  <c r="C1900" i="3"/>
  <c r="D1900" i="3" s="1"/>
  <c r="E1900" i="3" s="1"/>
  <c r="F1900" i="3" s="1"/>
  <c r="H1900" i="3" s="1"/>
  <c r="G1900" i="3"/>
  <c r="I1900" i="3"/>
  <c r="C1901" i="3"/>
  <c r="D1901" i="3" s="1"/>
  <c r="E1901" i="3" s="1"/>
  <c r="F1901" i="3" s="1"/>
  <c r="H1901" i="3" s="1"/>
  <c r="G1901" i="3"/>
  <c r="I1901" i="3"/>
  <c r="C1902" i="3"/>
  <c r="D1902" i="3" s="1"/>
  <c r="E1902" i="3"/>
  <c r="F1902" i="3"/>
  <c r="H1902" i="3" s="1"/>
  <c r="G1902" i="3"/>
  <c r="I1902" i="3"/>
  <c r="C1903" i="3"/>
  <c r="D1903" i="3" s="1"/>
  <c r="E1903" i="3" s="1"/>
  <c r="F1903" i="3" s="1"/>
  <c r="H1903" i="3" s="1"/>
  <c r="G1903" i="3"/>
  <c r="I1903" i="3"/>
  <c r="C1904" i="3"/>
  <c r="D1904" i="3"/>
  <c r="E1904" i="3" s="1"/>
  <c r="F1904" i="3" s="1"/>
  <c r="H1904" i="3" s="1"/>
  <c r="G1904" i="3"/>
  <c r="I1904" i="3"/>
  <c r="C1905" i="3"/>
  <c r="D1905" i="3" s="1"/>
  <c r="E1905" i="3"/>
  <c r="F1905" i="3" s="1"/>
  <c r="H1905" i="3" s="1"/>
  <c r="G1905" i="3"/>
  <c r="I1905" i="3"/>
  <c r="C1906" i="3"/>
  <c r="D1906" i="3"/>
  <c r="E1906" i="3" s="1"/>
  <c r="F1906" i="3" s="1"/>
  <c r="H1906" i="3" s="1"/>
  <c r="G1906" i="3"/>
  <c r="I1906" i="3"/>
  <c r="C1907" i="3"/>
  <c r="D1907" i="3" s="1"/>
  <c r="E1907" i="3"/>
  <c r="F1907" i="3" s="1"/>
  <c r="H1907" i="3" s="1"/>
  <c r="G1907" i="3"/>
  <c r="I1907" i="3"/>
  <c r="C1908" i="3"/>
  <c r="D1908" i="3" s="1"/>
  <c r="E1908" i="3" s="1"/>
  <c r="F1908" i="3" s="1"/>
  <c r="H1908" i="3" s="1"/>
  <c r="G1908" i="3"/>
  <c r="I1908" i="3"/>
  <c r="C1909" i="3"/>
  <c r="D1909" i="3" s="1"/>
  <c r="E1909" i="3" s="1"/>
  <c r="F1909" i="3" s="1"/>
  <c r="H1909" i="3" s="1"/>
  <c r="G1909" i="3"/>
  <c r="I1909" i="3"/>
  <c r="C1910" i="3"/>
  <c r="D1910" i="3" s="1"/>
  <c r="E1910" i="3" s="1"/>
  <c r="F1910" i="3" s="1"/>
  <c r="H1910" i="3" s="1"/>
  <c r="G1910" i="3"/>
  <c r="I1910" i="3"/>
  <c r="C1911" i="3"/>
  <c r="D1911" i="3" s="1"/>
  <c r="E1911" i="3" s="1"/>
  <c r="F1911" i="3" s="1"/>
  <c r="H1911" i="3" s="1"/>
  <c r="G1911" i="3"/>
  <c r="I1911" i="3"/>
  <c r="C1912" i="3"/>
  <c r="D1912" i="3"/>
  <c r="E1912" i="3"/>
  <c r="F1912" i="3"/>
  <c r="H1912" i="3" s="1"/>
  <c r="G1912" i="3"/>
  <c r="I1912" i="3"/>
  <c r="C1913" i="3"/>
  <c r="D1913" i="3" s="1"/>
  <c r="E1913" i="3"/>
  <c r="F1913" i="3" s="1"/>
  <c r="H1913" i="3" s="1"/>
  <c r="G1913" i="3"/>
  <c r="I1913" i="3"/>
  <c r="C1914" i="3"/>
  <c r="D1914" i="3"/>
  <c r="E1914" i="3" s="1"/>
  <c r="F1914" i="3"/>
  <c r="G1914" i="3"/>
  <c r="H1914" i="3"/>
  <c r="I1914" i="3"/>
  <c r="C1915" i="3"/>
  <c r="D1915" i="3" s="1"/>
  <c r="E1915" i="3"/>
  <c r="F1915" i="3" s="1"/>
  <c r="H1915" i="3" s="1"/>
  <c r="G1915" i="3"/>
  <c r="I1915" i="3"/>
  <c r="C1916" i="3"/>
  <c r="D1916" i="3" s="1"/>
  <c r="E1916" i="3" s="1"/>
  <c r="F1916" i="3" s="1"/>
  <c r="H1916" i="3" s="1"/>
  <c r="G1916" i="3"/>
  <c r="I1916" i="3"/>
  <c r="C1917" i="3"/>
  <c r="D1917" i="3"/>
  <c r="E1917" i="3" s="1"/>
  <c r="F1917" i="3" s="1"/>
  <c r="H1917" i="3" s="1"/>
  <c r="G1917" i="3"/>
  <c r="I1917" i="3"/>
  <c r="C1918" i="3"/>
  <c r="D1918" i="3" s="1"/>
  <c r="E1918" i="3" s="1"/>
  <c r="F1918" i="3" s="1"/>
  <c r="H1918" i="3" s="1"/>
  <c r="G1918" i="3"/>
  <c r="I1918" i="3"/>
  <c r="C1919" i="3"/>
  <c r="D1919" i="3" s="1"/>
  <c r="E1919" i="3" s="1"/>
  <c r="F1919" i="3" s="1"/>
  <c r="H1919" i="3" s="1"/>
  <c r="G1919" i="3"/>
  <c r="I1919" i="3"/>
  <c r="C1920" i="3"/>
  <c r="D1920" i="3"/>
  <c r="E1920" i="3" s="1"/>
  <c r="F1920" i="3" s="1"/>
  <c r="H1920" i="3" s="1"/>
  <c r="G1920" i="3"/>
  <c r="I1920" i="3"/>
  <c r="C1921" i="3"/>
  <c r="D1921" i="3" s="1"/>
  <c r="E1921" i="3" s="1"/>
  <c r="F1921" i="3" s="1"/>
  <c r="H1921" i="3" s="1"/>
  <c r="G1921" i="3"/>
  <c r="I1921" i="3"/>
  <c r="C1922" i="3"/>
  <c r="D1922" i="3"/>
  <c r="E1922" i="3" s="1"/>
  <c r="F1922" i="3"/>
  <c r="H1922" i="3" s="1"/>
  <c r="G1922" i="3"/>
  <c r="I1922" i="3"/>
  <c r="C1923" i="3"/>
  <c r="D1923" i="3" s="1"/>
  <c r="E1923" i="3"/>
  <c r="F1923" i="3" s="1"/>
  <c r="H1923" i="3" s="1"/>
  <c r="G1923" i="3"/>
  <c r="I1923" i="3"/>
  <c r="C1924" i="3"/>
  <c r="D1924" i="3" s="1"/>
  <c r="E1924" i="3" s="1"/>
  <c r="F1924" i="3"/>
  <c r="G1924" i="3"/>
  <c r="H1924" i="3"/>
  <c r="I1924" i="3"/>
  <c r="C1925" i="3"/>
  <c r="D1925" i="3"/>
  <c r="E1925" i="3" s="1"/>
  <c r="F1925" i="3" s="1"/>
  <c r="H1925" i="3" s="1"/>
  <c r="G1925" i="3"/>
  <c r="I1925" i="3"/>
  <c r="C1926" i="3"/>
  <c r="D1926" i="3" s="1"/>
  <c r="E1926" i="3" s="1"/>
  <c r="F1926" i="3" s="1"/>
  <c r="H1926" i="3" s="1"/>
  <c r="G1926" i="3"/>
  <c r="I1926" i="3"/>
  <c r="C1927" i="3"/>
  <c r="D1927" i="3"/>
  <c r="E1927" i="3" s="1"/>
  <c r="F1927" i="3" s="1"/>
  <c r="H1927" i="3" s="1"/>
  <c r="G1927" i="3"/>
  <c r="I1927" i="3"/>
  <c r="C1928" i="3"/>
  <c r="D1928" i="3" s="1"/>
  <c r="E1928" i="3" s="1"/>
  <c r="F1928" i="3" s="1"/>
  <c r="H1928" i="3" s="1"/>
  <c r="G1928" i="3"/>
  <c r="I1928" i="3"/>
  <c r="C1929" i="3"/>
  <c r="D1929" i="3"/>
  <c r="E1929" i="3"/>
  <c r="F1929" i="3" s="1"/>
  <c r="H1929" i="3" s="1"/>
  <c r="G1929" i="3"/>
  <c r="I1929" i="3"/>
  <c r="C1930" i="3"/>
  <c r="D1930" i="3" s="1"/>
  <c r="E1930" i="3" s="1"/>
  <c r="F1930" i="3" s="1"/>
  <c r="G1930" i="3"/>
  <c r="I1930" i="3"/>
  <c r="C1931" i="3"/>
  <c r="D1931" i="3"/>
  <c r="E1931" i="3" s="1"/>
  <c r="F1931" i="3" s="1"/>
  <c r="H1931" i="3" s="1"/>
  <c r="G1931" i="3"/>
  <c r="I1931" i="3"/>
  <c r="C1932" i="3"/>
  <c r="D1932" i="3" s="1"/>
  <c r="E1932" i="3" s="1"/>
  <c r="F1932" i="3" s="1"/>
  <c r="H1932" i="3" s="1"/>
  <c r="G1932" i="3"/>
  <c r="I1932" i="3"/>
  <c r="C1933" i="3"/>
  <c r="D1933" i="3"/>
  <c r="E1933" i="3"/>
  <c r="F1933" i="3" s="1"/>
  <c r="H1933" i="3" s="1"/>
  <c r="G1933" i="3"/>
  <c r="I1933" i="3"/>
  <c r="C1934" i="3"/>
  <c r="D1934" i="3" s="1"/>
  <c r="E1934" i="3" s="1"/>
  <c r="F1934" i="3" s="1"/>
  <c r="H1934" i="3" s="1"/>
  <c r="G1934" i="3"/>
  <c r="I1934" i="3"/>
  <c r="C1935" i="3"/>
  <c r="D1935" i="3"/>
  <c r="E1935" i="3" s="1"/>
  <c r="F1935" i="3" s="1"/>
  <c r="H1935" i="3" s="1"/>
  <c r="G1935" i="3"/>
  <c r="I1935" i="3"/>
  <c r="C1936" i="3"/>
  <c r="D1936" i="3" s="1"/>
  <c r="E1936" i="3" s="1"/>
  <c r="F1936" i="3" s="1"/>
  <c r="H1936" i="3" s="1"/>
  <c r="G1936" i="3"/>
  <c r="I1936" i="3"/>
  <c r="C1937" i="3"/>
  <c r="D1937" i="3"/>
  <c r="E1937" i="3"/>
  <c r="F1937" i="3" s="1"/>
  <c r="H1937" i="3" s="1"/>
  <c r="G1937" i="3"/>
  <c r="I1937" i="3"/>
  <c r="C1938" i="3"/>
  <c r="D1938" i="3" s="1"/>
  <c r="E1938" i="3" s="1"/>
  <c r="F1938" i="3" s="1"/>
  <c r="G1938" i="3"/>
  <c r="I1938" i="3"/>
  <c r="C1939" i="3"/>
  <c r="D1939" i="3"/>
  <c r="E1939" i="3" s="1"/>
  <c r="F1939" i="3" s="1"/>
  <c r="G1939" i="3"/>
  <c r="I1939" i="3"/>
  <c r="C1940" i="3"/>
  <c r="D1940" i="3" s="1"/>
  <c r="E1940" i="3" s="1"/>
  <c r="F1940" i="3" s="1"/>
  <c r="H1940" i="3" s="1"/>
  <c r="G1940" i="3"/>
  <c r="I1940" i="3"/>
  <c r="C1941" i="3"/>
  <c r="D1941" i="3"/>
  <c r="E1941" i="3"/>
  <c r="F1941" i="3" s="1"/>
  <c r="H1941" i="3" s="1"/>
  <c r="G1941" i="3"/>
  <c r="I1941" i="3"/>
  <c r="C1942" i="3"/>
  <c r="D1942" i="3" s="1"/>
  <c r="E1942" i="3" s="1"/>
  <c r="F1942" i="3" s="1"/>
  <c r="H1942" i="3" s="1"/>
  <c r="G1942" i="3"/>
  <c r="I1942" i="3"/>
  <c r="C1943" i="3"/>
  <c r="D1943" i="3"/>
  <c r="E1943" i="3" s="1"/>
  <c r="F1943" i="3" s="1"/>
  <c r="H1943" i="3" s="1"/>
  <c r="G1943" i="3"/>
  <c r="I1943" i="3"/>
  <c r="C1944" i="3"/>
  <c r="D1944" i="3" s="1"/>
  <c r="E1944" i="3" s="1"/>
  <c r="F1944" i="3" s="1"/>
  <c r="H1944" i="3" s="1"/>
  <c r="G1944" i="3"/>
  <c r="I1944" i="3"/>
  <c r="C1945" i="3"/>
  <c r="D1945" i="3"/>
  <c r="E1945" i="3"/>
  <c r="F1945" i="3" s="1"/>
  <c r="H1945" i="3" s="1"/>
  <c r="G1945" i="3"/>
  <c r="I1945" i="3"/>
  <c r="C1946" i="3"/>
  <c r="D1946" i="3" s="1"/>
  <c r="E1946" i="3" s="1"/>
  <c r="F1946" i="3" s="1"/>
  <c r="G1946" i="3"/>
  <c r="I1946" i="3"/>
  <c r="C1947" i="3"/>
  <c r="D1947" i="3"/>
  <c r="E1947" i="3" s="1"/>
  <c r="F1947" i="3" s="1"/>
  <c r="G1947" i="3"/>
  <c r="I1947" i="3"/>
  <c r="C1948" i="3"/>
  <c r="D1948" i="3" s="1"/>
  <c r="E1948" i="3" s="1"/>
  <c r="F1948" i="3" s="1"/>
  <c r="H1948" i="3" s="1"/>
  <c r="G1948" i="3"/>
  <c r="I1948" i="3"/>
  <c r="C1949" i="3"/>
  <c r="D1949" i="3"/>
  <c r="E1949" i="3"/>
  <c r="F1949" i="3" s="1"/>
  <c r="H1949" i="3" s="1"/>
  <c r="G1949" i="3"/>
  <c r="I1949" i="3"/>
  <c r="C1950" i="3"/>
  <c r="D1950" i="3" s="1"/>
  <c r="E1950" i="3" s="1"/>
  <c r="F1950" i="3" s="1"/>
  <c r="G1950" i="3"/>
  <c r="I1950" i="3"/>
  <c r="C1951" i="3"/>
  <c r="D1951" i="3"/>
  <c r="E1951" i="3" s="1"/>
  <c r="F1951" i="3" s="1"/>
  <c r="G1951" i="3"/>
  <c r="I1951" i="3"/>
  <c r="C1952" i="3"/>
  <c r="D1952" i="3" s="1"/>
  <c r="E1952" i="3" s="1"/>
  <c r="F1952" i="3" s="1"/>
  <c r="H1952" i="3" s="1"/>
  <c r="G1952" i="3"/>
  <c r="I1952" i="3"/>
  <c r="C1953" i="3"/>
  <c r="D1953" i="3"/>
  <c r="E1953" i="3"/>
  <c r="F1953" i="3" s="1"/>
  <c r="H1953" i="3" s="1"/>
  <c r="G1953" i="3"/>
  <c r="I1953" i="3"/>
  <c r="C1954" i="3"/>
  <c r="D1954" i="3" s="1"/>
  <c r="E1954" i="3" s="1"/>
  <c r="F1954" i="3" s="1"/>
  <c r="G1954" i="3"/>
  <c r="I1954" i="3"/>
  <c r="C1955" i="3"/>
  <c r="D1955" i="3"/>
  <c r="E1955" i="3" s="1"/>
  <c r="F1955" i="3" s="1"/>
  <c r="G1955" i="3"/>
  <c r="I1955" i="3"/>
  <c r="C1956" i="3"/>
  <c r="D1956" i="3" s="1"/>
  <c r="E1956" i="3" s="1"/>
  <c r="F1956" i="3" s="1"/>
  <c r="H1956" i="3" s="1"/>
  <c r="G1956" i="3"/>
  <c r="I1956" i="3"/>
  <c r="C1957" i="3"/>
  <c r="D1957" i="3"/>
  <c r="E1957" i="3"/>
  <c r="F1957" i="3" s="1"/>
  <c r="H1957" i="3" s="1"/>
  <c r="G1957" i="3"/>
  <c r="I1957" i="3"/>
  <c r="C1958" i="3"/>
  <c r="D1958" i="3" s="1"/>
  <c r="E1958" i="3" s="1"/>
  <c r="F1958" i="3" s="1"/>
  <c r="G1958" i="3"/>
  <c r="I1958" i="3"/>
  <c r="C1959" i="3"/>
  <c r="D1959" i="3"/>
  <c r="E1959" i="3" s="1"/>
  <c r="F1959" i="3" s="1"/>
  <c r="G1959" i="3"/>
  <c r="I1959" i="3"/>
  <c r="C1960" i="3"/>
  <c r="D1960" i="3" s="1"/>
  <c r="E1960" i="3" s="1"/>
  <c r="F1960" i="3" s="1"/>
  <c r="H1960" i="3" s="1"/>
  <c r="G1960" i="3"/>
  <c r="I1960" i="3"/>
  <c r="C1961" i="3"/>
  <c r="D1961" i="3"/>
  <c r="E1961" i="3"/>
  <c r="F1961" i="3" s="1"/>
  <c r="H1961" i="3" s="1"/>
  <c r="G1961" i="3"/>
  <c r="I1961" i="3"/>
  <c r="C1962" i="3"/>
  <c r="D1962" i="3" s="1"/>
  <c r="E1962" i="3" s="1"/>
  <c r="F1962" i="3" s="1"/>
  <c r="G1962" i="3"/>
  <c r="I1962" i="3"/>
  <c r="C1963" i="3"/>
  <c r="D1963" i="3"/>
  <c r="E1963" i="3" s="1"/>
  <c r="F1963" i="3" s="1"/>
  <c r="G1963" i="3"/>
  <c r="I1963" i="3"/>
  <c r="C1964" i="3"/>
  <c r="D1964" i="3" s="1"/>
  <c r="E1964" i="3" s="1"/>
  <c r="F1964" i="3" s="1"/>
  <c r="H1964" i="3" s="1"/>
  <c r="G1964" i="3"/>
  <c r="I1964" i="3"/>
  <c r="C1965" i="3"/>
  <c r="D1965" i="3"/>
  <c r="E1965" i="3"/>
  <c r="F1965" i="3" s="1"/>
  <c r="H1965" i="3" s="1"/>
  <c r="G1965" i="3"/>
  <c r="I1965" i="3"/>
  <c r="C1966" i="3"/>
  <c r="D1966" i="3" s="1"/>
  <c r="E1966" i="3" s="1"/>
  <c r="F1966" i="3" s="1"/>
  <c r="G1966" i="3"/>
  <c r="I1966" i="3"/>
  <c r="C1967" i="3"/>
  <c r="D1967" i="3"/>
  <c r="E1967" i="3" s="1"/>
  <c r="F1967" i="3" s="1"/>
  <c r="G1967" i="3"/>
  <c r="I1967" i="3"/>
  <c r="C1968" i="3"/>
  <c r="D1968" i="3" s="1"/>
  <c r="E1968" i="3" s="1"/>
  <c r="F1968" i="3" s="1"/>
  <c r="H1968" i="3" s="1"/>
  <c r="G1968" i="3"/>
  <c r="I1968" i="3"/>
  <c r="C1969" i="3"/>
  <c r="D1969" i="3"/>
  <c r="E1969" i="3"/>
  <c r="F1969" i="3" s="1"/>
  <c r="H1969" i="3" s="1"/>
  <c r="G1969" i="3"/>
  <c r="I1969" i="3"/>
  <c r="C1970" i="3"/>
  <c r="D1970" i="3" s="1"/>
  <c r="E1970" i="3" s="1"/>
  <c r="F1970" i="3" s="1"/>
  <c r="G1970" i="3"/>
  <c r="I1970" i="3"/>
  <c r="C1971" i="3"/>
  <c r="D1971" i="3"/>
  <c r="E1971" i="3" s="1"/>
  <c r="F1971" i="3" s="1"/>
  <c r="G1971" i="3"/>
  <c r="I1971" i="3"/>
  <c r="C1972" i="3"/>
  <c r="D1972" i="3" s="1"/>
  <c r="E1972" i="3" s="1"/>
  <c r="F1972" i="3" s="1"/>
  <c r="H1972" i="3" s="1"/>
  <c r="G1972" i="3"/>
  <c r="I1972" i="3"/>
  <c r="C1973" i="3"/>
  <c r="D1973" i="3"/>
  <c r="E1973" i="3"/>
  <c r="F1973" i="3" s="1"/>
  <c r="H1973" i="3" s="1"/>
  <c r="G1973" i="3"/>
  <c r="I1973" i="3"/>
  <c r="C1974" i="3"/>
  <c r="D1974" i="3" s="1"/>
  <c r="E1974" i="3" s="1"/>
  <c r="F1974" i="3" s="1"/>
  <c r="H1974" i="3" s="1"/>
  <c r="G1974" i="3"/>
  <c r="I1974" i="3"/>
  <c r="C1975" i="3"/>
  <c r="D1975" i="3"/>
  <c r="E1975" i="3" s="1"/>
  <c r="F1975" i="3" s="1"/>
  <c r="G1975" i="3"/>
  <c r="I1975" i="3"/>
  <c r="C1976" i="3"/>
  <c r="D1976" i="3" s="1"/>
  <c r="E1976" i="3" s="1"/>
  <c r="F1976" i="3" s="1"/>
  <c r="H1976" i="3" s="1"/>
  <c r="G1976" i="3"/>
  <c r="I1976" i="3"/>
  <c r="C1977" i="3"/>
  <c r="D1977" i="3"/>
  <c r="E1977" i="3"/>
  <c r="F1977" i="3" s="1"/>
  <c r="H1977" i="3" s="1"/>
  <c r="G1977" i="3"/>
  <c r="I1977" i="3"/>
  <c r="C1978" i="3"/>
  <c r="D1978" i="3" s="1"/>
  <c r="E1978" i="3" s="1"/>
  <c r="F1978" i="3" s="1"/>
  <c r="H1978" i="3" s="1"/>
  <c r="G1978" i="3"/>
  <c r="I1978" i="3"/>
  <c r="C1979" i="3"/>
  <c r="D1979" i="3"/>
  <c r="E1979" i="3" s="1"/>
  <c r="F1979" i="3" s="1"/>
  <c r="G1979" i="3"/>
  <c r="I1979" i="3"/>
  <c r="C1980" i="3"/>
  <c r="D1980" i="3" s="1"/>
  <c r="E1980" i="3" s="1"/>
  <c r="F1980" i="3" s="1"/>
  <c r="H1980" i="3" s="1"/>
  <c r="G1980" i="3"/>
  <c r="I1980" i="3"/>
  <c r="C1981" i="3"/>
  <c r="D1981" i="3"/>
  <c r="E1981" i="3"/>
  <c r="F1981" i="3" s="1"/>
  <c r="H1981" i="3" s="1"/>
  <c r="G1981" i="3"/>
  <c r="I1981" i="3"/>
  <c r="C1982" i="3"/>
  <c r="D1982" i="3" s="1"/>
  <c r="E1982" i="3" s="1"/>
  <c r="F1982" i="3" s="1"/>
  <c r="H1982" i="3" s="1"/>
  <c r="G1982" i="3"/>
  <c r="I1982" i="3"/>
  <c r="C1983" i="3"/>
  <c r="D1983" i="3"/>
  <c r="E1983" i="3" s="1"/>
  <c r="F1983" i="3" s="1"/>
  <c r="H1983" i="3" s="1"/>
  <c r="G1983" i="3"/>
  <c r="I1983" i="3"/>
  <c r="C1984" i="3"/>
  <c r="D1984" i="3" s="1"/>
  <c r="E1984" i="3" s="1"/>
  <c r="F1984" i="3" s="1"/>
  <c r="H1984" i="3" s="1"/>
  <c r="G1984" i="3"/>
  <c r="I1984" i="3"/>
  <c r="C1985" i="3"/>
  <c r="D1985" i="3"/>
  <c r="E1985" i="3"/>
  <c r="F1985" i="3" s="1"/>
  <c r="H1985" i="3" s="1"/>
  <c r="G1985" i="3"/>
  <c r="I1985" i="3"/>
  <c r="C1986" i="3"/>
  <c r="D1986" i="3" s="1"/>
  <c r="E1986" i="3" s="1"/>
  <c r="F1986" i="3" s="1"/>
  <c r="H1986" i="3" s="1"/>
  <c r="G1986" i="3"/>
  <c r="I1986" i="3"/>
  <c r="C1987" i="3"/>
  <c r="D1987" i="3"/>
  <c r="E1987" i="3" s="1"/>
  <c r="F1987" i="3" s="1"/>
  <c r="H1987" i="3" s="1"/>
  <c r="G1987" i="3"/>
  <c r="I1987" i="3"/>
  <c r="C1988" i="3"/>
  <c r="D1988" i="3" s="1"/>
  <c r="E1988" i="3" s="1"/>
  <c r="F1988" i="3" s="1"/>
  <c r="H1988" i="3" s="1"/>
  <c r="G1988" i="3"/>
  <c r="I1988" i="3"/>
  <c r="C1989" i="3"/>
  <c r="D1989" i="3"/>
  <c r="E1989" i="3"/>
  <c r="F1989" i="3" s="1"/>
  <c r="H1989" i="3" s="1"/>
  <c r="G1989" i="3"/>
  <c r="I1989" i="3"/>
  <c r="C1990" i="3"/>
  <c r="D1990" i="3" s="1"/>
  <c r="E1990" i="3" s="1"/>
  <c r="F1990" i="3" s="1"/>
  <c r="H1990" i="3" s="1"/>
  <c r="G1990" i="3"/>
  <c r="I1990" i="3"/>
  <c r="C1991" i="3"/>
  <c r="D1991" i="3"/>
  <c r="E1991" i="3" s="1"/>
  <c r="F1991" i="3" s="1"/>
  <c r="H1991" i="3" s="1"/>
  <c r="G1991" i="3"/>
  <c r="I1991" i="3"/>
  <c r="C1992" i="3"/>
  <c r="D1992" i="3" s="1"/>
  <c r="E1992" i="3" s="1"/>
  <c r="F1992" i="3" s="1"/>
  <c r="H1992" i="3" s="1"/>
  <c r="G1992" i="3"/>
  <c r="I1992" i="3"/>
  <c r="C1993" i="3"/>
  <c r="D1993" i="3"/>
  <c r="E1993" i="3"/>
  <c r="F1993" i="3" s="1"/>
  <c r="H1993" i="3" s="1"/>
  <c r="G1993" i="3"/>
  <c r="I1993" i="3"/>
  <c r="C1994" i="3"/>
  <c r="D1994" i="3" s="1"/>
  <c r="E1994" i="3" s="1"/>
  <c r="F1994" i="3" s="1"/>
  <c r="H1994" i="3" s="1"/>
  <c r="G1994" i="3"/>
  <c r="I1994" i="3"/>
  <c r="C1995" i="3"/>
  <c r="D1995" i="3"/>
  <c r="E1995" i="3" s="1"/>
  <c r="F1995" i="3" s="1"/>
  <c r="H1995" i="3" s="1"/>
  <c r="G1995" i="3"/>
  <c r="I1995" i="3"/>
  <c r="C1996" i="3"/>
  <c r="D1996" i="3" s="1"/>
  <c r="E1996" i="3" s="1"/>
  <c r="F1996" i="3" s="1"/>
  <c r="H1996" i="3" s="1"/>
  <c r="G1996" i="3"/>
  <c r="I1996" i="3"/>
  <c r="C1997" i="3"/>
  <c r="D1997" i="3"/>
  <c r="E1997" i="3"/>
  <c r="F1997" i="3" s="1"/>
  <c r="H1997" i="3" s="1"/>
  <c r="G1997" i="3"/>
  <c r="I1997" i="3"/>
  <c r="C1998" i="3"/>
  <c r="D1998" i="3" s="1"/>
  <c r="E1998" i="3" s="1"/>
  <c r="F1998" i="3"/>
  <c r="H1998" i="3" s="1"/>
  <c r="G1998" i="3"/>
  <c r="I1998" i="3"/>
  <c r="C1999" i="3"/>
  <c r="D1999" i="3"/>
  <c r="E1999" i="3" s="1"/>
  <c r="F1999" i="3" s="1"/>
  <c r="H1999" i="3" s="1"/>
  <c r="G1999" i="3"/>
  <c r="I1999" i="3"/>
  <c r="C2000" i="3"/>
  <c r="D2000" i="3"/>
  <c r="E2000" i="3" s="1"/>
  <c r="F2000" i="3" s="1"/>
  <c r="H2000" i="3" s="1"/>
  <c r="G2000" i="3"/>
  <c r="I2000" i="3"/>
  <c r="C2001" i="3"/>
  <c r="D2001" i="3"/>
  <c r="E2001" i="3" s="1"/>
  <c r="F2001" i="3" s="1"/>
  <c r="H2001" i="3" s="1"/>
  <c r="G2001" i="3"/>
  <c r="I2001" i="3"/>
  <c r="C2002" i="3"/>
  <c r="D2002" i="3" s="1"/>
  <c r="E2002" i="3" s="1"/>
  <c r="F2002" i="3" s="1"/>
  <c r="H2002" i="3" s="1"/>
  <c r="G2002" i="3"/>
  <c r="I2002" i="3"/>
  <c r="C2003" i="3"/>
  <c r="D2003" i="3"/>
  <c r="E2003" i="3" s="1"/>
  <c r="F2003" i="3" s="1"/>
  <c r="G2003" i="3"/>
  <c r="I2003" i="3"/>
  <c r="C2004" i="3"/>
  <c r="D2004" i="3" s="1"/>
  <c r="E2004" i="3" s="1"/>
  <c r="F2004" i="3" s="1"/>
  <c r="H2004" i="3" s="1"/>
  <c r="G2004" i="3"/>
  <c r="I2004" i="3"/>
  <c r="C2005" i="3"/>
  <c r="D2005" i="3"/>
  <c r="E2005" i="3"/>
  <c r="F2005" i="3" s="1"/>
  <c r="H2005" i="3" s="1"/>
  <c r="G2005" i="3"/>
  <c r="I2005" i="3"/>
  <c r="C2006" i="3"/>
  <c r="D2006" i="3" s="1"/>
  <c r="E2006" i="3" s="1"/>
  <c r="F2006" i="3" s="1"/>
  <c r="H2006" i="3" s="1"/>
  <c r="G2006" i="3"/>
  <c r="I2006" i="3"/>
  <c r="C2007" i="3"/>
  <c r="D2007" i="3"/>
  <c r="E2007" i="3" s="1"/>
  <c r="F2007" i="3" s="1"/>
  <c r="H2007" i="3" s="1"/>
  <c r="G2007" i="3"/>
  <c r="I2007" i="3"/>
  <c r="C2008" i="3"/>
  <c r="D2008" i="3" s="1"/>
  <c r="E2008" i="3" s="1"/>
  <c r="F2008" i="3" s="1"/>
  <c r="H2008" i="3" s="1"/>
  <c r="G2008" i="3"/>
  <c r="I2008" i="3"/>
  <c r="C2009" i="3"/>
  <c r="D2009" i="3"/>
  <c r="E2009" i="3" s="1"/>
  <c r="F2009" i="3" s="1"/>
  <c r="H2009" i="3" s="1"/>
  <c r="G2009" i="3"/>
  <c r="I2009" i="3"/>
  <c r="C2010" i="3"/>
  <c r="D2010" i="3" s="1"/>
  <c r="E2010" i="3" s="1"/>
  <c r="F2010" i="3" s="1"/>
  <c r="H2010" i="3" s="1"/>
  <c r="G2010" i="3"/>
  <c r="I2010" i="3"/>
  <c r="C2011" i="3"/>
  <c r="D2011" i="3"/>
  <c r="E2011" i="3" s="1"/>
  <c r="F2011" i="3" s="1"/>
  <c r="H2011" i="3" s="1"/>
  <c r="G2011" i="3"/>
  <c r="I2011" i="3"/>
  <c r="C2012" i="3"/>
  <c r="D2012" i="3" s="1"/>
  <c r="E2012" i="3" s="1"/>
  <c r="F2012" i="3" s="1"/>
  <c r="H2012" i="3" s="1"/>
  <c r="G2012" i="3"/>
  <c r="I2012" i="3"/>
  <c r="C2013" i="3"/>
  <c r="D2013" i="3"/>
  <c r="E2013" i="3" s="1"/>
  <c r="F2013" i="3" s="1"/>
  <c r="H2013" i="3" s="1"/>
  <c r="G2013" i="3"/>
  <c r="I2013" i="3"/>
  <c r="C2014" i="3"/>
  <c r="D2014" i="3" s="1"/>
  <c r="E2014" i="3" s="1"/>
  <c r="F2014" i="3"/>
  <c r="H2014" i="3" s="1"/>
  <c r="G2014" i="3"/>
  <c r="I2014" i="3"/>
  <c r="C2015" i="3"/>
  <c r="D2015" i="3"/>
  <c r="E2015" i="3" s="1"/>
  <c r="F2015" i="3" s="1"/>
  <c r="H2015" i="3" s="1"/>
  <c r="G2015" i="3"/>
  <c r="I2015" i="3"/>
  <c r="C2016" i="3"/>
  <c r="D2016" i="3"/>
  <c r="E2016" i="3" s="1"/>
  <c r="F2016" i="3" s="1"/>
  <c r="H2016" i="3" s="1"/>
  <c r="G2016" i="3"/>
  <c r="I2016" i="3"/>
  <c r="C2017" i="3"/>
  <c r="D2017" i="3"/>
  <c r="E2017" i="3" s="1"/>
  <c r="F2017" i="3" s="1"/>
  <c r="H2017" i="3" s="1"/>
  <c r="G2017" i="3"/>
  <c r="I2017" i="3"/>
  <c r="C2018" i="3"/>
  <c r="D2018" i="3" s="1"/>
  <c r="E2018" i="3" s="1"/>
  <c r="F2018" i="3" s="1"/>
  <c r="H2018" i="3" s="1"/>
  <c r="G2018" i="3"/>
  <c r="I2018" i="3"/>
  <c r="C2019" i="3"/>
  <c r="D2019" i="3"/>
  <c r="E2019" i="3" s="1"/>
  <c r="F2019" i="3" s="1"/>
  <c r="G2019" i="3"/>
  <c r="I2019" i="3"/>
  <c r="C2020" i="3"/>
  <c r="D2020" i="3" s="1"/>
  <c r="E2020" i="3" s="1"/>
  <c r="F2020" i="3" s="1"/>
  <c r="H2020" i="3" s="1"/>
  <c r="G2020" i="3"/>
  <c r="I2020" i="3"/>
  <c r="C2021" i="3"/>
  <c r="D2021" i="3"/>
  <c r="E2021" i="3"/>
  <c r="F2021" i="3" s="1"/>
  <c r="H2021" i="3" s="1"/>
  <c r="G2021" i="3"/>
  <c r="I2021" i="3"/>
  <c r="C2022" i="3"/>
  <c r="D2022" i="3" s="1"/>
  <c r="E2022" i="3" s="1"/>
  <c r="F2022" i="3" s="1"/>
  <c r="H2022" i="3" s="1"/>
  <c r="G2022" i="3"/>
  <c r="I2022" i="3"/>
  <c r="C2023" i="3"/>
  <c r="D2023" i="3"/>
  <c r="E2023" i="3" s="1"/>
  <c r="F2023" i="3" s="1"/>
  <c r="H2023" i="3" s="1"/>
  <c r="G2023" i="3"/>
  <c r="I2023" i="3"/>
  <c r="C2024" i="3"/>
  <c r="D2024" i="3" s="1"/>
  <c r="E2024" i="3" s="1"/>
  <c r="F2024" i="3" s="1"/>
  <c r="H2024" i="3" s="1"/>
  <c r="G2024" i="3"/>
  <c r="I2024" i="3"/>
  <c r="C2025" i="3"/>
  <c r="D2025" i="3"/>
  <c r="E2025" i="3" s="1"/>
  <c r="F2025" i="3" s="1"/>
  <c r="H2025" i="3" s="1"/>
  <c r="G2025" i="3"/>
  <c r="I2025" i="3"/>
  <c r="C2026" i="3"/>
  <c r="D2026" i="3" s="1"/>
  <c r="E2026" i="3" s="1"/>
  <c r="F2026" i="3" s="1"/>
  <c r="H2026" i="3" s="1"/>
  <c r="G2026" i="3"/>
  <c r="I2026" i="3"/>
  <c r="C2027" i="3"/>
  <c r="D2027" i="3"/>
  <c r="E2027" i="3" s="1"/>
  <c r="F2027" i="3" s="1"/>
  <c r="H2027" i="3" s="1"/>
  <c r="G2027" i="3"/>
  <c r="I2027" i="3"/>
  <c r="C2028" i="3"/>
  <c r="D2028" i="3" s="1"/>
  <c r="E2028" i="3" s="1"/>
  <c r="F2028" i="3" s="1"/>
  <c r="H2028" i="3" s="1"/>
  <c r="G2028" i="3"/>
  <c r="I2028" i="3"/>
  <c r="C2029" i="3"/>
  <c r="D2029" i="3"/>
  <c r="E2029" i="3" s="1"/>
  <c r="F2029" i="3" s="1"/>
  <c r="H2029" i="3" s="1"/>
  <c r="G2029" i="3"/>
  <c r="I2029" i="3"/>
  <c r="C2030" i="3"/>
  <c r="D2030" i="3" s="1"/>
  <c r="E2030" i="3" s="1"/>
  <c r="F2030" i="3"/>
  <c r="H2030" i="3" s="1"/>
  <c r="G2030" i="3"/>
  <c r="I2030" i="3"/>
  <c r="C2031" i="3"/>
  <c r="D2031" i="3"/>
  <c r="E2031" i="3" s="1"/>
  <c r="F2031" i="3" s="1"/>
  <c r="H2031" i="3" s="1"/>
  <c r="G2031" i="3"/>
  <c r="I2031" i="3"/>
  <c r="C2032" i="3"/>
  <c r="D2032" i="3"/>
  <c r="E2032" i="3" s="1"/>
  <c r="F2032" i="3" s="1"/>
  <c r="H2032" i="3" s="1"/>
  <c r="G2032" i="3"/>
  <c r="I2032" i="3"/>
  <c r="C2033" i="3"/>
  <c r="D2033" i="3"/>
  <c r="E2033" i="3" s="1"/>
  <c r="F2033" i="3" s="1"/>
  <c r="H2033" i="3" s="1"/>
  <c r="G2033" i="3"/>
  <c r="I2033" i="3"/>
  <c r="C2034" i="3"/>
  <c r="D2034" i="3" s="1"/>
  <c r="E2034" i="3" s="1"/>
  <c r="F2034" i="3" s="1"/>
  <c r="H2034" i="3" s="1"/>
  <c r="G2034" i="3"/>
  <c r="I2034" i="3"/>
  <c r="C2035" i="3"/>
  <c r="D2035" i="3"/>
  <c r="E2035" i="3" s="1"/>
  <c r="F2035" i="3" s="1"/>
  <c r="G2035" i="3"/>
  <c r="I2035" i="3"/>
  <c r="C2036" i="3"/>
  <c r="D2036" i="3" s="1"/>
  <c r="E2036" i="3" s="1"/>
  <c r="F2036" i="3" s="1"/>
  <c r="H2036" i="3" s="1"/>
  <c r="G2036" i="3"/>
  <c r="I2036" i="3"/>
  <c r="C2037" i="3"/>
  <c r="D2037" i="3"/>
  <c r="E2037" i="3"/>
  <c r="F2037" i="3" s="1"/>
  <c r="H2037" i="3" s="1"/>
  <c r="G2037" i="3"/>
  <c r="I2037" i="3"/>
  <c r="C2038" i="3"/>
  <c r="D2038" i="3" s="1"/>
  <c r="E2038" i="3" s="1"/>
  <c r="F2038" i="3" s="1"/>
  <c r="H2038" i="3" s="1"/>
  <c r="G2038" i="3"/>
  <c r="I2038" i="3"/>
  <c r="C2039" i="3"/>
  <c r="D2039" i="3"/>
  <c r="E2039" i="3" s="1"/>
  <c r="F2039" i="3" s="1"/>
  <c r="H2039" i="3" s="1"/>
  <c r="G2039" i="3"/>
  <c r="I2039" i="3"/>
  <c r="C2040" i="3"/>
  <c r="D2040" i="3" s="1"/>
  <c r="E2040" i="3" s="1"/>
  <c r="F2040" i="3" s="1"/>
  <c r="H2040" i="3" s="1"/>
  <c r="G2040" i="3"/>
  <c r="I2040" i="3"/>
  <c r="C2041" i="3"/>
  <c r="D2041" i="3"/>
  <c r="E2041" i="3" s="1"/>
  <c r="F2041" i="3" s="1"/>
  <c r="H2041" i="3" s="1"/>
  <c r="G2041" i="3"/>
  <c r="I2041" i="3"/>
  <c r="C2042" i="3"/>
  <c r="D2042" i="3" s="1"/>
  <c r="E2042" i="3" s="1"/>
  <c r="F2042" i="3" s="1"/>
  <c r="H2042" i="3" s="1"/>
  <c r="G2042" i="3"/>
  <c r="I2042" i="3"/>
  <c r="C2043" i="3"/>
  <c r="D2043" i="3"/>
  <c r="E2043" i="3" s="1"/>
  <c r="F2043" i="3" s="1"/>
  <c r="H2043" i="3" s="1"/>
  <c r="G2043" i="3"/>
  <c r="I2043" i="3"/>
  <c r="C2044" i="3"/>
  <c r="D2044" i="3" s="1"/>
  <c r="E2044" i="3" s="1"/>
  <c r="F2044" i="3" s="1"/>
  <c r="H2044" i="3" s="1"/>
  <c r="G2044" i="3"/>
  <c r="I2044" i="3"/>
  <c r="C2045" i="3"/>
  <c r="D2045" i="3"/>
  <c r="E2045" i="3" s="1"/>
  <c r="F2045" i="3" s="1"/>
  <c r="H2045" i="3" s="1"/>
  <c r="G2045" i="3"/>
  <c r="I2045" i="3"/>
  <c r="C2046" i="3"/>
  <c r="D2046" i="3" s="1"/>
  <c r="E2046" i="3" s="1"/>
  <c r="F2046" i="3"/>
  <c r="H2046" i="3" s="1"/>
  <c r="G2046" i="3"/>
  <c r="I2046" i="3"/>
  <c r="C2047" i="3"/>
  <c r="D2047" i="3"/>
  <c r="E2047" i="3" s="1"/>
  <c r="F2047" i="3" s="1"/>
  <c r="H2047" i="3" s="1"/>
  <c r="G2047" i="3"/>
  <c r="I2047" i="3"/>
  <c r="C2048" i="3"/>
  <c r="D2048" i="3"/>
  <c r="E2048" i="3" s="1"/>
  <c r="F2048" i="3" s="1"/>
  <c r="H2048" i="3" s="1"/>
  <c r="G2048" i="3"/>
  <c r="I2048" i="3"/>
  <c r="C2049" i="3"/>
  <c r="D2049" i="3"/>
  <c r="E2049" i="3" s="1"/>
  <c r="F2049" i="3" s="1"/>
  <c r="H2049" i="3" s="1"/>
  <c r="G2049" i="3"/>
  <c r="I2049" i="3"/>
  <c r="C2050" i="3"/>
  <c r="D2050" i="3" s="1"/>
  <c r="E2050" i="3" s="1"/>
  <c r="F2050" i="3" s="1"/>
  <c r="H2050" i="3" s="1"/>
  <c r="G2050" i="3"/>
  <c r="I2050" i="3"/>
  <c r="C2051" i="3"/>
  <c r="D2051" i="3"/>
  <c r="E2051" i="3" s="1"/>
  <c r="F2051" i="3" s="1"/>
  <c r="G2051" i="3"/>
  <c r="I2051" i="3"/>
  <c r="C2052" i="3"/>
  <c r="D2052" i="3" s="1"/>
  <c r="E2052" i="3" s="1"/>
  <c r="F2052" i="3" s="1"/>
  <c r="H2052" i="3" s="1"/>
  <c r="G2052" i="3"/>
  <c r="I2052" i="3"/>
  <c r="C2053" i="3"/>
  <c r="D2053" i="3"/>
  <c r="E2053" i="3"/>
  <c r="F2053" i="3" s="1"/>
  <c r="H2053" i="3" s="1"/>
  <c r="G2053" i="3"/>
  <c r="I2053" i="3"/>
  <c r="C2054" i="3"/>
  <c r="D2054" i="3" s="1"/>
  <c r="E2054" i="3" s="1"/>
  <c r="F2054" i="3" s="1"/>
  <c r="H2054" i="3" s="1"/>
  <c r="G2054" i="3"/>
  <c r="I2054" i="3"/>
  <c r="C2055" i="3"/>
  <c r="D2055" i="3"/>
  <c r="E2055" i="3" s="1"/>
  <c r="F2055" i="3" s="1"/>
  <c r="H2055" i="3" s="1"/>
  <c r="G2055" i="3"/>
  <c r="I2055" i="3"/>
  <c r="C2056" i="3"/>
  <c r="D2056" i="3" s="1"/>
  <c r="E2056" i="3" s="1"/>
  <c r="F2056" i="3" s="1"/>
  <c r="H2056" i="3" s="1"/>
  <c r="G2056" i="3"/>
  <c r="I2056" i="3"/>
  <c r="C2057" i="3"/>
  <c r="D2057" i="3"/>
  <c r="E2057" i="3" s="1"/>
  <c r="F2057" i="3" s="1"/>
  <c r="H2057" i="3" s="1"/>
  <c r="G2057" i="3"/>
  <c r="I2057" i="3"/>
  <c r="C2058" i="3"/>
  <c r="D2058" i="3" s="1"/>
  <c r="E2058" i="3" s="1"/>
  <c r="F2058" i="3" s="1"/>
  <c r="H2058" i="3" s="1"/>
  <c r="G2058" i="3"/>
  <c r="I2058" i="3"/>
  <c r="C2059" i="3"/>
  <c r="D2059" i="3"/>
  <c r="E2059" i="3" s="1"/>
  <c r="F2059" i="3" s="1"/>
  <c r="H2059" i="3" s="1"/>
  <c r="G2059" i="3"/>
  <c r="I2059" i="3"/>
  <c r="C2060" i="3"/>
  <c r="D2060" i="3" s="1"/>
  <c r="E2060" i="3" s="1"/>
  <c r="F2060" i="3" s="1"/>
  <c r="H2060" i="3" s="1"/>
  <c r="G2060" i="3"/>
  <c r="I2060" i="3"/>
  <c r="C2061" i="3"/>
  <c r="D2061" i="3"/>
  <c r="E2061" i="3" s="1"/>
  <c r="F2061" i="3" s="1"/>
  <c r="H2061" i="3" s="1"/>
  <c r="G2061" i="3"/>
  <c r="I2061" i="3"/>
  <c r="C2062" i="3"/>
  <c r="D2062" i="3" s="1"/>
  <c r="E2062" i="3" s="1"/>
  <c r="F2062" i="3"/>
  <c r="H2062" i="3" s="1"/>
  <c r="G2062" i="3"/>
  <c r="I2062" i="3"/>
  <c r="C2063" i="3"/>
  <c r="D2063" i="3"/>
  <c r="E2063" i="3" s="1"/>
  <c r="F2063" i="3" s="1"/>
  <c r="H2063" i="3" s="1"/>
  <c r="G2063" i="3"/>
  <c r="I2063" i="3"/>
  <c r="C2064" i="3"/>
  <c r="D2064" i="3"/>
  <c r="E2064" i="3" s="1"/>
  <c r="F2064" i="3" s="1"/>
  <c r="H2064" i="3" s="1"/>
  <c r="G2064" i="3"/>
  <c r="I2064" i="3"/>
  <c r="C2065" i="3"/>
  <c r="D2065" i="3"/>
  <c r="E2065" i="3" s="1"/>
  <c r="F2065" i="3" s="1"/>
  <c r="H2065" i="3" s="1"/>
  <c r="G2065" i="3"/>
  <c r="I2065" i="3"/>
  <c r="C2066" i="3"/>
  <c r="D2066" i="3" s="1"/>
  <c r="E2066" i="3" s="1"/>
  <c r="F2066" i="3" s="1"/>
  <c r="H2066" i="3" s="1"/>
  <c r="G2066" i="3"/>
  <c r="I2066" i="3"/>
  <c r="C2067" i="3"/>
  <c r="D2067" i="3"/>
  <c r="E2067" i="3" s="1"/>
  <c r="F2067" i="3" s="1"/>
  <c r="G2067" i="3"/>
  <c r="I2067" i="3"/>
  <c r="C2068" i="3"/>
  <c r="D2068" i="3" s="1"/>
  <c r="E2068" i="3" s="1"/>
  <c r="F2068" i="3" s="1"/>
  <c r="H2068" i="3" s="1"/>
  <c r="G2068" i="3"/>
  <c r="I2068" i="3"/>
  <c r="C2069" i="3"/>
  <c r="D2069" i="3"/>
  <c r="E2069" i="3" s="1"/>
  <c r="F2069" i="3" s="1"/>
  <c r="H2069" i="3" s="1"/>
  <c r="G2069" i="3"/>
  <c r="I2069" i="3"/>
  <c r="C2070" i="3"/>
  <c r="D2070" i="3" s="1"/>
  <c r="E2070" i="3" s="1"/>
  <c r="F2070" i="3" s="1"/>
  <c r="H2070" i="3" s="1"/>
  <c r="G2070" i="3"/>
  <c r="I2070" i="3"/>
  <c r="C2071" i="3"/>
  <c r="D2071" i="3"/>
  <c r="E2071" i="3" s="1"/>
  <c r="F2071" i="3"/>
  <c r="H2071" i="3" s="1"/>
  <c r="G2071" i="3"/>
  <c r="I2071" i="3"/>
  <c r="C2072" i="3"/>
  <c r="D2072" i="3"/>
  <c r="E2072" i="3" s="1"/>
  <c r="F2072" i="3" s="1"/>
  <c r="H2072" i="3" s="1"/>
  <c r="G2072" i="3"/>
  <c r="I2072" i="3"/>
  <c r="C2073" i="3"/>
  <c r="D2073" i="3"/>
  <c r="E2073" i="3" s="1"/>
  <c r="F2073" i="3" s="1"/>
  <c r="H2073" i="3" s="1"/>
  <c r="G2073" i="3"/>
  <c r="I2073" i="3"/>
  <c r="C2074" i="3"/>
  <c r="D2074" i="3" s="1"/>
  <c r="E2074" i="3" s="1"/>
  <c r="F2074" i="3"/>
  <c r="H2074" i="3" s="1"/>
  <c r="G2074" i="3"/>
  <c r="I2074" i="3"/>
  <c r="C2075" i="3"/>
  <c r="D2075" i="3"/>
  <c r="E2075" i="3" s="1"/>
  <c r="F2075" i="3" s="1"/>
  <c r="H2075" i="3" s="1"/>
  <c r="G2075" i="3"/>
  <c r="I2075" i="3"/>
  <c r="C2076" i="3"/>
  <c r="D2076" i="3" s="1"/>
  <c r="E2076" i="3" s="1"/>
  <c r="F2076" i="3" s="1"/>
  <c r="H2076" i="3" s="1"/>
  <c r="G2076" i="3"/>
  <c r="I2076" i="3"/>
  <c r="C2077" i="3"/>
  <c r="D2077" i="3"/>
  <c r="E2077" i="3" s="1"/>
  <c r="F2077" i="3" s="1"/>
  <c r="H2077" i="3" s="1"/>
  <c r="G2077" i="3"/>
  <c r="I2077" i="3"/>
  <c r="C2078" i="3"/>
  <c r="D2078" i="3" s="1"/>
  <c r="E2078" i="3" s="1"/>
  <c r="F2078" i="3" s="1"/>
  <c r="H2078" i="3" s="1"/>
  <c r="G2078" i="3"/>
  <c r="I2078" i="3"/>
  <c r="C2079" i="3"/>
  <c r="D2079" i="3"/>
  <c r="E2079" i="3" s="1"/>
  <c r="F2079" i="3" s="1"/>
  <c r="H2079" i="3" s="1"/>
  <c r="G2079" i="3"/>
  <c r="I2079" i="3"/>
  <c r="C2080" i="3"/>
  <c r="D2080" i="3" s="1"/>
  <c r="E2080" i="3" s="1"/>
  <c r="F2080" i="3" s="1"/>
  <c r="H2080" i="3" s="1"/>
  <c r="G2080" i="3"/>
  <c r="I2080" i="3"/>
  <c r="C2081" i="3"/>
  <c r="D2081" i="3"/>
  <c r="E2081" i="3"/>
  <c r="F2081" i="3" s="1"/>
  <c r="H2081" i="3" s="1"/>
  <c r="G2081" i="3"/>
  <c r="I2081" i="3"/>
  <c r="C2082" i="3"/>
  <c r="D2082" i="3" s="1"/>
  <c r="E2082" i="3" s="1"/>
  <c r="F2082" i="3" s="1"/>
  <c r="H2082" i="3" s="1"/>
  <c r="G2082" i="3"/>
  <c r="I2082" i="3"/>
  <c r="C2083" i="3"/>
  <c r="D2083" i="3"/>
  <c r="E2083" i="3" s="1"/>
  <c r="F2083" i="3" s="1"/>
  <c r="H2083" i="3" s="1"/>
  <c r="G2083" i="3"/>
  <c r="I2083" i="3"/>
  <c r="C2084" i="3"/>
  <c r="D2084" i="3" s="1"/>
  <c r="E2084" i="3" s="1"/>
  <c r="F2084" i="3" s="1"/>
  <c r="H2084" i="3" s="1"/>
  <c r="G2084" i="3"/>
  <c r="I2084" i="3"/>
  <c r="C2085" i="3"/>
  <c r="D2085" i="3"/>
  <c r="E2085" i="3" s="1"/>
  <c r="F2085" i="3" s="1"/>
  <c r="H2085" i="3" s="1"/>
  <c r="G2085" i="3"/>
  <c r="I2085" i="3"/>
  <c r="C2086" i="3"/>
  <c r="D2086" i="3" s="1"/>
  <c r="E2086" i="3" s="1"/>
  <c r="F2086" i="3" s="1"/>
  <c r="H2086" i="3" s="1"/>
  <c r="G2086" i="3"/>
  <c r="I2086" i="3"/>
  <c r="C2087" i="3"/>
  <c r="D2087" i="3"/>
  <c r="E2087" i="3" s="1"/>
  <c r="F2087" i="3"/>
  <c r="H2087" i="3" s="1"/>
  <c r="G2087" i="3"/>
  <c r="I2087" i="3"/>
  <c r="C2088" i="3"/>
  <c r="D2088" i="3"/>
  <c r="E2088" i="3" s="1"/>
  <c r="F2088" i="3" s="1"/>
  <c r="H2088" i="3" s="1"/>
  <c r="G2088" i="3"/>
  <c r="I2088" i="3"/>
  <c r="C2089" i="3"/>
  <c r="D2089" i="3"/>
  <c r="E2089" i="3" s="1"/>
  <c r="F2089" i="3" s="1"/>
  <c r="H2089" i="3" s="1"/>
  <c r="G2089" i="3"/>
  <c r="I2089" i="3"/>
  <c r="C2090" i="3"/>
  <c r="D2090" i="3" s="1"/>
  <c r="E2090" i="3" s="1"/>
  <c r="F2090" i="3"/>
  <c r="H2090" i="3" s="1"/>
  <c r="G2090" i="3"/>
  <c r="I2090" i="3"/>
  <c r="C2091" i="3"/>
  <c r="D2091" i="3"/>
  <c r="E2091" i="3" s="1"/>
  <c r="F2091" i="3" s="1"/>
  <c r="H2091" i="3" s="1"/>
  <c r="G2091" i="3"/>
  <c r="I2091" i="3"/>
  <c r="C2092" i="3"/>
  <c r="D2092" i="3" s="1"/>
  <c r="E2092" i="3" s="1"/>
  <c r="F2092" i="3" s="1"/>
  <c r="H2092" i="3" s="1"/>
  <c r="G2092" i="3"/>
  <c r="I2092" i="3"/>
  <c r="C2093" i="3"/>
  <c r="D2093" i="3"/>
  <c r="E2093" i="3" s="1"/>
  <c r="F2093" i="3" s="1"/>
  <c r="H2093" i="3" s="1"/>
  <c r="G2093" i="3"/>
  <c r="I2093" i="3"/>
  <c r="C2094" i="3"/>
  <c r="D2094" i="3" s="1"/>
  <c r="E2094" i="3" s="1"/>
  <c r="F2094" i="3" s="1"/>
  <c r="H2094" i="3" s="1"/>
  <c r="G2094" i="3"/>
  <c r="I2094" i="3"/>
  <c r="C2095" i="3"/>
  <c r="D2095" i="3"/>
  <c r="E2095" i="3" s="1"/>
  <c r="F2095" i="3" s="1"/>
  <c r="H2095" i="3" s="1"/>
  <c r="G2095" i="3"/>
  <c r="I2095" i="3"/>
  <c r="C2096" i="3"/>
  <c r="D2096" i="3" s="1"/>
  <c r="E2096" i="3" s="1"/>
  <c r="F2096" i="3" s="1"/>
  <c r="H2096" i="3" s="1"/>
  <c r="G2096" i="3"/>
  <c r="I2096" i="3"/>
  <c r="C2097" i="3"/>
  <c r="D2097" i="3"/>
  <c r="E2097" i="3"/>
  <c r="F2097" i="3" s="1"/>
  <c r="H2097" i="3" s="1"/>
  <c r="G2097" i="3"/>
  <c r="I2097" i="3"/>
  <c r="C2098" i="3"/>
  <c r="D2098" i="3" s="1"/>
  <c r="E2098" i="3" s="1"/>
  <c r="F2098" i="3" s="1"/>
  <c r="H2098" i="3" s="1"/>
  <c r="G2098" i="3"/>
  <c r="I2098" i="3"/>
  <c r="C2099" i="3"/>
  <c r="D2099" i="3"/>
  <c r="E2099" i="3" s="1"/>
  <c r="F2099" i="3" s="1"/>
  <c r="H2099" i="3" s="1"/>
  <c r="G2099" i="3"/>
  <c r="I2099" i="3"/>
  <c r="C2100" i="3"/>
  <c r="D2100" i="3" s="1"/>
  <c r="E2100" i="3" s="1"/>
  <c r="F2100" i="3" s="1"/>
  <c r="H2100" i="3" s="1"/>
  <c r="G2100" i="3"/>
  <c r="I2100" i="3"/>
  <c r="C2101" i="3"/>
  <c r="D2101" i="3"/>
  <c r="E2101" i="3" s="1"/>
  <c r="F2101" i="3" s="1"/>
  <c r="H2101" i="3" s="1"/>
  <c r="G2101" i="3"/>
  <c r="I2101" i="3"/>
  <c r="C2102" i="3"/>
  <c r="D2102" i="3" s="1"/>
  <c r="E2102" i="3" s="1"/>
  <c r="F2102" i="3" s="1"/>
  <c r="H2102" i="3" s="1"/>
  <c r="G2102" i="3"/>
  <c r="I2102" i="3"/>
  <c r="C2103" i="3"/>
  <c r="D2103" i="3"/>
  <c r="E2103" i="3" s="1"/>
  <c r="F2103" i="3" s="1"/>
  <c r="H2103" i="3" s="1"/>
  <c r="G2103" i="3"/>
  <c r="I2103" i="3"/>
  <c r="C2104" i="3"/>
  <c r="D2104" i="3"/>
  <c r="E2104" i="3" s="1"/>
  <c r="F2104" i="3" s="1"/>
  <c r="H2104" i="3" s="1"/>
  <c r="G2104" i="3"/>
  <c r="I2104" i="3"/>
  <c r="C2105" i="3"/>
  <c r="D2105" i="3"/>
  <c r="E2105" i="3"/>
  <c r="F2105" i="3" s="1"/>
  <c r="H2105" i="3" s="1"/>
  <c r="G2105" i="3"/>
  <c r="I2105" i="3"/>
  <c r="C2106" i="3"/>
  <c r="D2106" i="3" s="1"/>
  <c r="E2106" i="3" s="1"/>
  <c r="F2106" i="3" s="1"/>
  <c r="H2106" i="3" s="1"/>
  <c r="G2106" i="3"/>
  <c r="I2106" i="3"/>
  <c r="C2107" i="3"/>
  <c r="D2107" i="3"/>
  <c r="E2107" i="3" s="1"/>
  <c r="F2107" i="3" s="1"/>
  <c r="H2107" i="3" s="1"/>
  <c r="G2107" i="3"/>
  <c r="I2107" i="3"/>
  <c r="C2108" i="3"/>
  <c r="D2108" i="3" s="1"/>
  <c r="E2108" i="3" s="1"/>
  <c r="F2108" i="3" s="1"/>
  <c r="H2108" i="3" s="1"/>
  <c r="G2108" i="3"/>
  <c r="I2108" i="3"/>
  <c r="C2109" i="3"/>
  <c r="D2109" i="3"/>
  <c r="E2109" i="3" s="1"/>
  <c r="F2109" i="3" s="1"/>
  <c r="H2109" i="3" s="1"/>
  <c r="G2109" i="3"/>
  <c r="I2109" i="3"/>
  <c r="C2110" i="3"/>
  <c r="D2110" i="3" s="1"/>
  <c r="E2110" i="3" s="1"/>
  <c r="F2110" i="3" s="1"/>
  <c r="H2110" i="3" s="1"/>
  <c r="G2110" i="3"/>
  <c r="I2110" i="3"/>
  <c r="C2111" i="3"/>
  <c r="D2111" i="3"/>
  <c r="E2111" i="3" s="1"/>
  <c r="F2111" i="3" s="1"/>
  <c r="H2111" i="3" s="1"/>
  <c r="G2111" i="3"/>
  <c r="I2111" i="3"/>
  <c r="C2112" i="3"/>
  <c r="D2112" i="3" s="1"/>
  <c r="E2112" i="3" s="1"/>
  <c r="F2112" i="3" s="1"/>
  <c r="H2112" i="3" s="1"/>
  <c r="G2112" i="3"/>
  <c r="I2112" i="3"/>
  <c r="C2113" i="3"/>
  <c r="D2113" i="3"/>
  <c r="E2113" i="3" s="1"/>
  <c r="F2113" i="3" s="1"/>
  <c r="H2113" i="3" s="1"/>
  <c r="G2113" i="3"/>
  <c r="I2113" i="3"/>
  <c r="C2114" i="3"/>
  <c r="D2114" i="3" s="1"/>
  <c r="E2114" i="3" s="1"/>
  <c r="F2114" i="3" s="1"/>
  <c r="H2114" i="3" s="1"/>
  <c r="G2114" i="3"/>
  <c r="I2114" i="3"/>
  <c r="C2115" i="3"/>
  <c r="D2115" i="3"/>
  <c r="E2115" i="3" s="1"/>
  <c r="F2115" i="3" s="1"/>
  <c r="H2115" i="3" s="1"/>
  <c r="G2115" i="3"/>
  <c r="I2115" i="3"/>
  <c r="C2116" i="3"/>
  <c r="D2116" i="3" s="1"/>
  <c r="E2116" i="3" s="1"/>
  <c r="F2116" i="3" s="1"/>
  <c r="H2116" i="3" s="1"/>
  <c r="G2116" i="3"/>
  <c r="I2116" i="3"/>
  <c r="C2117" i="3"/>
  <c r="D2117" i="3"/>
  <c r="E2117" i="3" s="1"/>
  <c r="F2117" i="3" s="1"/>
  <c r="H2117" i="3" s="1"/>
  <c r="G2117" i="3"/>
  <c r="I2117" i="3"/>
  <c r="C2118" i="3"/>
  <c r="D2118" i="3" s="1"/>
  <c r="E2118" i="3" s="1"/>
  <c r="F2118" i="3" s="1"/>
  <c r="H2118" i="3" s="1"/>
  <c r="G2118" i="3"/>
  <c r="I2118" i="3"/>
  <c r="C2119" i="3"/>
  <c r="D2119" i="3"/>
  <c r="E2119" i="3" s="1"/>
  <c r="F2119" i="3" s="1"/>
  <c r="H2119" i="3" s="1"/>
  <c r="G2119" i="3"/>
  <c r="I2119" i="3"/>
  <c r="C2120" i="3"/>
  <c r="D2120" i="3" s="1"/>
  <c r="E2120" i="3" s="1"/>
  <c r="F2120" i="3" s="1"/>
  <c r="H2120" i="3" s="1"/>
  <c r="G2120" i="3"/>
  <c r="I2120" i="3"/>
  <c r="C2121" i="3"/>
  <c r="D2121" i="3"/>
  <c r="E2121" i="3" s="1"/>
  <c r="F2121" i="3" s="1"/>
  <c r="H2121" i="3" s="1"/>
  <c r="G2121" i="3"/>
  <c r="I2121" i="3"/>
  <c r="C2122" i="3"/>
  <c r="D2122" i="3" s="1"/>
  <c r="E2122" i="3" s="1"/>
  <c r="F2122" i="3" s="1"/>
  <c r="H2122" i="3" s="1"/>
  <c r="G2122" i="3"/>
  <c r="I2122" i="3"/>
  <c r="C2123" i="3"/>
  <c r="D2123" i="3"/>
  <c r="E2123" i="3" s="1"/>
  <c r="F2123" i="3" s="1"/>
  <c r="H2123" i="3" s="1"/>
  <c r="G2123" i="3"/>
  <c r="I2123" i="3"/>
  <c r="C2124" i="3"/>
  <c r="D2124" i="3" s="1"/>
  <c r="E2124" i="3" s="1"/>
  <c r="F2124" i="3" s="1"/>
  <c r="H2124" i="3" s="1"/>
  <c r="G2124" i="3"/>
  <c r="I2124" i="3"/>
  <c r="C2125" i="3"/>
  <c r="D2125" i="3"/>
  <c r="E2125" i="3" s="1"/>
  <c r="F2125" i="3" s="1"/>
  <c r="H2125" i="3" s="1"/>
  <c r="G2125" i="3"/>
  <c r="I2125" i="3"/>
  <c r="C2126" i="3"/>
  <c r="D2126" i="3" s="1"/>
  <c r="E2126" i="3" s="1"/>
  <c r="F2126" i="3" s="1"/>
  <c r="H2126" i="3" s="1"/>
  <c r="G2126" i="3"/>
  <c r="I2126" i="3"/>
  <c r="C2127" i="3"/>
  <c r="D2127" i="3"/>
  <c r="E2127" i="3" s="1"/>
  <c r="F2127" i="3" s="1"/>
  <c r="H2127" i="3" s="1"/>
  <c r="G2127" i="3"/>
  <c r="I2127" i="3"/>
  <c r="C2128" i="3"/>
  <c r="D2128" i="3" s="1"/>
  <c r="E2128" i="3" s="1"/>
  <c r="F2128" i="3" s="1"/>
  <c r="H2128" i="3" s="1"/>
  <c r="G2128" i="3"/>
  <c r="I2128" i="3"/>
  <c r="C2129" i="3"/>
  <c r="D2129" i="3"/>
  <c r="E2129" i="3" s="1"/>
  <c r="F2129" i="3" s="1"/>
  <c r="H2129" i="3" s="1"/>
  <c r="G2129" i="3"/>
  <c r="I2129" i="3"/>
  <c r="C2130" i="3"/>
  <c r="D2130" i="3" s="1"/>
  <c r="E2130" i="3" s="1"/>
  <c r="F2130" i="3" s="1"/>
  <c r="H2130" i="3" s="1"/>
  <c r="G2130" i="3"/>
  <c r="I2130" i="3"/>
  <c r="C2131" i="3"/>
  <c r="D2131" i="3"/>
  <c r="E2131" i="3" s="1"/>
  <c r="F2131" i="3" s="1"/>
  <c r="H2131" i="3" s="1"/>
  <c r="G2131" i="3"/>
  <c r="I2131" i="3"/>
  <c r="C2132" i="3"/>
  <c r="D2132" i="3" s="1"/>
  <c r="E2132" i="3" s="1"/>
  <c r="F2132" i="3" s="1"/>
  <c r="H2132" i="3" s="1"/>
  <c r="G2132" i="3"/>
  <c r="I2132" i="3"/>
  <c r="C2133" i="3"/>
  <c r="D2133" i="3"/>
  <c r="E2133" i="3" s="1"/>
  <c r="F2133" i="3" s="1"/>
  <c r="H2133" i="3" s="1"/>
  <c r="G2133" i="3"/>
  <c r="I2133" i="3"/>
  <c r="C2134" i="3"/>
  <c r="D2134" i="3" s="1"/>
  <c r="E2134" i="3" s="1"/>
  <c r="F2134" i="3" s="1"/>
  <c r="H2134" i="3" s="1"/>
  <c r="G2134" i="3"/>
  <c r="I2134" i="3"/>
  <c r="C2135" i="3"/>
  <c r="D2135" i="3"/>
  <c r="E2135" i="3" s="1"/>
  <c r="F2135" i="3" s="1"/>
  <c r="H2135" i="3" s="1"/>
  <c r="G2135" i="3"/>
  <c r="I2135" i="3"/>
  <c r="C2136" i="3"/>
  <c r="D2136" i="3" s="1"/>
  <c r="E2136" i="3" s="1"/>
  <c r="F2136" i="3" s="1"/>
  <c r="H2136" i="3" s="1"/>
  <c r="G2136" i="3"/>
  <c r="I2136" i="3"/>
  <c r="C2137" i="3"/>
  <c r="D2137" i="3"/>
  <c r="E2137" i="3" s="1"/>
  <c r="F2137" i="3" s="1"/>
  <c r="H2137" i="3" s="1"/>
  <c r="G2137" i="3"/>
  <c r="I2137" i="3"/>
  <c r="C2138" i="3"/>
  <c r="D2138" i="3" s="1"/>
  <c r="E2138" i="3" s="1"/>
  <c r="F2138" i="3" s="1"/>
  <c r="H2138" i="3" s="1"/>
  <c r="G2138" i="3"/>
  <c r="I2138" i="3"/>
  <c r="C2139" i="3"/>
  <c r="D2139" i="3"/>
  <c r="E2139" i="3" s="1"/>
  <c r="F2139" i="3" s="1"/>
  <c r="H2139" i="3" s="1"/>
  <c r="G2139" i="3"/>
  <c r="I2139" i="3"/>
  <c r="C2140" i="3"/>
  <c r="D2140" i="3" s="1"/>
  <c r="E2140" i="3" s="1"/>
  <c r="F2140" i="3" s="1"/>
  <c r="H2140" i="3" s="1"/>
  <c r="G2140" i="3"/>
  <c r="I2140" i="3"/>
  <c r="C2141" i="3"/>
  <c r="D2141" i="3"/>
  <c r="E2141" i="3" s="1"/>
  <c r="F2141" i="3" s="1"/>
  <c r="H2141" i="3" s="1"/>
  <c r="G2141" i="3"/>
  <c r="I2141" i="3"/>
  <c r="C2142" i="3"/>
  <c r="D2142" i="3" s="1"/>
  <c r="E2142" i="3" s="1"/>
  <c r="F2142" i="3" s="1"/>
  <c r="H2142" i="3" s="1"/>
  <c r="G2142" i="3"/>
  <c r="I2142" i="3"/>
  <c r="C2143" i="3"/>
  <c r="D2143" i="3"/>
  <c r="E2143" i="3" s="1"/>
  <c r="F2143" i="3" s="1"/>
  <c r="H2143" i="3" s="1"/>
  <c r="G2143" i="3"/>
  <c r="I2143" i="3"/>
  <c r="C2144" i="3"/>
  <c r="D2144" i="3" s="1"/>
  <c r="E2144" i="3" s="1"/>
  <c r="F2144" i="3" s="1"/>
  <c r="H2144" i="3" s="1"/>
  <c r="G2144" i="3"/>
  <c r="I2144" i="3"/>
  <c r="C2145" i="3"/>
  <c r="D2145" i="3"/>
  <c r="E2145" i="3" s="1"/>
  <c r="F2145" i="3" s="1"/>
  <c r="H2145" i="3" s="1"/>
  <c r="G2145" i="3"/>
  <c r="I2145" i="3"/>
  <c r="C2146" i="3"/>
  <c r="D2146" i="3" s="1"/>
  <c r="E2146" i="3" s="1"/>
  <c r="F2146" i="3" s="1"/>
  <c r="H2146" i="3" s="1"/>
  <c r="G2146" i="3"/>
  <c r="I2146" i="3"/>
  <c r="C2147" i="3"/>
  <c r="D2147" i="3"/>
  <c r="E2147" i="3" s="1"/>
  <c r="F2147" i="3" s="1"/>
  <c r="H2147" i="3" s="1"/>
  <c r="G2147" i="3"/>
  <c r="I2147" i="3"/>
  <c r="C2148" i="3"/>
  <c r="D2148" i="3" s="1"/>
  <c r="E2148" i="3" s="1"/>
  <c r="F2148" i="3" s="1"/>
  <c r="H2148" i="3" s="1"/>
  <c r="G2148" i="3"/>
  <c r="I2148" i="3"/>
  <c r="C2149" i="3"/>
  <c r="D2149" i="3"/>
  <c r="E2149" i="3" s="1"/>
  <c r="F2149" i="3" s="1"/>
  <c r="H2149" i="3" s="1"/>
  <c r="G2149" i="3"/>
  <c r="I2149" i="3"/>
  <c r="C2150" i="3"/>
  <c r="D2150" i="3" s="1"/>
  <c r="E2150" i="3" s="1"/>
  <c r="F2150" i="3" s="1"/>
  <c r="H2150" i="3" s="1"/>
  <c r="G2150" i="3"/>
  <c r="I2150" i="3"/>
  <c r="C2151" i="3"/>
  <c r="D2151" i="3"/>
  <c r="E2151" i="3" s="1"/>
  <c r="F2151" i="3" s="1"/>
  <c r="H2151" i="3" s="1"/>
  <c r="G2151" i="3"/>
  <c r="I2151" i="3"/>
  <c r="C2152" i="3"/>
  <c r="D2152" i="3" s="1"/>
  <c r="E2152" i="3" s="1"/>
  <c r="F2152" i="3" s="1"/>
  <c r="H2152" i="3" s="1"/>
  <c r="G2152" i="3"/>
  <c r="I2152" i="3"/>
  <c r="C2153" i="3"/>
  <c r="D2153" i="3"/>
  <c r="E2153" i="3" s="1"/>
  <c r="F2153" i="3" s="1"/>
  <c r="H2153" i="3" s="1"/>
  <c r="G2153" i="3"/>
  <c r="I2153" i="3"/>
  <c r="C2154" i="3"/>
  <c r="D2154" i="3" s="1"/>
  <c r="E2154" i="3" s="1"/>
  <c r="F2154" i="3" s="1"/>
  <c r="H2154" i="3" s="1"/>
  <c r="G2154" i="3"/>
  <c r="I2154" i="3"/>
  <c r="C2155" i="3"/>
  <c r="D2155" i="3"/>
  <c r="E2155" i="3" s="1"/>
  <c r="F2155" i="3" s="1"/>
  <c r="H2155" i="3" s="1"/>
  <c r="G2155" i="3"/>
  <c r="I2155" i="3"/>
  <c r="C2156" i="3"/>
  <c r="D2156" i="3" s="1"/>
  <c r="E2156" i="3" s="1"/>
  <c r="F2156" i="3" s="1"/>
  <c r="H2156" i="3" s="1"/>
  <c r="G2156" i="3"/>
  <c r="I2156" i="3"/>
  <c r="C2157" i="3"/>
  <c r="D2157" i="3"/>
  <c r="E2157" i="3" s="1"/>
  <c r="F2157" i="3" s="1"/>
  <c r="H2157" i="3" s="1"/>
  <c r="G2157" i="3"/>
  <c r="I2157" i="3"/>
  <c r="C2158" i="3"/>
  <c r="D2158" i="3" s="1"/>
  <c r="E2158" i="3" s="1"/>
  <c r="F2158" i="3" s="1"/>
  <c r="H2158" i="3" s="1"/>
  <c r="G2158" i="3"/>
  <c r="I2158" i="3"/>
  <c r="C2159" i="3"/>
  <c r="D2159" i="3"/>
  <c r="E2159" i="3" s="1"/>
  <c r="F2159" i="3" s="1"/>
  <c r="H2159" i="3" s="1"/>
  <c r="G2159" i="3"/>
  <c r="I2159" i="3"/>
  <c r="C2160" i="3"/>
  <c r="D2160" i="3" s="1"/>
  <c r="E2160" i="3" s="1"/>
  <c r="F2160" i="3" s="1"/>
  <c r="H2160" i="3" s="1"/>
  <c r="G2160" i="3"/>
  <c r="I2160" i="3"/>
  <c r="C2161" i="3"/>
  <c r="D2161" i="3"/>
  <c r="E2161" i="3" s="1"/>
  <c r="F2161" i="3" s="1"/>
  <c r="H2161" i="3" s="1"/>
  <c r="G2161" i="3"/>
  <c r="I2161" i="3"/>
  <c r="C2162" i="3"/>
  <c r="D2162" i="3" s="1"/>
  <c r="E2162" i="3" s="1"/>
  <c r="F2162" i="3" s="1"/>
  <c r="H2162" i="3" s="1"/>
  <c r="G2162" i="3"/>
  <c r="I2162" i="3"/>
  <c r="C2163" i="3"/>
  <c r="D2163" i="3"/>
  <c r="E2163" i="3" s="1"/>
  <c r="F2163" i="3" s="1"/>
  <c r="H2163" i="3" s="1"/>
  <c r="G2163" i="3"/>
  <c r="I2163" i="3"/>
  <c r="C2164" i="3"/>
  <c r="D2164" i="3" s="1"/>
  <c r="E2164" i="3" s="1"/>
  <c r="F2164" i="3" s="1"/>
  <c r="H2164" i="3" s="1"/>
  <c r="G2164" i="3"/>
  <c r="I2164" i="3"/>
  <c r="C2165" i="3"/>
  <c r="D2165" i="3"/>
  <c r="E2165" i="3" s="1"/>
  <c r="F2165" i="3" s="1"/>
  <c r="H2165" i="3" s="1"/>
  <c r="G2165" i="3"/>
  <c r="I2165" i="3"/>
  <c r="C2166" i="3"/>
  <c r="D2166" i="3" s="1"/>
  <c r="E2166" i="3" s="1"/>
  <c r="F2166" i="3" s="1"/>
  <c r="H2166" i="3" s="1"/>
  <c r="G2166" i="3"/>
  <c r="I2166" i="3"/>
  <c r="C2167" i="3"/>
  <c r="D2167" i="3"/>
  <c r="E2167" i="3" s="1"/>
  <c r="F2167" i="3" s="1"/>
  <c r="H2167" i="3" s="1"/>
  <c r="G2167" i="3"/>
  <c r="I2167" i="3"/>
  <c r="C2168" i="3"/>
  <c r="D2168" i="3" s="1"/>
  <c r="E2168" i="3" s="1"/>
  <c r="F2168" i="3" s="1"/>
  <c r="H2168" i="3" s="1"/>
  <c r="G2168" i="3"/>
  <c r="I2168" i="3"/>
  <c r="C2169" i="3"/>
  <c r="D2169" i="3"/>
  <c r="E2169" i="3" s="1"/>
  <c r="F2169" i="3" s="1"/>
  <c r="H2169" i="3" s="1"/>
  <c r="G2169" i="3"/>
  <c r="I2169" i="3"/>
  <c r="C2170" i="3"/>
  <c r="D2170" i="3" s="1"/>
  <c r="E2170" i="3" s="1"/>
  <c r="F2170" i="3" s="1"/>
  <c r="H2170" i="3" s="1"/>
  <c r="G2170" i="3"/>
  <c r="I2170" i="3"/>
  <c r="C2171" i="3"/>
  <c r="D2171" i="3"/>
  <c r="E2171" i="3" s="1"/>
  <c r="F2171" i="3" s="1"/>
  <c r="H2171" i="3" s="1"/>
  <c r="G2171" i="3"/>
  <c r="I2171" i="3"/>
  <c r="C2172" i="3"/>
  <c r="D2172" i="3" s="1"/>
  <c r="E2172" i="3" s="1"/>
  <c r="F2172" i="3" s="1"/>
  <c r="H2172" i="3" s="1"/>
  <c r="G2172" i="3"/>
  <c r="I2172" i="3"/>
  <c r="C2173" i="3"/>
  <c r="D2173" i="3"/>
  <c r="E2173" i="3" s="1"/>
  <c r="F2173" i="3" s="1"/>
  <c r="H2173" i="3" s="1"/>
  <c r="G2173" i="3"/>
  <c r="I2173" i="3"/>
  <c r="C2174" i="3"/>
  <c r="D2174" i="3" s="1"/>
  <c r="E2174" i="3" s="1"/>
  <c r="F2174" i="3" s="1"/>
  <c r="H2174" i="3" s="1"/>
  <c r="G2174" i="3"/>
  <c r="I2174" i="3"/>
  <c r="C2175" i="3"/>
  <c r="D2175" i="3"/>
  <c r="E2175" i="3" s="1"/>
  <c r="F2175" i="3" s="1"/>
  <c r="H2175" i="3" s="1"/>
  <c r="G2175" i="3"/>
  <c r="I2175" i="3"/>
  <c r="C2176" i="3"/>
  <c r="D2176" i="3" s="1"/>
  <c r="E2176" i="3" s="1"/>
  <c r="F2176" i="3" s="1"/>
  <c r="H2176" i="3" s="1"/>
  <c r="G2176" i="3"/>
  <c r="I2176" i="3"/>
  <c r="C2177" i="3"/>
  <c r="D2177" i="3"/>
  <c r="E2177" i="3" s="1"/>
  <c r="F2177" i="3" s="1"/>
  <c r="H2177" i="3" s="1"/>
  <c r="G2177" i="3"/>
  <c r="I2177" i="3"/>
  <c r="C2178" i="3"/>
  <c r="D2178" i="3" s="1"/>
  <c r="E2178" i="3" s="1"/>
  <c r="F2178" i="3" s="1"/>
  <c r="H2178" i="3" s="1"/>
  <c r="G2178" i="3"/>
  <c r="I2178" i="3"/>
  <c r="C2179" i="3"/>
  <c r="D2179" i="3"/>
  <c r="E2179" i="3" s="1"/>
  <c r="F2179" i="3" s="1"/>
  <c r="H2179" i="3" s="1"/>
  <c r="G2179" i="3"/>
  <c r="I2179" i="3"/>
  <c r="C2180" i="3"/>
  <c r="D2180" i="3" s="1"/>
  <c r="E2180" i="3" s="1"/>
  <c r="F2180" i="3" s="1"/>
  <c r="H2180" i="3" s="1"/>
  <c r="G2180" i="3"/>
  <c r="I2180" i="3"/>
  <c r="C2181" i="3"/>
  <c r="D2181" i="3"/>
  <c r="E2181" i="3" s="1"/>
  <c r="F2181" i="3" s="1"/>
  <c r="H2181" i="3" s="1"/>
  <c r="G2181" i="3"/>
  <c r="I2181" i="3"/>
  <c r="C2182" i="3"/>
  <c r="D2182" i="3" s="1"/>
  <c r="E2182" i="3" s="1"/>
  <c r="F2182" i="3" s="1"/>
  <c r="H2182" i="3" s="1"/>
  <c r="G2182" i="3"/>
  <c r="I2182" i="3"/>
  <c r="C2183" i="3"/>
  <c r="D2183" i="3"/>
  <c r="E2183" i="3" s="1"/>
  <c r="F2183" i="3" s="1"/>
  <c r="H2183" i="3" s="1"/>
  <c r="G2183" i="3"/>
  <c r="I2183" i="3"/>
  <c r="C2184" i="3"/>
  <c r="D2184" i="3" s="1"/>
  <c r="E2184" i="3" s="1"/>
  <c r="F2184" i="3" s="1"/>
  <c r="H2184" i="3" s="1"/>
  <c r="G2184" i="3"/>
  <c r="I2184" i="3"/>
  <c r="C2185" i="3"/>
  <c r="D2185" i="3"/>
  <c r="E2185" i="3" s="1"/>
  <c r="F2185" i="3" s="1"/>
  <c r="H2185" i="3" s="1"/>
  <c r="G2185" i="3"/>
  <c r="I2185" i="3"/>
  <c r="C2186" i="3"/>
  <c r="D2186" i="3" s="1"/>
  <c r="E2186" i="3" s="1"/>
  <c r="F2186" i="3" s="1"/>
  <c r="H2186" i="3" s="1"/>
  <c r="G2186" i="3"/>
  <c r="I2186" i="3"/>
  <c r="C2187" i="3"/>
  <c r="D2187" i="3"/>
  <c r="E2187" i="3" s="1"/>
  <c r="F2187" i="3" s="1"/>
  <c r="H2187" i="3" s="1"/>
  <c r="G2187" i="3"/>
  <c r="I2187" i="3"/>
  <c r="C2188" i="3"/>
  <c r="D2188" i="3" s="1"/>
  <c r="E2188" i="3" s="1"/>
  <c r="F2188" i="3" s="1"/>
  <c r="H2188" i="3" s="1"/>
  <c r="G2188" i="3"/>
  <c r="I2188" i="3"/>
  <c r="C2189" i="3"/>
  <c r="D2189" i="3"/>
  <c r="E2189" i="3" s="1"/>
  <c r="F2189" i="3" s="1"/>
  <c r="H2189" i="3" s="1"/>
  <c r="G2189" i="3"/>
  <c r="I2189" i="3"/>
  <c r="C2190" i="3"/>
  <c r="D2190" i="3" s="1"/>
  <c r="E2190" i="3" s="1"/>
  <c r="F2190" i="3" s="1"/>
  <c r="H2190" i="3" s="1"/>
  <c r="G2190" i="3"/>
  <c r="I2190" i="3"/>
  <c r="C2191" i="3"/>
  <c r="D2191" i="3"/>
  <c r="E2191" i="3" s="1"/>
  <c r="F2191" i="3" s="1"/>
  <c r="H2191" i="3" s="1"/>
  <c r="G2191" i="3"/>
  <c r="I2191" i="3"/>
  <c r="C2192" i="3"/>
  <c r="D2192" i="3" s="1"/>
  <c r="E2192" i="3" s="1"/>
  <c r="F2192" i="3" s="1"/>
  <c r="H2192" i="3" s="1"/>
  <c r="G2192" i="3"/>
  <c r="I2192" i="3"/>
  <c r="C2193" i="3"/>
  <c r="D2193" i="3"/>
  <c r="E2193" i="3" s="1"/>
  <c r="F2193" i="3" s="1"/>
  <c r="H2193" i="3" s="1"/>
  <c r="G2193" i="3"/>
  <c r="I2193" i="3"/>
  <c r="C2194" i="3"/>
  <c r="D2194" i="3" s="1"/>
  <c r="E2194" i="3" s="1"/>
  <c r="F2194" i="3" s="1"/>
  <c r="H2194" i="3" s="1"/>
  <c r="G2194" i="3"/>
  <c r="I2194" i="3"/>
  <c r="C2195" i="3"/>
  <c r="D2195" i="3"/>
  <c r="E2195" i="3" s="1"/>
  <c r="F2195" i="3" s="1"/>
  <c r="H2195" i="3" s="1"/>
  <c r="G2195" i="3"/>
  <c r="I2195" i="3"/>
  <c r="C2196" i="3"/>
  <c r="D2196" i="3" s="1"/>
  <c r="E2196" i="3" s="1"/>
  <c r="F2196" i="3" s="1"/>
  <c r="H2196" i="3" s="1"/>
  <c r="G2196" i="3"/>
  <c r="I2196" i="3"/>
  <c r="C2197" i="3"/>
  <c r="D2197" i="3"/>
  <c r="E2197" i="3" s="1"/>
  <c r="F2197" i="3" s="1"/>
  <c r="H2197" i="3" s="1"/>
  <c r="G2197" i="3"/>
  <c r="I2197" i="3"/>
  <c r="C2198" i="3"/>
  <c r="D2198" i="3" s="1"/>
  <c r="E2198" i="3" s="1"/>
  <c r="F2198" i="3" s="1"/>
  <c r="H2198" i="3" s="1"/>
  <c r="G2198" i="3"/>
  <c r="I2198" i="3"/>
  <c r="C2199" i="3"/>
  <c r="D2199" i="3"/>
  <c r="E2199" i="3" s="1"/>
  <c r="F2199" i="3" s="1"/>
  <c r="H2199" i="3" s="1"/>
  <c r="G2199" i="3"/>
  <c r="I2199" i="3"/>
  <c r="C2200" i="3"/>
  <c r="D2200" i="3" s="1"/>
  <c r="E2200" i="3" s="1"/>
  <c r="F2200" i="3" s="1"/>
  <c r="H2200" i="3" s="1"/>
  <c r="G2200" i="3"/>
  <c r="I2200" i="3"/>
  <c r="C2201" i="3"/>
  <c r="D2201" i="3"/>
  <c r="E2201" i="3" s="1"/>
  <c r="F2201" i="3" s="1"/>
  <c r="H2201" i="3" s="1"/>
  <c r="G2201" i="3"/>
  <c r="I2201" i="3"/>
  <c r="C2202" i="3"/>
  <c r="D2202" i="3" s="1"/>
  <c r="E2202" i="3" s="1"/>
  <c r="F2202" i="3" s="1"/>
  <c r="H2202" i="3" s="1"/>
  <c r="G2202" i="3"/>
  <c r="I2202" i="3"/>
  <c r="C2203" i="3"/>
  <c r="D2203" i="3"/>
  <c r="E2203" i="3" s="1"/>
  <c r="F2203" i="3" s="1"/>
  <c r="H2203" i="3" s="1"/>
  <c r="G2203" i="3"/>
  <c r="I2203" i="3"/>
  <c r="C2204" i="3"/>
  <c r="D2204" i="3" s="1"/>
  <c r="E2204" i="3" s="1"/>
  <c r="F2204" i="3" s="1"/>
  <c r="H2204" i="3" s="1"/>
  <c r="G2204" i="3"/>
  <c r="I2204" i="3"/>
  <c r="C2205" i="3"/>
  <c r="D2205" i="3"/>
  <c r="E2205" i="3" s="1"/>
  <c r="F2205" i="3" s="1"/>
  <c r="H2205" i="3" s="1"/>
  <c r="G2205" i="3"/>
  <c r="I2205" i="3"/>
  <c r="C2206" i="3"/>
  <c r="D2206" i="3" s="1"/>
  <c r="E2206" i="3" s="1"/>
  <c r="F2206" i="3" s="1"/>
  <c r="H2206" i="3" s="1"/>
  <c r="G2206" i="3"/>
  <c r="I2206" i="3"/>
  <c r="C2207" i="3"/>
  <c r="D2207" i="3"/>
  <c r="E2207" i="3" s="1"/>
  <c r="F2207" i="3" s="1"/>
  <c r="H2207" i="3" s="1"/>
  <c r="G2207" i="3"/>
  <c r="I2207" i="3"/>
  <c r="C2208" i="3"/>
  <c r="D2208" i="3" s="1"/>
  <c r="E2208" i="3" s="1"/>
  <c r="F2208" i="3" s="1"/>
  <c r="H2208" i="3" s="1"/>
  <c r="G2208" i="3"/>
  <c r="I2208" i="3"/>
  <c r="C2209" i="3"/>
  <c r="D2209" i="3"/>
  <c r="E2209" i="3" s="1"/>
  <c r="F2209" i="3" s="1"/>
  <c r="H2209" i="3" s="1"/>
  <c r="G2209" i="3"/>
  <c r="I2209" i="3"/>
  <c r="C2210" i="3"/>
  <c r="D2210" i="3" s="1"/>
  <c r="E2210" i="3" s="1"/>
  <c r="F2210" i="3" s="1"/>
  <c r="H2210" i="3" s="1"/>
  <c r="G2210" i="3"/>
  <c r="I2210" i="3"/>
  <c r="C2211" i="3"/>
  <c r="D2211" i="3"/>
  <c r="E2211" i="3" s="1"/>
  <c r="F2211" i="3" s="1"/>
  <c r="H2211" i="3" s="1"/>
  <c r="G2211" i="3"/>
  <c r="I2211" i="3"/>
  <c r="C2212" i="3"/>
  <c r="D2212" i="3" s="1"/>
  <c r="E2212" i="3" s="1"/>
  <c r="F2212" i="3" s="1"/>
  <c r="H2212" i="3" s="1"/>
  <c r="G2212" i="3"/>
  <c r="I2212" i="3"/>
  <c r="C2213" i="3"/>
  <c r="D2213" i="3"/>
  <c r="E2213" i="3" s="1"/>
  <c r="F2213" i="3" s="1"/>
  <c r="H2213" i="3" s="1"/>
  <c r="G2213" i="3"/>
  <c r="I2213" i="3"/>
  <c r="C2214" i="3"/>
  <c r="D2214" i="3" s="1"/>
  <c r="E2214" i="3" s="1"/>
  <c r="F2214" i="3" s="1"/>
  <c r="H2214" i="3" s="1"/>
  <c r="G2214" i="3"/>
  <c r="I2214" i="3"/>
  <c r="C2215" i="3"/>
  <c r="D2215" i="3"/>
  <c r="E2215" i="3" s="1"/>
  <c r="F2215" i="3" s="1"/>
  <c r="H2215" i="3" s="1"/>
  <c r="G2215" i="3"/>
  <c r="I2215" i="3"/>
  <c r="C2216" i="3"/>
  <c r="D2216" i="3"/>
  <c r="E2216" i="3" s="1"/>
  <c r="F2216" i="3" s="1"/>
  <c r="H2216" i="3" s="1"/>
  <c r="G2216" i="3"/>
  <c r="I2216" i="3"/>
  <c r="C2217" i="3"/>
  <c r="D2217" i="3" s="1"/>
  <c r="E2217" i="3" s="1"/>
  <c r="F2217" i="3" s="1"/>
  <c r="H2217" i="3" s="1"/>
  <c r="G2217" i="3"/>
  <c r="I2217" i="3"/>
  <c r="C2218" i="3"/>
  <c r="D2218" i="3"/>
  <c r="E2218" i="3" s="1"/>
  <c r="F2218" i="3" s="1"/>
  <c r="H2218" i="3" s="1"/>
  <c r="G2218" i="3"/>
  <c r="I2218" i="3"/>
  <c r="C2219" i="3"/>
  <c r="D2219" i="3" s="1"/>
  <c r="E2219" i="3" s="1"/>
  <c r="F2219" i="3" s="1"/>
  <c r="H2219" i="3" s="1"/>
  <c r="G2219" i="3"/>
  <c r="I2219" i="3"/>
  <c r="C2220" i="3"/>
  <c r="D2220" i="3"/>
  <c r="E2220" i="3" s="1"/>
  <c r="F2220" i="3" s="1"/>
  <c r="H2220" i="3" s="1"/>
  <c r="G2220" i="3"/>
  <c r="I2220" i="3"/>
  <c r="C2221" i="3"/>
  <c r="D2221" i="3" s="1"/>
  <c r="E2221" i="3" s="1"/>
  <c r="F2221" i="3" s="1"/>
  <c r="H2221" i="3" s="1"/>
  <c r="G2221" i="3"/>
  <c r="I2221" i="3"/>
  <c r="C2222" i="3"/>
  <c r="D2222" i="3" s="1"/>
  <c r="E2222" i="3" s="1"/>
  <c r="F2222" i="3" s="1"/>
  <c r="H2222" i="3" s="1"/>
  <c r="G2222" i="3"/>
  <c r="I2222" i="3"/>
  <c r="C2223" i="3"/>
  <c r="D2223" i="3" s="1"/>
  <c r="E2223" i="3" s="1"/>
  <c r="F2223" i="3" s="1"/>
  <c r="H2223" i="3" s="1"/>
  <c r="G2223" i="3"/>
  <c r="I2223" i="3"/>
  <c r="C2224" i="3"/>
  <c r="D2224" i="3"/>
  <c r="E2224" i="3" s="1"/>
  <c r="F2224" i="3" s="1"/>
  <c r="H2224" i="3" s="1"/>
  <c r="G2224" i="3"/>
  <c r="I2224" i="3"/>
  <c r="C2225" i="3"/>
  <c r="D2225" i="3" s="1"/>
  <c r="E2225" i="3" s="1"/>
  <c r="F2225" i="3" s="1"/>
  <c r="H2225" i="3" s="1"/>
  <c r="G2225" i="3"/>
  <c r="I2225" i="3"/>
  <c r="C2226" i="3"/>
  <c r="D2226" i="3"/>
  <c r="E2226" i="3" s="1"/>
  <c r="F2226" i="3" s="1"/>
  <c r="H2226" i="3" s="1"/>
  <c r="G2226" i="3"/>
  <c r="I2226" i="3"/>
  <c r="C2227" i="3"/>
  <c r="D2227" i="3" s="1"/>
  <c r="E2227" i="3" s="1"/>
  <c r="F2227" i="3" s="1"/>
  <c r="H2227" i="3" s="1"/>
  <c r="G2227" i="3"/>
  <c r="I2227" i="3"/>
  <c r="C2228" i="3"/>
  <c r="D2228" i="3"/>
  <c r="E2228" i="3" s="1"/>
  <c r="F2228" i="3" s="1"/>
  <c r="H2228" i="3" s="1"/>
  <c r="G2228" i="3"/>
  <c r="I2228" i="3"/>
  <c r="C2229" i="3"/>
  <c r="D2229" i="3" s="1"/>
  <c r="E2229" i="3" s="1"/>
  <c r="F2229" i="3" s="1"/>
  <c r="H2229" i="3" s="1"/>
  <c r="G2229" i="3"/>
  <c r="I2229" i="3"/>
  <c r="C2230" i="3"/>
  <c r="D2230" i="3" s="1"/>
  <c r="E2230" i="3" s="1"/>
  <c r="F2230" i="3" s="1"/>
  <c r="H2230" i="3" s="1"/>
  <c r="G2230" i="3"/>
  <c r="I2230" i="3"/>
  <c r="C2231" i="3"/>
  <c r="D2231" i="3" s="1"/>
  <c r="E2231" i="3" s="1"/>
  <c r="F2231" i="3" s="1"/>
  <c r="H2231" i="3" s="1"/>
  <c r="G2231" i="3"/>
  <c r="I2231" i="3"/>
  <c r="C2232" i="3"/>
  <c r="D2232" i="3"/>
  <c r="E2232" i="3" s="1"/>
  <c r="F2232" i="3" s="1"/>
  <c r="H2232" i="3" s="1"/>
  <c r="G2232" i="3"/>
  <c r="I2232" i="3"/>
  <c r="C2233" i="3"/>
  <c r="D2233" i="3" s="1"/>
  <c r="E2233" i="3" s="1"/>
  <c r="F2233" i="3" s="1"/>
  <c r="H2233" i="3" s="1"/>
  <c r="G2233" i="3"/>
  <c r="I2233" i="3"/>
  <c r="C2234" i="3"/>
  <c r="D2234" i="3"/>
  <c r="E2234" i="3" s="1"/>
  <c r="F2234" i="3" s="1"/>
  <c r="H2234" i="3" s="1"/>
  <c r="G2234" i="3"/>
  <c r="I2234" i="3"/>
  <c r="C2235" i="3"/>
  <c r="D2235" i="3" s="1"/>
  <c r="E2235" i="3" s="1"/>
  <c r="F2235" i="3" s="1"/>
  <c r="H2235" i="3" s="1"/>
  <c r="G2235" i="3"/>
  <c r="I2235" i="3"/>
  <c r="C2236" i="3"/>
  <c r="D2236" i="3"/>
  <c r="E2236" i="3" s="1"/>
  <c r="F2236" i="3" s="1"/>
  <c r="H2236" i="3" s="1"/>
  <c r="G2236" i="3"/>
  <c r="I2236" i="3"/>
  <c r="H1979" i="3" l="1"/>
  <c r="H1975" i="3"/>
  <c r="H1971" i="3"/>
  <c r="H1967" i="3"/>
  <c r="H1963" i="3"/>
  <c r="H1959" i="3"/>
  <c r="H1955" i="3"/>
  <c r="H1951" i="3"/>
  <c r="H1947" i="3"/>
  <c r="H1930" i="3"/>
  <c r="H2067" i="3"/>
  <c r="H2035" i="3"/>
  <c r="H2003" i="3"/>
  <c r="H1938" i="3"/>
  <c r="H1970" i="3"/>
  <c r="H1966" i="3"/>
  <c r="H1962" i="3"/>
  <c r="H1958" i="3"/>
  <c r="H1954" i="3"/>
  <c r="H1950" i="3"/>
  <c r="H1946" i="3"/>
  <c r="H2051" i="3"/>
  <c r="H2019" i="3"/>
  <c r="H1939" i="3"/>
  <c r="H1828" i="3"/>
  <c r="H1818" i="3"/>
  <c r="H1865" i="3"/>
  <c r="H1800" i="3"/>
  <c r="H1844" i="3"/>
  <c r="H1831" i="3"/>
  <c r="H1825" i="3"/>
  <c r="H1809" i="3"/>
  <c r="H1834" i="3"/>
  <c r="H1738" i="3"/>
  <c r="H1722" i="3"/>
  <c r="H1719" i="3"/>
  <c r="H1716" i="3"/>
  <c r="H1714" i="3"/>
  <c r="H1711" i="3"/>
  <c r="H1746" i="3"/>
  <c r="H1743" i="3"/>
  <c r="H1740" i="3"/>
  <c r="H1594" i="3"/>
  <c r="H1578" i="3"/>
  <c r="H1562" i="3"/>
  <c r="H1524" i="3"/>
  <c r="H1478" i="3"/>
  <c r="H1446" i="3"/>
  <c r="H1422" i="3"/>
  <c r="H1409" i="3"/>
  <c r="H1396" i="3"/>
  <c r="H1438" i="3"/>
  <c r="H1398" i="3"/>
  <c r="H1376" i="3"/>
  <c r="H1370" i="3"/>
  <c r="H1346" i="3"/>
  <c r="H1395" i="3"/>
  <c r="H1330" i="3"/>
  <c r="H1354" i="3"/>
  <c r="H1338" i="3"/>
  <c r="H1322" i="3"/>
  <c r="H1306" i="3"/>
  <c r="H1363" i="3"/>
  <c r="H1347" i="3"/>
  <c r="H1331" i="3"/>
  <c r="H1315" i="3"/>
  <c r="H1299" i="3"/>
  <c r="H1286" i="3"/>
  <c r="H1291" i="3"/>
  <c r="H1185" i="3"/>
  <c r="H1272" i="3"/>
  <c r="H1264" i="3"/>
  <c r="H1241" i="3"/>
  <c r="H1233" i="3"/>
  <c r="H1225" i="3"/>
  <c r="H1217" i="3"/>
  <c r="H1209" i="3"/>
  <c r="H1201" i="3"/>
  <c r="H1193" i="3"/>
  <c r="H1181" i="3"/>
  <c r="H1179" i="3"/>
  <c r="H1169" i="3"/>
  <c r="H1165" i="3"/>
  <c r="H1163" i="3"/>
  <c r="H1157" i="3"/>
  <c r="H1155" i="3"/>
  <c r="H1147" i="3"/>
  <c r="H1139" i="3"/>
  <c r="H1131" i="3"/>
  <c r="H1123" i="3"/>
  <c r="H1115" i="3"/>
  <c r="H1107" i="3"/>
  <c r="I36" i="3"/>
  <c r="F38" i="3"/>
  <c r="G38" i="3"/>
  <c r="I38" i="3"/>
  <c r="F39" i="3"/>
  <c r="G39" i="3"/>
  <c r="I39" i="3"/>
  <c r="F40" i="3"/>
  <c r="G40" i="3"/>
  <c r="I40" i="3"/>
  <c r="F41" i="3"/>
  <c r="H41" i="3" s="1"/>
  <c r="G41" i="3"/>
  <c r="I41" i="3"/>
  <c r="F42" i="3"/>
  <c r="G42" i="3"/>
  <c r="I42" i="3"/>
  <c r="F43" i="3"/>
  <c r="G43" i="3"/>
  <c r="I43" i="3"/>
  <c r="F44" i="3"/>
  <c r="G44" i="3"/>
  <c r="I44" i="3"/>
  <c r="F45" i="3"/>
  <c r="G45" i="3"/>
  <c r="I45" i="3"/>
  <c r="F46" i="3"/>
  <c r="G46" i="3"/>
  <c r="I46" i="3"/>
  <c r="F47" i="3"/>
  <c r="G47" i="3"/>
  <c r="I47" i="3"/>
  <c r="F48" i="3"/>
  <c r="G48" i="3"/>
  <c r="I48" i="3"/>
  <c r="F49" i="3"/>
  <c r="H49" i="3" s="1"/>
  <c r="G49" i="3"/>
  <c r="I49" i="3"/>
  <c r="F50" i="3"/>
  <c r="G50" i="3"/>
  <c r="I50" i="3"/>
  <c r="F51" i="3"/>
  <c r="G51" i="3"/>
  <c r="I51" i="3"/>
  <c r="F52" i="3"/>
  <c r="G52" i="3"/>
  <c r="I52" i="3"/>
  <c r="F53" i="3"/>
  <c r="G53" i="3"/>
  <c r="I53" i="3"/>
  <c r="F54" i="3"/>
  <c r="G54" i="3"/>
  <c r="I54" i="3"/>
  <c r="F55" i="3"/>
  <c r="G55" i="3"/>
  <c r="I55" i="3"/>
  <c r="F56" i="3"/>
  <c r="G56" i="3"/>
  <c r="I56" i="3"/>
  <c r="F57" i="3"/>
  <c r="H57" i="3" s="1"/>
  <c r="G57" i="3"/>
  <c r="I57" i="3"/>
  <c r="F58" i="3"/>
  <c r="G58" i="3"/>
  <c r="I58" i="3"/>
  <c r="F59" i="3"/>
  <c r="G59" i="3"/>
  <c r="I59" i="3"/>
  <c r="F60" i="3"/>
  <c r="G60" i="3"/>
  <c r="I60" i="3"/>
  <c r="F61" i="3"/>
  <c r="G61" i="3"/>
  <c r="I61" i="3"/>
  <c r="F62" i="3"/>
  <c r="G62" i="3"/>
  <c r="I62" i="3"/>
  <c r="F63" i="3"/>
  <c r="G63" i="3"/>
  <c r="I63" i="3"/>
  <c r="F64" i="3"/>
  <c r="G64" i="3"/>
  <c r="I64" i="3"/>
  <c r="F65" i="3"/>
  <c r="H65" i="3" s="1"/>
  <c r="G65" i="3"/>
  <c r="I65" i="3"/>
  <c r="F66" i="3"/>
  <c r="G66" i="3"/>
  <c r="I66" i="3"/>
  <c r="F67" i="3"/>
  <c r="G67" i="3"/>
  <c r="I67" i="3"/>
  <c r="F68" i="3"/>
  <c r="G68" i="3"/>
  <c r="I68" i="3"/>
  <c r="F69" i="3"/>
  <c r="G69" i="3"/>
  <c r="I69" i="3"/>
  <c r="F70" i="3"/>
  <c r="G70" i="3"/>
  <c r="I70" i="3"/>
  <c r="F71" i="3"/>
  <c r="G71" i="3"/>
  <c r="I71" i="3"/>
  <c r="F72" i="3"/>
  <c r="G72" i="3"/>
  <c r="I72" i="3"/>
  <c r="F73" i="3"/>
  <c r="H73" i="3" s="1"/>
  <c r="G73" i="3"/>
  <c r="I73" i="3"/>
  <c r="F74" i="3"/>
  <c r="G74" i="3"/>
  <c r="I74" i="3"/>
  <c r="F75" i="3"/>
  <c r="G75" i="3"/>
  <c r="I75" i="3"/>
  <c r="F76" i="3"/>
  <c r="G76" i="3"/>
  <c r="I76" i="3"/>
  <c r="F77" i="3"/>
  <c r="G77" i="3"/>
  <c r="I77" i="3"/>
  <c r="F78" i="3"/>
  <c r="G78" i="3"/>
  <c r="I78" i="3"/>
  <c r="F79" i="3"/>
  <c r="G79" i="3"/>
  <c r="I79" i="3"/>
  <c r="F80" i="3"/>
  <c r="G80" i="3"/>
  <c r="I80" i="3"/>
  <c r="F81" i="3"/>
  <c r="H81" i="3" s="1"/>
  <c r="G81" i="3"/>
  <c r="I81" i="3"/>
  <c r="F82" i="3"/>
  <c r="G82" i="3"/>
  <c r="I82" i="3"/>
  <c r="F83" i="3"/>
  <c r="G83" i="3"/>
  <c r="I83" i="3"/>
  <c r="F84" i="3"/>
  <c r="G84" i="3"/>
  <c r="I84" i="3"/>
  <c r="F85" i="3"/>
  <c r="G85" i="3"/>
  <c r="I85" i="3"/>
  <c r="F86" i="3"/>
  <c r="G86" i="3"/>
  <c r="I86" i="3"/>
  <c r="F87" i="3"/>
  <c r="G87" i="3"/>
  <c r="I87" i="3"/>
  <c r="F88" i="3"/>
  <c r="G88" i="3"/>
  <c r="I88" i="3"/>
  <c r="F89" i="3"/>
  <c r="H89" i="3" s="1"/>
  <c r="G89" i="3"/>
  <c r="I89" i="3"/>
  <c r="F90" i="3"/>
  <c r="G90" i="3"/>
  <c r="I90" i="3"/>
  <c r="F91" i="3"/>
  <c r="G91" i="3"/>
  <c r="I91" i="3"/>
  <c r="F92" i="3"/>
  <c r="G92" i="3"/>
  <c r="I92" i="3"/>
  <c r="F93" i="3"/>
  <c r="G93" i="3"/>
  <c r="I93" i="3"/>
  <c r="F94" i="3"/>
  <c r="G94" i="3"/>
  <c r="I94" i="3"/>
  <c r="F95" i="3"/>
  <c r="G95" i="3"/>
  <c r="I95" i="3"/>
  <c r="F96" i="3"/>
  <c r="G96" i="3"/>
  <c r="I96" i="3"/>
  <c r="F97" i="3"/>
  <c r="H97" i="3" s="1"/>
  <c r="G97" i="3"/>
  <c r="I97" i="3"/>
  <c r="F98" i="3"/>
  <c r="G98" i="3"/>
  <c r="I98" i="3"/>
  <c r="F99" i="3"/>
  <c r="G99" i="3"/>
  <c r="I99" i="3"/>
  <c r="F100" i="3"/>
  <c r="G100" i="3"/>
  <c r="I100" i="3"/>
  <c r="F101" i="3"/>
  <c r="G101" i="3"/>
  <c r="I101" i="3"/>
  <c r="F102" i="3"/>
  <c r="G102" i="3"/>
  <c r="I102" i="3"/>
  <c r="F103" i="3"/>
  <c r="G103" i="3"/>
  <c r="I103" i="3"/>
  <c r="F104" i="3"/>
  <c r="G104" i="3"/>
  <c r="I104" i="3"/>
  <c r="F105" i="3"/>
  <c r="H105" i="3" s="1"/>
  <c r="G105" i="3"/>
  <c r="I105" i="3"/>
  <c r="F106" i="3"/>
  <c r="G106" i="3"/>
  <c r="I106" i="3"/>
  <c r="F107" i="3"/>
  <c r="G107" i="3"/>
  <c r="I107" i="3"/>
  <c r="F108" i="3"/>
  <c r="G108" i="3"/>
  <c r="I108" i="3"/>
  <c r="F109" i="3"/>
  <c r="G109" i="3"/>
  <c r="I109" i="3"/>
  <c r="F110" i="3"/>
  <c r="G110" i="3"/>
  <c r="I110" i="3"/>
  <c r="F111" i="3"/>
  <c r="G111" i="3"/>
  <c r="I111" i="3"/>
  <c r="F112" i="3"/>
  <c r="G112" i="3"/>
  <c r="I112" i="3"/>
  <c r="F113" i="3"/>
  <c r="H113" i="3" s="1"/>
  <c r="G113" i="3"/>
  <c r="I113" i="3"/>
  <c r="F114" i="3"/>
  <c r="G114" i="3"/>
  <c r="I114" i="3"/>
  <c r="F115" i="3"/>
  <c r="G115" i="3"/>
  <c r="I115" i="3"/>
  <c r="F116" i="3"/>
  <c r="G116" i="3"/>
  <c r="I116" i="3"/>
  <c r="F117" i="3"/>
  <c r="G117" i="3"/>
  <c r="I117" i="3"/>
  <c r="F118" i="3"/>
  <c r="G118" i="3"/>
  <c r="I118" i="3"/>
  <c r="F119" i="3"/>
  <c r="G119" i="3"/>
  <c r="I119" i="3"/>
  <c r="F120" i="3"/>
  <c r="G120" i="3"/>
  <c r="I120" i="3"/>
  <c r="F121" i="3"/>
  <c r="H121" i="3" s="1"/>
  <c r="G121" i="3"/>
  <c r="I121" i="3"/>
  <c r="F122" i="3"/>
  <c r="G122" i="3"/>
  <c r="I122" i="3"/>
  <c r="F123" i="3"/>
  <c r="G123" i="3"/>
  <c r="I123" i="3"/>
  <c r="F124" i="3"/>
  <c r="G124" i="3"/>
  <c r="I124" i="3"/>
  <c r="F125" i="3"/>
  <c r="G125" i="3"/>
  <c r="I125" i="3"/>
  <c r="F126" i="3"/>
  <c r="G126" i="3"/>
  <c r="I126" i="3"/>
  <c r="F127" i="3"/>
  <c r="G127" i="3"/>
  <c r="I127" i="3"/>
  <c r="F128" i="3"/>
  <c r="G128" i="3"/>
  <c r="H128" i="3" s="1"/>
  <c r="I128" i="3"/>
  <c r="F129" i="3"/>
  <c r="G129" i="3"/>
  <c r="I129" i="3"/>
  <c r="F130" i="3"/>
  <c r="G130" i="3"/>
  <c r="H130" i="3" s="1"/>
  <c r="I130" i="3"/>
  <c r="F131" i="3"/>
  <c r="G131" i="3"/>
  <c r="I131" i="3"/>
  <c r="F132" i="3"/>
  <c r="G132" i="3"/>
  <c r="I132" i="3"/>
  <c r="F133" i="3"/>
  <c r="H133" i="3" s="1"/>
  <c r="G133" i="3"/>
  <c r="I133" i="3"/>
  <c r="F134" i="3"/>
  <c r="G134" i="3"/>
  <c r="I134" i="3"/>
  <c r="F135" i="3"/>
  <c r="G135" i="3"/>
  <c r="I135" i="3"/>
  <c r="F136" i="3"/>
  <c r="G136" i="3"/>
  <c r="H136" i="3" s="1"/>
  <c r="I136" i="3"/>
  <c r="F137" i="3"/>
  <c r="G137" i="3"/>
  <c r="I137" i="3"/>
  <c r="F138" i="3"/>
  <c r="G138" i="3"/>
  <c r="H138" i="3"/>
  <c r="I138" i="3"/>
  <c r="F139" i="3"/>
  <c r="G139" i="3"/>
  <c r="I139" i="3"/>
  <c r="F140" i="3"/>
  <c r="H140" i="3" s="1"/>
  <c r="G140" i="3"/>
  <c r="I140" i="3"/>
  <c r="F141" i="3"/>
  <c r="H141" i="3" s="1"/>
  <c r="G141" i="3"/>
  <c r="I141" i="3"/>
  <c r="F142" i="3"/>
  <c r="G142" i="3"/>
  <c r="I142" i="3"/>
  <c r="F143" i="3"/>
  <c r="G143" i="3"/>
  <c r="I143" i="3"/>
  <c r="F144" i="3"/>
  <c r="G144" i="3"/>
  <c r="H144" i="3"/>
  <c r="I144" i="3"/>
  <c r="F145" i="3"/>
  <c r="G145" i="3"/>
  <c r="I145" i="3"/>
  <c r="F146" i="3"/>
  <c r="G146" i="3"/>
  <c r="H146" i="3" s="1"/>
  <c r="I146" i="3"/>
  <c r="F147" i="3"/>
  <c r="G147" i="3"/>
  <c r="I147" i="3"/>
  <c r="F148" i="3"/>
  <c r="G148" i="3"/>
  <c r="I148" i="3"/>
  <c r="F149" i="3"/>
  <c r="G149" i="3"/>
  <c r="I149" i="3"/>
  <c r="F150" i="3"/>
  <c r="H150" i="3" s="1"/>
  <c r="G150" i="3"/>
  <c r="I150" i="3"/>
  <c r="F151" i="3"/>
  <c r="G151" i="3"/>
  <c r="I151" i="3"/>
  <c r="F152" i="3"/>
  <c r="G152" i="3"/>
  <c r="H152" i="3"/>
  <c r="I152" i="3"/>
  <c r="F153" i="3"/>
  <c r="G153" i="3"/>
  <c r="I153" i="3"/>
  <c r="F154" i="3"/>
  <c r="G154" i="3"/>
  <c r="H154" i="3"/>
  <c r="I154" i="3"/>
  <c r="F155" i="3"/>
  <c r="G155" i="3"/>
  <c r="I155" i="3"/>
  <c r="F156" i="3"/>
  <c r="G156" i="3"/>
  <c r="I156" i="3"/>
  <c r="F157" i="3"/>
  <c r="G157" i="3"/>
  <c r="I157" i="3"/>
  <c r="F158" i="3"/>
  <c r="G158" i="3"/>
  <c r="I158" i="3"/>
  <c r="F159" i="3"/>
  <c r="G159" i="3"/>
  <c r="I159" i="3"/>
  <c r="F160" i="3"/>
  <c r="G160" i="3"/>
  <c r="H160" i="3" s="1"/>
  <c r="I160" i="3"/>
  <c r="F161" i="3"/>
  <c r="G161" i="3"/>
  <c r="I161" i="3"/>
  <c r="F162" i="3"/>
  <c r="G162" i="3"/>
  <c r="H162" i="3" s="1"/>
  <c r="I162" i="3"/>
  <c r="F163" i="3"/>
  <c r="G163" i="3"/>
  <c r="I163" i="3"/>
  <c r="F164" i="3"/>
  <c r="G164" i="3"/>
  <c r="I164" i="3"/>
  <c r="F165" i="3"/>
  <c r="H165" i="3" s="1"/>
  <c r="G165" i="3"/>
  <c r="I165" i="3"/>
  <c r="F166" i="3"/>
  <c r="G166" i="3"/>
  <c r="I166" i="3"/>
  <c r="F167" i="3"/>
  <c r="G167" i="3"/>
  <c r="I167" i="3"/>
  <c r="F168" i="3"/>
  <c r="G168" i="3"/>
  <c r="H168" i="3" s="1"/>
  <c r="I168" i="3"/>
  <c r="F169" i="3"/>
  <c r="G169" i="3"/>
  <c r="I169" i="3"/>
  <c r="F170" i="3"/>
  <c r="G170" i="3"/>
  <c r="H170" i="3"/>
  <c r="I170" i="3"/>
  <c r="F171" i="3"/>
  <c r="G171" i="3"/>
  <c r="I171" i="3"/>
  <c r="F172" i="3"/>
  <c r="H172" i="3" s="1"/>
  <c r="G172" i="3"/>
  <c r="I172" i="3"/>
  <c r="F173" i="3"/>
  <c r="H173" i="3" s="1"/>
  <c r="G173" i="3"/>
  <c r="I173" i="3"/>
  <c r="F174" i="3"/>
  <c r="H174" i="3" s="1"/>
  <c r="G174" i="3"/>
  <c r="I174" i="3"/>
  <c r="F175" i="3"/>
  <c r="G175" i="3"/>
  <c r="I175" i="3"/>
  <c r="F176" i="3"/>
  <c r="G176" i="3"/>
  <c r="H176" i="3"/>
  <c r="I176" i="3"/>
  <c r="F177" i="3"/>
  <c r="G177" i="3"/>
  <c r="I177" i="3"/>
  <c r="F178" i="3"/>
  <c r="G178" i="3"/>
  <c r="H178" i="3" s="1"/>
  <c r="I178" i="3"/>
  <c r="F179" i="3"/>
  <c r="G179" i="3"/>
  <c r="I179" i="3"/>
  <c r="F180" i="3"/>
  <c r="G180" i="3"/>
  <c r="I180" i="3"/>
  <c r="F181" i="3"/>
  <c r="G181" i="3"/>
  <c r="I181" i="3"/>
  <c r="F182" i="3"/>
  <c r="H182" i="3" s="1"/>
  <c r="G182" i="3"/>
  <c r="I182" i="3"/>
  <c r="F183" i="3"/>
  <c r="G183" i="3"/>
  <c r="I183" i="3"/>
  <c r="F184" i="3"/>
  <c r="G184" i="3"/>
  <c r="H184" i="3"/>
  <c r="I184" i="3"/>
  <c r="F185" i="3"/>
  <c r="G185" i="3"/>
  <c r="I185" i="3"/>
  <c r="F186" i="3"/>
  <c r="G186" i="3"/>
  <c r="H186" i="3" s="1"/>
  <c r="I186" i="3"/>
  <c r="F187" i="3"/>
  <c r="G187" i="3"/>
  <c r="I187" i="3"/>
  <c r="F188" i="3"/>
  <c r="G188" i="3"/>
  <c r="I188" i="3"/>
  <c r="F189" i="3"/>
  <c r="G189" i="3"/>
  <c r="I189" i="3"/>
  <c r="F190" i="3"/>
  <c r="G190" i="3"/>
  <c r="I190" i="3"/>
  <c r="F191" i="3"/>
  <c r="G191" i="3"/>
  <c r="I191" i="3"/>
  <c r="F192" i="3"/>
  <c r="G192" i="3"/>
  <c r="H192" i="3" s="1"/>
  <c r="I192" i="3"/>
  <c r="F193" i="3"/>
  <c r="G193" i="3"/>
  <c r="I193" i="3"/>
  <c r="F194" i="3"/>
  <c r="G194" i="3"/>
  <c r="H194" i="3" s="1"/>
  <c r="I194" i="3"/>
  <c r="F195" i="3"/>
  <c r="G195" i="3"/>
  <c r="I195" i="3"/>
  <c r="F196" i="3"/>
  <c r="G196" i="3"/>
  <c r="I196" i="3"/>
  <c r="F197" i="3"/>
  <c r="H197" i="3" s="1"/>
  <c r="G197" i="3"/>
  <c r="I197" i="3"/>
  <c r="F198" i="3"/>
  <c r="G198" i="3"/>
  <c r="I198" i="3"/>
  <c r="F199" i="3"/>
  <c r="G199" i="3"/>
  <c r="I199" i="3"/>
  <c r="F200" i="3"/>
  <c r="G200" i="3"/>
  <c r="H200" i="3" s="1"/>
  <c r="I200" i="3"/>
  <c r="F201" i="3"/>
  <c r="G201" i="3"/>
  <c r="I201" i="3"/>
  <c r="F202" i="3"/>
  <c r="G202" i="3"/>
  <c r="H202" i="3"/>
  <c r="I202" i="3"/>
  <c r="F203" i="3"/>
  <c r="G203" i="3"/>
  <c r="I203" i="3"/>
  <c r="F204" i="3"/>
  <c r="H204" i="3" s="1"/>
  <c r="G204" i="3"/>
  <c r="I204" i="3"/>
  <c r="F205" i="3"/>
  <c r="H205" i="3" s="1"/>
  <c r="G205" i="3"/>
  <c r="I205" i="3"/>
  <c r="F206" i="3"/>
  <c r="G206" i="3"/>
  <c r="I206" i="3"/>
  <c r="F207" i="3"/>
  <c r="G207" i="3"/>
  <c r="I207" i="3"/>
  <c r="F208" i="3"/>
  <c r="G208" i="3"/>
  <c r="H208" i="3" s="1"/>
  <c r="I208" i="3"/>
  <c r="F209" i="3"/>
  <c r="G209" i="3"/>
  <c r="H209" i="3" s="1"/>
  <c r="I209" i="3"/>
  <c r="F210" i="3"/>
  <c r="G210" i="3"/>
  <c r="H210" i="3" s="1"/>
  <c r="I210" i="3"/>
  <c r="F211" i="3"/>
  <c r="G211" i="3"/>
  <c r="H211" i="3" s="1"/>
  <c r="I211" i="3"/>
  <c r="F212" i="3"/>
  <c r="G212" i="3"/>
  <c r="H212" i="3" s="1"/>
  <c r="I212" i="3"/>
  <c r="F213" i="3"/>
  <c r="G213" i="3"/>
  <c r="H213" i="3" s="1"/>
  <c r="I213" i="3"/>
  <c r="F214" i="3"/>
  <c r="G214" i="3"/>
  <c r="H214" i="3" s="1"/>
  <c r="I214" i="3"/>
  <c r="F215" i="3"/>
  <c r="G215" i="3"/>
  <c r="H215" i="3" s="1"/>
  <c r="I215" i="3"/>
  <c r="F216" i="3"/>
  <c r="G216" i="3"/>
  <c r="H216" i="3" s="1"/>
  <c r="I216" i="3"/>
  <c r="F217" i="3"/>
  <c r="G217" i="3"/>
  <c r="H217" i="3" s="1"/>
  <c r="I217" i="3"/>
  <c r="F218" i="3"/>
  <c r="G218" i="3"/>
  <c r="H218" i="3" s="1"/>
  <c r="I218" i="3"/>
  <c r="F219" i="3"/>
  <c r="G219" i="3"/>
  <c r="H219" i="3" s="1"/>
  <c r="I219" i="3"/>
  <c r="F220" i="3"/>
  <c r="G220" i="3"/>
  <c r="H220" i="3" s="1"/>
  <c r="I220" i="3"/>
  <c r="F221" i="3"/>
  <c r="G221" i="3"/>
  <c r="H221" i="3" s="1"/>
  <c r="I221" i="3"/>
  <c r="F222" i="3"/>
  <c r="G222" i="3"/>
  <c r="H222" i="3" s="1"/>
  <c r="I222" i="3"/>
  <c r="F223" i="3"/>
  <c r="G223" i="3"/>
  <c r="H223" i="3" s="1"/>
  <c r="I223" i="3"/>
  <c r="F224" i="3"/>
  <c r="G224" i="3"/>
  <c r="H224" i="3" s="1"/>
  <c r="I224" i="3"/>
  <c r="F225" i="3"/>
  <c r="G225" i="3"/>
  <c r="H225" i="3" s="1"/>
  <c r="I225" i="3"/>
  <c r="F226" i="3"/>
  <c r="G226" i="3"/>
  <c r="H226" i="3" s="1"/>
  <c r="I226" i="3"/>
  <c r="F227" i="3"/>
  <c r="G227" i="3"/>
  <c r="H227" i="3" s="1"/>
  <c r="I227" i="3"/>
  <c r="F228" i="3"/>
  <c r="G228" i="3"/>
  <c r="H228" i="3" s="1"/>
  <c r="I228" i="3"/>
  <c r="F229" i="3"/>
  <c r="G229" i="3"/>
  <c r="H229" i="3" s="1"/>
  <c r="I229" i="3"/>
  <c r="F230" i="3"/>
  <c r="G230" i="3"/>
  <c r="H230" i="3" s="1"/>
  <c r="I230" i="3"/>
  <c r="F231" i="3"/>
  <c r="G231" i="3"/>
  <c r="H231" i="3" s="1"/>
  <c r="I231" i="3"/>
  <c r="F232" i="3"/>
  <c r="G232" i="3"/>
  <c r="H232" i="3" s="1"/>
  <c r="I232" i="3"/>
  <c r="F233" i="3"/>
  <c r="G233" i="3"/>
  <c r="H233" i="3" s="1"/>
  <c r="I233" i="3"/>
  <c r="F234" i="3"/>
  <c r="G234" i="3"/>
  <c r="H234" i="3" s="1"/>
  <c r="I234" i="3"/>
  <c r="F235" i="3"/>
  <c r="G235" i="3"/>
  <c r="H235" i="3" s="1"/>
  <c r="I235" i="3"/>
  <c r="F236" i="3"/>
  <c r="G236" i="3"/>
  <c r="H236" i="3" s="1"/>
  <c r="I236" i="3"/>
  <c r="F237" i="3"/>
  <c r="G237" i="3"/>
  <c r="H237" i="3" s="1"/>
  <c r="I237" i="3"/>
  <c r="F238" i="3"/>
  <c r="G238" i="3"/>
  <c r="H238" i="3" s="1"/>
  <c r="I238" i="3"/>
  <c r="F239" i="3"/>
  <c r="G239" i="3"/>
  <c r="H239" i="3" s="1"/>
  <c r="I239" i="3"/>
  <c r="F240" i="3"/>
  <c r="G240" i="3"/>
  <c r="H240" i="3" s="1"/>
  <c r="I240" i="3"/>
  <c r="F241" i="3"/>
  <c r="G241" i="3"/>
  <c r="H241" i="3" s="1"/>
  <c r="I241" i="3"/>
  <c r="F242" i="3"/>
  <c r="G242" i="3"/>
  <c r="H242" i="3" s="1"/>
  <c r="I242" i="3"/>
  <c r="F243" i="3"/>
  <c r="G243" i="3"/>
  <c r="H243" i="3" s="1"/>
  <c r="I243" i="3"/>
  <c r="F244" i="3"/>
  <c r="G244" i="3"/>
  <c r="H244" i="3" s="1"/>
  <c r="I244" i="3"/>
  <c r="F245" i="3"/>
  <c r="G245" i="3"/>
  <c r="H245" i="3" s="1"/>
  <c r="I245" i="3"/>
  <c r="F246" i="3"/>
  <c r="G246" i="3"/>
  <c r="H246" i="3" s="1"/>
  <c r="I246" i="3"/>
  <c r="F247" i="3"/>
  <c r="G247" i="3"/>
  <c r="H247" i="3" s="1"/>
  <c r="I247" i="3"/>
  <c r="F248" i="3"/>
  <c r="G248" i="3"/>
  <c r="H248" i="3" s="1"/>
  <c r="I248" i="3"/>
  <c r="F249" i="3"/>
  <c r="G249" i="3"/>
  <c r="H249" i="3" s="1"/>
  <c r="I249" i="3"/>
  <c r="F250" i="3"/>
  <c r="G250" i="3"/>
  <c r="H250" i="3" s="1"/>
  <c r="I250" i="3"/>
  <c r="F251" i="3"/>
  <c r="G251" i="3"/>
  <c r="H251" i="3" s="1"/>
  <c r="I251" i="3"/>
  <c r="F252" i="3"/>
  <c r="G252" i="3"/>
  <c r="H252" i="3" s="1"/>
  <c r="I252" i="3"/>
  <c r="F253" i="3"/>
  <c r="G253" i="3"/>
  <c r="H253" i="3" s="1"/>
  <c r="I253" i="3"/>
  <c r="F254" i="3"/>
  <c r="G254" i="3"/>
  <c r="H254" i="3" s="1"/>
  <c r="I254" i="3"/>
  <c r="F255" i="3"/>
  <c r="G255" i="3"/>
  <c r="H255" i="3" s="1"/>
  <c r="I255" i="3"/>
  <c r="F256" i="3"/>
  <c r="G256" i="3"/>
  <c r="H256" i="3" s="1"/>
  <c r="I256" i="3"/>
  <c r="F257" i="3"/>
  <c r="G257" i="3"/>
  <c r="H257" i="3" s="1"/>
  <c r="I257" i="3"/>
  <c r="F258" i="3"/>
  <c r="G258" i="3"/>
  <c r="H258" i="3" s="1"/>
  <c r="I258" i="3"/>
  <c r="F259" i="3"/>
  <c r="G259" i="3"/>
  <c r="H259" i="3" s="1"/>
  <c r="I259" i="3"/>
  <c r="F260" i="3"/>
  <c r="G260" i="3"/>
  <c r="H260" i="3" s="1"/>
  <c r="I260" i="3"/>
  <c r="F261" i="3"/>
  <c r="G261" i="3"/>
  <c r="H261" i="3" s="1"/>
  <c r="I261" i="3"/>
  <c r="F262" i="3"/>
  <c r="G262" i="3"/>
  <c r="H262" i="3" s="1"/>
  <c r="I262" i="3"/>
  <c r="F263" i="3"/>
  <c r="G263" i="3"/>
  <c r="H263" i="3" s="1"/>
  <c r="I263" i="3"/>
  <c r="F264" i="3"/>
  <c r="G264" i="3"/>
  <c r="H264" i="3" s="1"/>
  <c r="I264" i="3"/>
  <c r="F265" i="3"/>
  <c r="G265" i="3"/>
  <c r="H265" i="3" s="1"/>
  <c r="I265" i="3"/>
  <c r="F266" i="3"/>
  <c r="G266" i="3"/>
  <c r="H266" i="3" s="1"/>
  <c r="I266" i="3"/>
  <c r="F267" i="3"/>
  <c r="G267" i="3"/>
  <c r="H267" i="3" s="1"/>
  <c r="I267" i="3"/>
  <c r="F268" i="3"/>
  <c r="G268" i="3"/>
  <c r="H268" i="3" s="1"/>
  <c r="I268" i="3"/>
  <c r="F269" i="3"/>
  <c r="G269" i="3"/>
  <c r="H269" i="3" s="1"/>
  <c r="I269" i="3"/>
  <c r="F270" i="3"/>
  <c r="G270" i="3"/>
  <c r="H270" i="3" s="1"/>
  <c r="I270" i="3"/>
  <c r="F271" i="3"/>
  <c r="G271" i="3"/>
  <c r="H271" i="3" s="1"/>
  <c r="I271" i="3"/>
  <c r="F272" i="3"/>
  <c r="G272" i="3"/>
  <c r="H272" i="3" s="1"/>
  <c r="I272" i="3"/>
  <c r="F273" i="3"/>
  <c r="G273" i="3"/>
  <c r="H273" i="3" s="1"/>
  <c r="I273" i="3"/>
  <c r="F274" i="3"/>
  <c r="G274" i="3"/>
  <c r="H274" i="3" s="1"/>
  <c r="I274" i="3"/>
  <c r="F275" i="3"/>
  <c r="G275" i="3"/>
  <c r="H275" i="3" s="1"/>
  <c r="I275" i="3"/>
  <c r="F276" i="3"/>
  <c r="G276" i="3"/>
  <c r="H276" i="3" s="1"/>
  <c r="I276" i="3"/>
  <c r="F277" i="3"/>
  <c r="G277" i="3"/>
  <c r="H277" i="3" s="1"/>
  <c r="I277" i="3"/>
  <c r="F278" i="3"/>
  <c r="G278" i="3"/>
  <c r="H278" i="3" s="1"/>
  <c r="I278" i="3"/>
  <c r="F279" i="3"/>
  <c r="G279" i="3"/>
  <c r="H279" i="3" s="1"/>
  <c r="I279" i="3"/>
  <c r="F280" i="3"/>
  <c r="G280" i="3"/>
  <c r="H280" i="3" s="1"/>
  <c r="I280" i="3"/>
  <c r="F281" i="3"/>
  <c r="G281" i="3"/>
  <c r="H281" i="3" s="1"/>
  <c r="I281" i="3"/>
  <c r="F282" i="3"/>
  <c r="G282" i="3"/>
  <c r="H282" i="3" s="1"/>
  <c r="I282" i="3"/>
  <c r="F283" i="3"/>
  <c r="G283" i="3"/>
  <c r="H283" i="3" s="1"/>
  <c r="I283" i="3"/>
  <c r="F284" i="3"/>
  <c r="G284" i="3"/>
  <c r="H284" i="3" s="1"/>
  <c r="I284" i="3"/>
  <c r="F285" i="3"/>
  <c r="G285" i="3"/>
  <c r="H285" i="3" s="1"/>
  <c r="I285" i="3"/>
  <c r="F286" i="3"/>
  <c r="G286" i="3"/>
  <c r="H286" i="3" s="1"/>
  <c r="I286" i="3"/>
  <c r="F287" i="3"/>
  <c r="G287" i="3"/>
  <c r="H287" i="3" s="1"/>
  <c r="I287" i="3"/>
  <c r="F288" i="3"/>
  <c r="G288" i="3"/>
  <c r="H288" i="3" s="1"/>
  <c r="I288" i="3"/>
  <c r="F289" i="3"/>
  <c r="G289" i="3"/>
  <c r="H289" i="3" s="1"/>
  <c r="I289" i="3"/>
  <c r="F290" i="3"/>
  <c r="G290" i="3"/>
  <c r="H290" i="3" s="1"/>
  <c r="I290" i="3"/>
  <c r="F291" i="3"/>
  <c r="G291" i="3"/>
  <c r="H291" i="3" s="1"/>
  <c r="I291" i="3"/>
  <c r="F292" i="3"/>
  <c r="G292" i="3"/>
  <c r="H292" i="3" s="1"/>
  <c r="I292" i="3"/>
  <c r="F293" i="3"/>
  <c r="G293" i="3"/>
  <c r="H293" i="3" s="1"/>
  <c r="I293" i="3"/>
  <c r="F294" i="3"/>
  <c r="G294" i="3"/>
  <c r="H294" i="3" s="1"/>
  <c r="I294" i="3"/>
  <c r="F295" i="3"/>
  <c r="G295" i="3"/>
  <c r="H295" i="3" s="1"/>
  <c r="I295" i="3"/>
  <c r="F296" i="3"/>
  <c r="G296" i="3"/>
  <c r="H296" i="3" s="1"/>
  <c r="I296" i="3"/>
  <c r="F297" i="3"/>
  <c r="G297" i="3"/>
  <c r="H297" i="3" s="1"/>
  <c r="I297" i="3"/>
  <c r="F298" i="3"/>
  <c r="G298" i="3"/>
  <c r="H298" i="3" s="1"/>
  <c r="I298" i="3"/>
  <c r="F299" i="3"/>
  <c r="G299" i="3"/>
  <c r="H299" i="3" s="1"/>
  <c r="I299" i="3"/>
  <c r="F300" i="3"/>
  <c r="G300" i="3"/>
  <c r="H300" i="3" s="1"/>
  <c r="I300" i="3"/>
  <c r="F301" i="3"/>
  <c r="G301" i="3"/>
  <c r="H301" i="3" s="1"/>
  <c r="I301" i="3"/>
  <c r="F302" i="3"/>
  <c r="G302" i="3"/>
  <c r="H302" i="3" s="1"/>
  <c r="I302" i="3"/>
  <c r="F303" i="3"/>
  <c r="G303" i="3"/>
  <c r="H303" i="3" s="1"/>
  <c r="I303" i="3"/>
  <c r="F304" i="3"/>
  <c r="G304" i="3"/>
  <c r="H304" i="3" s="1"/>
  <c r="I304" i="3"/>
  <c r="F305" i="3"/>
  <c r="G305" i="3"/>
  <c r="H305" i="3" s="1"/>
  <c r="I305" i="3"/>
  <c r="F306" i="3"/>
  <c r="G306" i="3"/>
  <c r="H306" i="3" s="1"/>
  <c r="I306" i="3"/>
  <c r="F307" i="3"/>
  <c r="G307" i="3"/>
  <c r="H307" i="3" s="1"/>
  <c r="I307" i="3"/>
  <c r="F308" i="3"/>
  <c r="G308" i="3"/>
  <c r="H308" i="3" s="1"/>
  <c r="I308" i="3"/>
  <c r="F309" i="3"/>
  <c r="G309" i="3"/>
  <c r="H309" i="3" s="1"/>
  <c r="I309" i="3"/>
  <c r="F310" i="3"/>
  <c r="G310" i="3"/>
  <c r="H310" i="3" s="1"/>
  <c r="I310" i="3"/>
  <c r="F311" i="3"/>
  <c r="G311" i="3"/>
  <c r="H311" i="3" s="1"/>
  <c r="I311" i="3"/>
  <c r="F312" i="3"/>
  <c r="G312" i="3"/>
  <c r="H312" i="3" s="1"/>
  <c r="I312" i="3"/>
  <c r="F313" i="3"/>
  <c r="G313" i="3"/>
  <c r="H313" i="3" s="1"/>
  <c r="I313" i="3"/>
  <c r="F314" i="3"/>
  <c r="G314" i="3"/>
  <c r="H314" i="3" s="1"/>
  <c r="I314" i="3"/>
  <c r="F315" i="3"/>
  <c r="G315" i="3"/>
  <c r="H315" i="3" s="1"/>
  <c r="I315" i="3"/>
  <c r="F316" i="3"/>
  <c r="G316" i="3"/>
  <c r="H316" i="3" s="1"/>
  <c r="I316" i="3"/>
  <c r="F317" i="3"/>
  <c r="G317" i="3"/>
  <c r="H317" i="3" s="1"/>
  <c r="I317" i="3"/>
  <c r="F318" i="3"/>
  <c r="G318" i="3"/>
  <c r="H318" i="3" s="1"/>
  <c r="I318" i="3"/>
  <c r="F319" i="3"/>
  <c r="G319" i="3"/>
  <c r="H319" i="3" s="1"/>
  <c r="I319" i="3"/>
  <c r="F320" i="3"/>
  <c r="G320" i="3"/>
  <c r="H320" i="3" s="1"/>
  <c r="I320" i="3"/>
  <c r="F321" i="3"/>
  <c r="G321" i="3"/>
  <c r="H321" i="3" s="1"/>
  <c r="I321" i="3"/>
  <c r="F322" i="3"/>
  <c r="G322" i="3"/>
  <c r="H322" i="3" s="1"/>
  <c r="I322" i="3"/>
  <c r="F323" i="3"/>
  <c r="G323" i="3"/>
  <c r="H323" i="3" s="1"/>
  <c r="I323" i="3"/>
  <c r="F324" i="3"/>
  <c r="G324" i="3"/>
  <c r="H324" i="3" s="1"/>
  <c r="I324" i="3"/>
  <c r="F325" i="3"/>
  <c r="G325" i="3"/>
  <c r="H325" i="3" s="1"/>
  <c r="I325" i="3"/>
  <c r="F326" i="3"/>
  <c r="G326" i="3"/>
  <c r="H326" i="3" s="1"/>
  <c r="I326" i="3"/>
  <c r="F327" i="3"/>
  <c r="G327" i="3"/>
  <c r="H327" i="3" s="1"/>
  <c r="I327" i="3"/>
  <c r="F328" i="3"/>
  <c r="G328" i="3"/>
  <c r="H328" i="3" s="1"/>
  <c r="I328" i="3"/>
  <c r="F329" i="3"/>
  <c r="G329" i="3"/>
  <c r="H329" i="3" s="1"/>
  <c r="I329" i="3"/>
  <c r="F330" i="3"/>
  <c r="G330" i="3"/>
  <c r="H330" i="3" s="1"/>
  <c r="I330" i="3"/>
  <c r="F331" i="3"/>
  <c r="G331" i="3"/>
  <c r="H331" i="3" s="1"/>
  <c r="I331" i="3"/>
  <c r="F332" i="3"/>
  <c r="G332" i="3"/>
  <c r="H332" i="3" s="1"/>
  <c r="I332" i="3"/>
  <c r="F333" i="3"/>
  <c r="G333" i="3"/>
  <c r="H333" i="3" s="1"/>
  <c r="I333" i="3"/>
  <c r="F334" i="3"/>
  <c r="G334" i="3"/>
  <c r="H334" i="3" s="1"/>
  <c r="I334" i="3"/>
  <c r="F335" i="3"/>
  <c r="G335" i="3"/>
  <c r="H335" i="3" s="1"/>
  <c r="I335" i="3"/>
  <c r="F336" i="3"/>
  <c r="G336" i="3"/>
  <c r="H336" i="3" s="1"/>
  <c r="I336" i="3"/>
  <c r="F337" i="3"/>
  <c r="G337" i="3"/>
  <c r="H337" i="3" s="1"/>
  <c r="I337" i="3"/>
  <c r="F338" i="3"/>
  <c r="G338" i="3"/>
  <c r="H338" i="3" s="1"/>
  <c r="I338" i="3"/>
  <c r="F339" i="3"/>
  <c r="G339" i="3"/>
  <c r="H339" i="3" s="1"/>
  <c r="I339" i="3"/>
  <c r="F340" i="3"/>
  <c r="G340" i="3"/>
  <c r="H340" i="3" s="1"/>
  <c r="I340" i="3"/>
  <c r="F341" i="3"/>
  <c r="G341" i="3"/>
  <c r="H341" i="3" s="1"/>
  <c r="I341" i="3"/>
  <c r="F342" i="3"/>
  <c r="G342" i="3"/>
  <c r="H342" i="3" s="1"/>
  <c r="I342" i="3"/>
  <c r="F343" i="3"/>
  <c r="G343" i="3"/>
  <c r="H343" i="3" s="1"/>
  <c r="I343" i="3"/>
  <c r="F344" i="3"/>
  <c r="G344" i="3"/>
  <c r="H344" i="3" s="1"/>
  <c r="I344" i="3"/>
  <c r="F345" i="3"/>
  <c r="G345" i="3"/>
  <c r="H345" i="3" s="1"/>
  <c r="I345" i="3"/>
  <c r="F346" i="3"/>
  <c r="G346" i="3"/>
  <c r="H346" i="3" s="1"/>
  <c r="I346" i="3"/>
  <c r="F347" i="3"/>
  <c r="G347" i="3"/>
  <c r="H347" i="3" s="1"/>
  <c r="I347" i="3"/>
  <c r="F348" i="3"/>
  <c r="G348" i="3"/>
  <c r="H348" i="3" s="1"/>
  <c r="I348" i="3"/>
  <c r="F349" i="3"/>
  <c r="G349" i="3"/>
  <c r="H349" i="3" s="1"/>
  <c r="I349" i="3"/>
  <c r="F350" i="3"/>
  <c r="G350" i="3"/>
  <c r="H350" i="3" s="1"/>
  <c r="I350" i="3"/>
  <c r="F351" i="3"/>
  <c r="G351" i="3"/>
  <c r="H351" i="3" s="1"/>
  <c r="I351" i="3"/>
  <c r="F352" i="3"/>
  <c r="G352" i="3"/>
  <c r="H352" i="3" s="1"/>
  <c r="I352" i="3"/>
  <c r="F353" i="3"/>
  <c r="G353" i="3"/>
  <c r="H353" i="3" s="1"/>
  <c r="I353" i="3"/>
  <c r="F354" i="3"/>
  <c r="G354" i="3"/>
  <c r="H354" i="3" s="1"/>
  <c r="I354" i="3"/>
  <c r="F355" i="3"/>
  <c r="G355" i="3"/>
  <c r="H355" i="3" s="1"/>
  <c r="I355" i="3"/>
  <c r="F356" i="3"/>
  <c r="G356" i="3"/>
  <c r="H356" i="3" s="1"/>
  <c r="I356" i="3"/>
  <c r="F357" i="3"/>
  <c r="G357" i="3"/>
  <c r="H357" i="3" s="1"/>
  <c r="I357" i="3"/>
  <c r="F358" i="3"/>
  <c r="G358" i="3"/>
  <c r="H358" i="3" s="1"/>
  <c r="I358" i="3"/>
  <c r="F359" i="3"/>
  <c r="G359" i="3"/>
  <c r="H359" i="3" s="1"/>
  <c r="I359" i="3"/>
  <c r="F360" i="3"/>
  <c r="G360" i="3"/>
  <c r="H360" i="3" s="1"/>
  <c r="I360" i="3"/>
  <c r="F361" i="3"/>
  <c r="G361" i="3"/>
  <c r="H361" i="3" s="1"/>
  <c r="I361" i="3"/>
  <c r="F362" i="3"/>
  <c r="G362" i="3"/>
  <c r="H362" i="3"/>
  <c r="I362" i="3"/>
  <c r="F363" i="3"/>
  <c r="G363" i="3"/>
  <c r="H363" i="3" s="1"/>
  <c r="I363" i="3"/>
  <c r="F364" i="3"/>
  <c r="G364" i="3"/>
  <c r="H364" i="3"/>
  <c r="I364" i="3"/>
  <c r="F365" i="3"/>
  <c r="G365" i="3"/>
  <c r="H365" i="3" s="1"/>
  <c r="I365" i="3"/>
  <c r="F366" i="3"/>
  <c r="G366" i="3"/>
  <c r="H366" i="3"/>
  <c r="I366" i="3"/>
  <c r="F367" i="3"/>
  <c r="G367" i="3"/>
  <c r="H367" i="3" s="1"/>
  <c r="I367" i="3"/>
  <c r="F368" i="3"/>
  <c r="G368" i="3"/>
  <c r="H368" i="3"/>
  <c r="I368" i="3"/>
  <c r="F369" i="3"/>
  <c r="G369" i="3"/>
  <c r="H369" i="3" s="1"/>
  <c r="I369" i="3"/>
  <c r="F370" i="3"/>
  <c r="G370" i="3"/>
  <c r="H370" i="3"/>
  <c r="I370" i="3"/>
  <c r="F371" i="3"/>
  <c r="G371" i="3"/>
  <c r="H371" i="3" s="1"/>
  <c r="I371" i="3"/>
  <c r="F372" i="3"/>
  <c r="G372" i="3"/>
  <c r="H372" i="3"/>
  <c r="I372" i="3"/>
  <c r="F373" i="3"/>
  <c r="G373" i="3"/>
  <c r="H373" i="3" s="1"/>
  <c r="I373" i="3"/>
  <c r="F374" i="3"/>
  <c r="G374" i="3"/>
  <c r="H374" i="3"/>
  <c r="I374" i="3"/>
  <c r="F375" i="3"/>
  <c r="G375" i="3"/>
  <c r="H375" i="3" s="1"/>
  <c r="I375" i="3"/>
  <c r="F376" i="3"/>
  <c r="G376" i="3"/>
  <c r="H376" i="3"/>
  <c r="I376" i="3"/>
  <c r="F377" i="3"/>
  <c r="G377" i="3"/>
  <c r="H377" i="3" s="1"/>
  <c r="I377" i="3"/>
  <c r="F378" i="3"/>
  <c r="G378" i="3"/>
  <c r="H378" i="3"/>
  <c r="I378" i="3"/>
  <c r="F379" i="3"/>
  <c r="G379" i="3"/>
  <c r="H379" i="3" s="1"/>
  <c r="I379" i="3"/>
  <c r="F380" i="3"/>
  <c r="G380" i="3"/>
  <c r="H380" i="3"/>
  <c r="I380" i="3"/>
  <c r="F381" i="3"/>
  <c r="G381" i="3"/>
  <c r="H381" i="3" s="1"/>
  <c r="I381" i="3"/>
  <c r="F382" i="3"/>
  <c r="G382" i="3"/>
  <c r="H382" i="3"/>
  <c r="I382" i="3"/>
  <c r="F383" i="3"/>
  <c r="G383" i="3"/>
  <c r="H383" i="3" s="1"/>
  <c r="I383" i="3"/>
  <c r="F384" i="3"/>
  <c r="G384" i="3"/>
  <c r="H384" i="3"/>
  <c r="I384" i="3"/>
  <c r="F385" i="3"/>
  <c r="G385" i="3"/>
  <c r="H385" i="3" s="1"/>
  <c r="I385" i="3"/>
  <c r="F386" i="3"/>
  <c r="G386" i="3"/>
  <c r="H386" i="3"/>
  <c r="I386" i="3"/>
  <c r="F387" i="3"/>
  <c r="G387" i="3"/>
  <c r="H387" i="3" s="1"/>
  <c r="I387" i="3"/>
  <c r="F388" i="3"/>
  <c r="G388" i="3"/>
  <c r="H388" i="3"/>
  <c r="I388" i="3"/>
  <c r="F389" i="3"/>
  <c r="G389" i="3"/>
  <c r="H389" i="3" s="1"/>
  <c r="I389" i="3"/>
  <c r="F390" i="3"/>
  <c r="G390" i="3"/>
  <c r="H390" i="3"/>
  <c r="I390" i="3"/>
  <c r="F391" i="3"/>
  <c r="G391" i="3"/>
  <c r="H391" i="3" s="1"/>
  <c r="I391" i="3"/>
  <c r="F392" i="3"/>
  <c r="G392" i="3"/>
  <c r="H392" i="3"/>
  <c r="I392" i="3"/>
  <c r="F393" i="3"/>
  <c r="G393" i="3"/>
  <c r="H393" i="3" s="1"/>
  <c r="I393" i="3"/>
  <c r="F394" i="3"/>
  <c r="G394" i="3"/>
  <c r="H394" i="3"/>
  <c r="I394" i="3"/>
  <c r="F395" i="3"/>
  <c r="G395" i="3"/>
  <c r="H395" i="3" s="1"/>
  <c r="I395" i="3"/>
  <c r="F396" i="3"/>
  <c r="G396" i="3"/>
  <c r="H396" i="3"/>
  <c r="I396" i="3"/>
  <c r="F397" i="3"/>
  <c r="G397" i="3"/>
  <c r="H397" i="3" s="1"/>
  <c r="I397" i="3"/>
  <c r="F398" i="3"/>
  <c r="G398" i="3"/>
  <c r="H398" i="3"/>
  <c r="I398" i="3"/>
  <c r="F399" i="3"/>
  <c r="G399" i="3"/>
  <c r="H399" i="3" s="1"/>
  <c r="I399" i="3"/>
  <c r="F400" i="3"/>
  <c r="G400" i="3"/>
  <c r="H400" i="3"/>
  <c r="I400" i="3"/>
  <c r="F401" i="3"/>
  <c r="G401" i="3"/>
  <c r="H401" i="3" s="1"/>
  <c r="I401" i="3"/>
  <c r="F402" i="3"/>
  <c r="G402" i="3"/>
  <c r="H402" i="3"/>
  <c r="I402" i="3"/>
  <c r="F403" i="3"/>
  <c r="G403" i="3"/>
  <c r="H403" i="3" s="1"/>
  <c r="I403" i="3"/>
  <c r="F404" i="3"/>
  <c r="G404" i="3"/>
  <c r="H404" i="3"/>
  <c r="I404" i="3"/>
  <c r="F405" i="3"/>
  <c r="G405" i="3"/>
  <c r="H405" i="3" s="1"/>
  <c r="I405" i="3"/>
  <c r="F406" i="3"/>
  <c r="G406" i="3"/>
  <c r="H406" i="3"/>
  <c r="I406" i="3"/>
  <c r="F407" i="3"/>
  <c r="G407" i="3"/>
  <c r="H407" i="3" s="1"/>
  <c r="I407" i="3"/>
  <c r="F408" i="3"/>
  <c r="G408" i="3"/>
  <c r="H408" i="3"/>
  <c r="I408" i="3"/>
  <c r="F409" i="3"/>
  <c r="G409" i="3"/>
  <c r="H409" i="3" s="1"/>
  <c r="I409" i="3"/>
  <c r="F410" i="3"/>
  <c r="G410" i="3"/>
  <c r="H410" i="3"/>
  <c r="I410" i="3"/>
  <c r="F411" i="3"/>
  <c r="G411" i="3"/>
  <c r="H411" i="3" s="1"/>
  <c r="I411" i="3"/>
  <c r="F412" i="3"/>
  <c r="G412" i="3"/>
  <c r="H412" i="3"/>
  <c r="I412" i="3"/>
  <c r="F413" i="3"/>
  <c r="G413" i="3"/>
  <c r="H413" i="3" s="1"/>
  <c r="I413" i="3"/>
  <c r="F414" i="3"/>
  <c r="G414" i="3"/>
  <c r="H414" i="3"/>
  <c r="I414" i="3"/>
  <c r="F415" i="3"/>
  <c r="G415" i="3"/>
  <c r="H415" i="3" s="1"/>
  <c r="I415" i="3"/>
  <c r="F416" i="3"/>
  <c r="G416" i="3"/>
  <c r="H416" i="3"/>
  <c r="I416" i="3"/>
  <c r="F417" i="3"/>
  <c r="G417" i="3"/>
  <c r="H417" i="3" s="1"/>
  <c r="I417" i="3"/>
  <c r="F418" i="3"/>
  <c r="G418" i="3"/>
  <c r="H418" i="3"/>
  <c r="I418" i="3"/>
  <c r="F419" i="3"/>
  <c r="G419" i="3"/>
  <c r="H419" i="3" s="1"/>
  <c r="I419" i="3"/>
  <c r="F420" i="3"/>
  <c r="G420" i="3"/>
  <c r="H420" i="3"/>
  <c r="I420" i="3"/>
  <c r="F421" i="3"/>
  <c r="G421" i="3"/>
  <c r="H421" i="3" s="1"/>
  <c r="I421" i="3"/>
  <c r="F422" i="3"/>
  <c r="G422" i="3"/>
  <c r="H422" i="3"/>
  <c r="I422" i="3"/>
  <c r="F423" i="3"/>
  <c r="G423" i="3"/>
  <c r="H423" i="3" s="1"/>
  <c r="I423" i="3"/>
  <c r="F424" i="3"/>
  <c r="G424" i="3"/>
  <c r="H424" i="3"/>
  <c r="I424" i="3"/>
  <c r="F425" i="3"/>
  <c r="G425" i="3"/>
  <c r="H425" i="3" s="1"/>
  <c r="I425" i="3"/>
  <c r="F426" i="3"/>
  <c r="G426" i="3"/>
  <c r="H426" i="3"/>
  <c r="I426" i="3"/>
  <c r="F427" i="3"/>
  <c r="G427" i="3"/>
  <c r="H427" i="3" s="1"/>
  <c r="I427" i="3"/>
  <c r="F428" i="3"/>
  <c r="G428" i="3"/>
  <c r="H428" i="3"/>
  <c r="I428" i="3"/>
  <c r="F429" i="3"/>
  <c r="G429" i="3"/>
  <c r="H429" i="3" s="1"/>
  <c r="I429" i="3"/>
  <c r="F430" i="3"/>
  <c r="G430" i="3"/>
  <c r="H430" i="3"/>
  <c r="I430" i="3"/>
  <c r="F431" i="3"/>
  <c r="G431" i="3"/>
  <c r="H431" i="3" s="1"/>
  <c r="I431" i="3"/>
  <c r="F432" i="3"/>
  <c r="G432" i="3"/>
  <c r="H432" i="3"/>
  <c r="I432" i="3"/>
  <c r="F433" i="3"/>
  <c r="G433" i="3"/>
  <c r="H433" i="3" s="1"/>
  <c r="I433" i="3"/>
  <c r="F434" i="3"/>
  <c r="G434" i="3"/>
  <c r="H434" i="3"/>
  <c r="I434" i="3"/>
  <c r="F435" i="3"/>
  <c r="G435" i="3"/>
  <c r="H435" i="3" s="1"/>
  <c r="I435" i="3"/>
  <c r="F436" i="3"/>
  <c r="G436" i="3"/>
  <c r="H436" i="3"/>
  <c r="I436" i="3"/>
  <c r="F437" i="3"/>
  <c r="G437" i="3"/>
  <c r="H437" i="3" s="1"/>
  <c r="I437" i="3"/>
  <c r="F438" i="3"/>
  <c r="G438" i="3"/>
  <c r="H438" i="3"/>
  <c r="I438" i="3"/>
  <c r="F439" i="3"/>
  <c r="G439" i="3"/>
  <c r="H439" i="3" s="1"/>
  <c r="I439" i="3"/>
  <c r="F440" i="3"/>
  <c r="G440" i="3"/>
  <c r="H440" i="3"/>
  <c r="I440" i="3"/>
  <c r="F441" i="3"/>
  <c r="G441" i="3"/>
  <c r="H441" i="3" s="1"/>
  <c r="I441" i="3"/>
  <c r="F442" i="3"/>
  <c r="G442" i="3"/>
  <c r="H442" i="3"/>
  <c r="I442" i="3"/>
  <c r="F443" i="3"/>
  <c r="G443" i="3"/>
  <c r="H443" i="3" s="1"/>
  <c r="I443" i="3"/>
  <c r="F444" i="3"/>
  <c r="G444" i="3"/>
  <c r="H444" i="3"/>
  <c r="I444" i="3"/>
  <c r="F445" i="3"/>
  <c r="G445" i="3"/>
  <c r="H445" i="3" s="1"/>
  <c r="I445" i="3"/>
  <c r="F446" i="3"/>
  <c r="G446" i="3"/>
  <c r="H446" i="3"/>
  <c r="I446" i="3"/>
  <c r="F447" i="3"/>
  <c r="G447" i="3"/>
  <c r="H447" i="3" s="1"/>
  <c r="I447" i="3"/>
  <c r="F448" i="3"/>
  <c r="G448" i="3"/>
  <c r="H448" i="3"/>
  <c r="I448" i="3"/>
  <c r="F449" i="3"/>
  <c r="G449" i="3"/>
  <c r="H449" i="3" s="1"/>
  <c r="I449" i="3"/>
  <c r="F450" i="3"/>
  <c r="G450" i="3"/>
  <c r="H450" i="3"/>
  <c r="I450" i="3"/>
  <c r="F451" i="3"/>
  <c r="G451" i="3"/>
  <c r="H451" i="3" s="1"/>
  <c r="I451" i="3"/>
  <c r="F452" i="3"/>
  <c r="G452" i="3"/>
  <c r="H452" i="3"/>
  <c r="I452" i="3"/>
  <c r="F453" i="3"/>
  <c r="G453" i="3"/>
  <c r="H453" i="3" s="1"/>
  <c r="I453" i="3"/>
  <c r="F454" i="3"/>
  <c r="G454" i="3"/>
  <c r="H454" i="3"/>
  <c r="I454" i="3"/>
  <c r="F455" i="3"/>
  <c r="G455" i="3"/>
  <c r="H455" i="3" s="1"/>
  <c r="I455" i="3"/>
  <c r="F456" i="3"/>
  <c r="G456" i="3"/>
  <c r="H456" i="3"/>
  <c r="I456" i="3"/>
  <c r="F457" i="3"/>
  <c r="G457" i="3"/>
  <c r="H457" i="3" s="1"/>
  <c r="I457" i="3"/>
  <c r="F458" i="3"/>
  <c r="G458" i="3"/>
  <c r="H458" i="3"/>
  <c r="I458" i="3"/>
  <c r="F459" i="3"/>
  <c r="G459" i="3"/>
  <c r="H459" i="3" s="1"/>
  <c r="I459" i="3"/>
  <c r="F460" i="3"/>
  <c r="G460" i="3"/>
  <c r="H460" i="3"/>
  <c r="I460" i="3"/>
  <c r="F461" i="3"/>
  <c r="G461" i="3"/>
  <c r="H461" i="3" s="1"/>
  <c r="I461" i="3"/>
  <c r="F462" i="3"/>
  <c r="G462" i="3"/>
  <c r="H462" i="3"/>
  <c r="I462" i="3"/>
  <c r="F463" i="3"/>
  <c r="G463" i="3"/>
  <c r="H463" i="3" s="1"/>
  <c r="I463" i="3"/>
  <c r="F464" i="3"/>
  <c r="G464" i="3"/>
  <c r="H464" i="3"/>
  <c r="I464" i="3"/>
  <c r="F465" i="3"/>
  <c r="G465" i="3"/>
  <c r="H465" i="3" s="1"/>
  <c r="I465" i="3"/>
  <c r="F466" i="3"/>
  <c r="G466" i="3"/>
  <c r="H466" i="3"/>
  <c r="I466" i="3"/>
  <c r="F467" i="3"/>
  <c r="G467" i="3"/>
  <c r="H467" i="3" s="1"/>
  <c r="I467" i="3"/>
  <c r="F468" i="3"/>
  <c r="G468" i="3"/>
  <c r="H468" i="3"/>
  <c r="I468" i="3"/>
  <c r="F469" i="3"/>
  <c r="G469" i="3"/>
  <c r="H469" i="3" s="1"/>
  <c r="I469" i="3"/>
  <c r="F470" i="3"/>
  <c r="G470" i="3"/>
  <c r="H470" i="3"/>
  <c r="I470" i="3"/>
  <c r="F471" i="3"/>
  <c r="G471" i="3"/>
  <c r="H471" i="3" s="1"/>
  <c r="I471" i="3"/>
  <c r="F472" i="3"/>
  <c r="G472" i="3"/>
  <c r="H472" i="3"/>
  <c r="I472" i="3"/>
  <c r="F473" i="3"/>
  <c r="G473" i="3"/>
  <c r="H473" i="3" s="1"/>
  <c r="I473" i="3"/>
  <c r="F474" i="3"/>
  <c r="G474" i="3"/>
  <c r="H474" i="3"/>
  <c r="I474" i="3"/>
  <c r="F475" i="3"/>
  <c r="G475" i="3"/>
  <c r="H475" i="3" s="1"/>
  <c r="I475" i="3"/>
  <c r="F476" i="3"/>
  <c r="G476" i="3"/>
  <c r="H476" i="3"/>
  <c r="I476" i="3"/>
  <c r="F477" i="3"/>
  <c r="G477" i="3"/>
  <c r="H477" i="3" s="1"/>
  <c r="I477" i="3"/>
  <c r="F478" i="3"/>
  <c r="G478" i="3"/>
  <c r="H478" i="3"/>
  <c r="I478" i="3"/>
  <c r="F479" i="3"/>
  <c r="G479" i="3"/>
  <c r="H479" i="3" s="1"/>
  <c r="I479" i="3"/>
  <c r="F480" i="3"/>
  <c r="G480" i="3"/>
  <c r="H480" i="3"/>
  <c r="I480" i="3"/>
  <c r="F481" i="3"/>
  <c r="G481" i="3"/>
  <c r="H481" i="3" s="1"/>
  <c r="I481" i="3"/>
  <c r="F482" i="3"/>
  <c r="G482" i="3"/>
  <c r="H482" i="3"/>
  <c r="I482" i="3"/>
  <c r="F483" i="3"/>
  <c r="G483" i="3"/>
  <c r="H483" i="3" s="1"/>
  <c r="I483" i="3"/>
  <c r="F484" i="3"/>
  <c r="G484" i="3"/>
  <c r="H484" i="3"/>
  <c r="I484" i="3"/>
  <c r="F485" i="3"/>
  <c r="G485" i="3"/>
  <c r="H485" i="3" s="1"/>
  <c r="I485" i="3"/>
  <c r="F486" i="3"/>
  <c r="G486" i="3"/>
  <c r="H486" i="3"/>
  <c r="I486" i="3"/>
  <c r="F487" i="3"/>
  <c r="G487" i="3"/>
  <c r="H487" i="3" s="1"/>
  <c r="I487" i="3"/>
  <c r="F488" i="3"/>
  <c r="G488" i="3"/>
  <c r="H488" i="3" s="1"/>
  <c r="I488" i="3"/>
  <c r="F489" i="3"/>
  <c r="G489" i="3"/>
  <c r="H489" i="3" s="1"/>
  <c r="I489" i="3"/>
  <c r="F490" i="3"/>
  <c r="G490" i="3"/>
  <c r="H490" i="3"/>
  <c r="I490" i="3"/>
  <c r="F491" i="3"/>
  <c r="G491" i="3"/>
  <c r="H491" i="3" s="1"/>
  <c r="I491" i="3"/>
  <c r="F492" i="3"/>
  <c r="G492" i="3"/>
  <c r="H492" i="3" s="1"/>
  <c r="I492" i="3"/>
  <c r="F493" i="3"/>
  <c r="G493" i="3"/>
  <c r="H493" i="3" s="1"/>
  <c r="I493" i="3"/>
  <c r="F494" i="3"/>
  <c r="G494" i="3"/>
  <c r="H494" i="3"/>
  <c r="I494" i="3"/>
  <c r="F495" i="3"/>
  <c r="G495" i="3"/>
  <c r="H495" i="3" s="1"/>
  <c r="I495" i="3"/>
  <c r="F496" i="3"/>
  <c r="G496" i="3"/>
  <c r="H496" i="3" s="1"/>
  <c r="I496" i="3"/>
  <c r="F497" i="3"/>
  <c r="G497" i="3"/>
  <c r="H497" i="3" s="1"/>
  <c r="I497" i="3"/>
  <c r="F498" i="3"/>
  <c r="G498" i="3"/>
  <c r="H498" i="3"/>
  <c r="I498" i="3"/>
  <c r="F499" i="3"/>
  <c r="G499" i="3"/>
  <c r="H499" i="3" s="1"/>
  <c r="I499" i="3"/>
  <c r="F500" i="3"/>
  <c r="G500" i="3"/>
  <c r="H500" i="3"/>
  <c r="I500" i="3"/>
  <c r="F501" i="3"/>
  <c r="G501" i="3"/>
  <c r="H501" i="3" s="1"/>
  <c r="I501" i="3"/>
  <c r="F502" i="3"/>
  <c r="G502" i="3"/>
  <c r="H502" i="3"/>
  <c r="I502" i="3"/>
  <c r="F503" i="3"/>
  <c r="G503" i="3"/>
  <c r="H503" i="3" s="1"/>
  <c r="I503" i="3"/>
  <c r="F504" i="3"/>
  <c r="G504" i="3"/>
  <c r="H504" i="3" s="1"/>
  <c r="I504" i="3"/>
  <c r="F505" i="3"/>
  <c r="G505" i="3"/>
  <c r="H505" i="3" s="1"/>
  <c r="I505" i="3"/>
  <c r="F506" i="3"/>
  <c r="G506" i="3"/>
  <c r="H506" i="3"/>
  <c r="I506" i="3"/>
  <c r="F507" i="3"/>
  <c r="G507" i="3"/>
  <c r="H507" i="3" s="1"/>
  <c r="I507" i="3"/>
  <c r="F508" i="3"/>
  <c r="G508" i="3"/>
  <c r="H508" i="3" s="1"/>
  <c r="I508" i="3"/>
  <c r="F509" i="3"/>
  <c r="G509" i="3"/>
  <c r="H509" i="3" s="1"/>
  <c r="I509" i="3"/>
  <c r="F510" i="3"/>
  <c r="G510" i="3"/>
  <c r="H510" i="3"/>
  <c r="I510" i="3"/>
  <c r="F511" i="3"/>
  <c r="G511" i="3"/>
  <c r="H511" i="3" s="1"/>
  <c r="I511" i="3"/>
  <c r="F512" i="3"/>
  <c r="G512" i="3"/>
  <c r="H512" i="3" s="1"/>
  <c r="I512" i="3"/>
  <c r="F513" i="3"/>
  <c r="G513" i="3"/>
  <c r="H513" i="3" s="1"/>
  <c r="I513" i="3"/>
  <c r="F514" i="3"/>
  <c r="G514" i="3"/>
  <c r="H514" i="3"/>
  <c r="I514" i="3"/>
  <c r="F515" i="3"/>
  <c r="G515" i="3"/>
  <c r="H515" i="3" s="1"/>
  <c r="I515" i="3"/>
  <c r="F516" i="3"/>
  <c r="G516" i="3"/>
  <c r="H516" i="3"/>
  <c r="I516" i="3"/>
  <c r="F517" i="3"/>
  <c r="G517" i="3"/>
  <c r="H517" i="3" s="1"/>
  <c r="I517" i="3"/>
  <c r="F518" i="3"/>
  <c r="G518" i="3"/>
  <c r="H518" i="3"/>
  <c r="I518" i="3"/>
  <c r="F519" i="3"/>
  <c r="G519" i="3"/>
  <c r="H519" i="3" s="1"/>
  <c r="I519" i="3"/>
  <c r="F520" i="3"/>
  <c r="G520" i="3"/>
  <c r="H520" i="3" s="1"/>
  <c r="I520" i="3"/>
  <c r="F521" i="3"/>
  <c r="G521" i="3"/>
  <c r="H521" i="3" s="1"/>
  <c r="I521" i="3"/>
  <c r="F522" i="3"/>
  <c r="G522" i="3"/>
  <c r="H522" i="3"/>
  <c r="I522" i="3"/>
  <c r="F523" i="3"/>
  <c r="G523" i="3"/>
  <c r="H523" i="3" s="1"/>
  <c r="I523" i="3"/>
  <c r="F524" i="3"/>
  <c r="G524" i="3"/>
  <c r="H524" i="3" s="1"/>
  <c r="I524" i="3"/>
  <c r="F525" i="3"/>
  <c r="G525" i="3"/>
  <c r="H525" i="3" s="1"/>
  <c r="I525" i="3"/>
  <c r="F526" i="3"/>
  <c r="G526" i="3"/>
  <c r="H526" i="3"/>
  <c r="I526" i="3"/>
  <c r="F527" i="3"/>
  <c r="G527" i="3"/>
  <c r="H527" i="3" s="1"/>
  <c r="I527" i="3"/>
  <c r="F528" i="3"/>
  <c r="G528" i="3"/>
  <c r="H528" i="3" s="1"/>
  <c r="I528" i="3"/>
  <c r="F529" i="3"/>
  <c r="G529" i="3"/>
  <c r="H529" i="3" s="1"/>
  <c r="I529" i="3"/>
  <c r="F530" i="3"/>
  <c r="G530" i="3"/>
  <c r="H530" i="3"/>
  <c r="I530" i="3"/>
  <c r="F531" i="3"/>
  <c r="G531" i="3"/>
  <c r="H531" i="3" s="1"/>
  <c r="I531" i="3"/>
  <c r="F532" i="3"/>
  <c r="G532" i="3"/>
  <c r="H532" i="3" s="1"/>
  <c r="I532" i="3"/>
  <c r="F533" i="3"/>
  <c r="G533" i="3"/>
  <c r="H533" i="3" s="1"/>
  <c r="I533" i="3"/>
  <c r="F534" i="3"/>
  <c r="G534" i="3"/>
  <c r="H534" i="3"/>
  <c r="I534" i="3"/>
  <c r="F535" i="3"/>
  <c r="G535" i="3"/>
  <c r="H535" i="3" s="1"/>
  <c r="I535" i="3"/>
  <c r="F536" i="3"/>
  <c r="G536" i="3"/>
  <c r="H536" i="3"/>
  <c r="I536" i="3"/>
  <c r="F537" i="3"/>
  <c r="G537" i="3"/>
  <c r="H537" i="3" s="1"/>
  <c r="I537" i="3"/>
  <c r="F538" i="3"/>
  <c r="G538" i="3"/>
  <c r="H538" i="3" s="1"/>
  <c r="I538" i="3"/>
  <c r="F539" i="3"/>
  <c r="G539" i="3"/>
  <c r="H539" i="3" s="1"/>
  <c r="I539" i="3"/>
  <c r="F540" i="3"/>
  <c r="G540" i="3"/>
  <c r="H540" i="3" s="1"/>
  <c r="I540" i="3"/>
  <c r="F541" i="3"/>
  <c r="G541" i="3"/>
  <c r="H541" i="3" s="1"/>
  <c r="I541" i="3"/>
  <c r="F542" i="3"/>
  <c r="G542" i="3"/>
  <c r="H542" i="3" s="1"/>
  <c r="I542" i="3"/>
  <c r="F543" i="3"/>
  <c r="G543" i="3"/>
  <c r="H543" i="3" s="1"/>
  <c r="I543" i="3"/>
  <c r="F544" i="3"/>
  <c r="G544" i="3"/>
  <c r="H544" i="3" s="1"/>
  <c r="I544" i="3"/>
  <c r="F545" i="3"/>
  <c r="G545" i="3"/>
  <c r="H545" i="3" s="1"/>
  <c r="I545" i="3"/>
  <c r="F546" i="3"/>
  <c r="G546" i="3"/>
  <c r="H546" i="3" s="1"/>
  <c r="I546" i="3"/>
  <c r="F547" i="3"/>
  <c r="G547" i="3"/>
  <c r="H547" i="3" s="1"/>
  <c r="I547" i="3"/>
  <c r="F548" i="3"/>
  <c r="G548" i="3"/>
  <c r="H548" i="3" s="1"/>
  <c r="I548" i="3"/>
  <c r="F549" i="3"/>
  <c r="G549" i="3"/>
  <c r="H549" i="3" s="1"/>
  <c r="I549" i="3"/>
  <c r="F550" i="3"/>
  <c r="G550" i="3"/>
  <c r="H550" i="3" s="1"/>
  <c r="I550" i="3"/>
  <c r="F551" i="3"/>
  <c r="G551" i="3"/>
  <c r="H551" i="3" s="1"/>
  <c r="I551" i="3"/>
  <c r="F552" i="3"/>
  <c r="G552" i="3"/>
  <c r="H552" i="3" s="1"/>
  <c r="I552" i="3"/>
  <c r="F553" i="3"/>
  <c r="G553" i="3"/>
  <c r="H553" i="3" s="1"/>
  <c r="I553" i="3"/>
  <c r="F554" i="3"/>
  <c r="G554" i="3"/>
  <c r="H554" i="3" s="1"/>
  <c r="I554" i="3"/>
  <c r="F555" i="3"/>
  <c r="G555" i="3"/>
  <c r="H555" i="3" s="1"/>
  <c r="I555" i="3"/>
  <c r="F556" i="3"/>
  <c r="G556" i="3"/>
  <c r="H556" i="3" s="1"/>
  <c r="I556" i="3"/>
  <c r="F557" i="3"/>
  <c r="G557" i="3"/>
  <c r="H557" i="3" s="1"/>
  <c r="I557" i="3"/>
  <c r="F558" i="3"/>
  <c r="G558" i="3"/>
  <c r="H558" i="3" s="1"/>
  <c r="I558" i="3"/>
  <c r="F559" i="3"/>
  <c r="G559" i="3"/>
  <c r="H559" i="3" s="1"/>
  <c r="I559" i="3"/>
  <c r="F560" i="3"/>
  <c r="G560" i="3"/>
  <c r="H560" i="3" s="1"/>
  <c r="I560" i="3"/>
  <c r="F561" i="3"/>
  <c r="G561" i="3"/>
  <c r="H561" i="3" s="1"/>
  <c r="I561" i="3"/>
  <c r="F562" i="3"/>
  <c r="G562" i="3"/>
  <c r="H562" i="3" s="1"/>
  <c r="I562" i="3"/>
  <c r="F563" i="3"/>
  <c r="G563" i="3"/>
  <c r="H563" i="3" s="1"/>
  <c r="I563" i="3"/>
  <c r="F564" i="3"/>
  <c r="G564" i="3"/>
  <c r="H564" i="3" s="1"/>
  <c r="I564" i="3"/>
  <c r="F565" i="3"/>
  <c r="G565" i="3"/>
  <c r="H565" i="3" s="1"/>
  <c r="I565" i="3"/>
  <c r="F566" i="3"/>
  <c r="G566" i="3"/>
  <c r="H566" i="3" s="1"/>
  <c r="I566" i="3"/>
  <c r="F567" i="3"/>
  <c r="G567" i="3"/>
  <c r="H567" i="3" s="1"/>
  <c r="I567" i="3"/>
  <c r="F568" i="3"/>
  <c r="G568" i="3"/>
  <c r="H568" i="3" s="1"/>
  <c r="I568" i="3"/>
  <c r="F569" i="3"/>
  <c r="G569" i="3"/>
  <c r="H569" i="3" s="1"/>
  <c r="I569" i="3"/>
  <c r="F570" i="3"/>
  <c r="G570" i="3"/>
  <c r="H570" i="3" s="1"/>
  <c r="I570" i="3"/>
  <c r="F571" i="3"/>
  <c r="G571" i="3"/>
  <c r="H571" i="3" s="1"/>
  <c r="I571" i="3"/>
  <c r="F572" i="3"/>
  <c r="G572" i="3"/>
  <c r="H572" i="3" s="1"/>
  <c r="I572" i="3"/>
  <c r="F573" i="3"/>
  <c r="G573" i="3"/>
  <c r="H573" i="3" s="1"/>
  <c r="I573" i="3"/>
  <c r="F574" i="3"/>
  <c r="G574" i="3"/>
  <c r="H574" i="3" s="1"/>
  <c r="I574" i="3"/>
  <c r="F575" i="3"/>
  <c r="G575" i="3"/>
  <c r="H575" i="3" s="1"/>
  <c r="I575" i="3"/>
  <c r="F576" i="3"/>
  <c r="G576" i="3"/>
  <c r="H576" i="3" s="1"/>
  <c r="I576" i="3"/>
  <c r="F577" i="3"/>
  <c r="G577" i="3"/>
  <c r="H577" i="3" s="1"/>
  <c r="I577" i="3"/>
  <c r="F578" i="3"/>
  <c r="G578" i="3"/>
  <c r="H578" i="3" s="1"/>
  <c r="I578" i="3"/>
  <c r="F579" i="3"/>
  <c r="G579" i="3"/>
  <c r="H579" i="3" s="1"/>
  <c r="I579" i="3"/>
  <c r="F580" i="3"/>
  <c r="G580" i="3"/>
  <c r="H580" i="3" s="1"/>
  <c r="I580" i="3"/>
  <c r="F581" i="3"/>
  <c r="G581" i="3"/>
  <c r="H581" i="3" s="1"/>
  <c r="I581" i="3"/>
  <c r="F582" i="3"/>
  <c r="G582" i="3"/>
  <c r="H582" i="3" s="1"/>
  <c r="I582" i="3"/>
  <c r="F583" i="3"/>
  <c r="G583" i="3"/>
  <c r="H583" i="3" s="1"/>
  <c r="I583" i="3"/>
  <c r="F584" i="3"/>
  <c r="G584" i="3"/>
  <c r="H584" i="3" s="1"/>
  <c r="I584" i="3"/>
  <c r="F585" i="3"/>
  <c r="G585" i="3"/>
  <c r="H585" i="3" s="1"/>
  <c r="I585" i="3"/>
  <c r="F586" i="3"/>
  <c r="G586" i="3"/>
  <c r="H586" i="3" s="1"/>
  <c r="I586" i="3"/>
  <c r="F587" i="3"/>
  <c r="G587" i="3"/>
  <c r="H587" i="3" s="1"/>
  <c r="I587" i="3"/>
  <c r="F588" i="3"/>
  <c r="G588" i="3"/>
  <c r="H588" i="3" s="1"/>
  <c r="I588" i="3"/>
  <c r="F589" i="3"/>
  <c r="G589" i="3"/>
  <c r="H589" i="3" s="1"/>
  <c r="I589" i="3"/>
  <c r="F590" i="3"/>
  <c r="G590" i="3"/>
  <c r="H590" i="3" s="1"/>
  <c r="I590" i="3"/>
  <c r="F591" i="3"/>
  <c r="G591" i="3"/>
  <c r="H591" i="3" s="1"/>
  <c r="I591" i="3"/>
  <c r="F592" i="3"/>
  <c r="G592" i="3"/>
  <c r="H592" i="3" s="1"/>
  <c r="I592" i="3"/>
  <c r="F593" i="3"/>
  <c r="G593" i="3"/>
  <c r="H593" i="3" s="1"/>
  <c r="I593" i="3"/>
  <c r="F594" i="3"/>
  <c r="G594" i="3"/>
  <c r="H594" i="3" s="1"/>
  <c r="I594" i="3"/>
  <c r="F595" i="3"/>
  <c r="G595" i="3"/>
  <c r="H595" i="3" s="1"/>
  <c r="I595" i="3"/>
  <c r="F596" i="3"/>
  <c r="G596" i="3"/>
  <c r="H596" i="3" s="1"/>
  <c r="I596" i="3"/>
  <c r="F597" i="3"/>
  <c r="G597" i="3"/>
  <c r="H597" i="3" s="1"/>
  <c r="I597" i="3"/>
  <c r="F598" i="3"/>
  <c r="G598" i="3"/>
  <c r="H598" i="3" s="1"/>
  <c r="I598" i="3"/>
  <c r="F599" i="3"/>
  <c r="G599" i="3"/>
  <c r="H599" i="3" s="1"/>
  <c r="I599" i="3"/>
  <c r="F600" i="3"/>
  <c r="G600" i="3"/>
  <c r="H600" i="3" s="1"/>
  <c r="I600" i="3"/>
  <c r="F601" i="3"/>
  <c r="G601" i="3"/>
  <c r="H601" i="3" s="1"/>
  <c r="I601" i="3"/>
  <c r="F602" i="3"/>
  <c r="G602" i="3"/>
  <c r="H602" i="3" s="1"/>
  <c r="I602" i="3"/>
  <c r="F603" i="3"/>
  <c r="G603" i="3"/>
  <c r="H603" i="3" s="1"/>
  <c r="I603" i="3"/>
  <c r="F604" i="3"/>
  <c r="G604" i="3"/>
  <c r="H604" i="3" s="1"/>
  <c r="I604" i="3"/>
  <c r="F605" i="3"/>
  <c r="G605" i="3"/>
  <c r="H605" i="3" s="1"/>
  <c r="I605" i="3"/>
  <c r="F606" i="3"/>
  <c r="G606" i="3"/>
  <c r="H606" i="3" s="1"/>
  <c r="I606" i="3"/>
  <c r="F607" i="3"/>
  <c r="G607" i="3"/>
  <c r="H607" i="3" s="1"/>
  <c r="I607" i="3"/>
  <c r="F608" i="3"/>
  <c r="G608" i="3"/>
  <c r="H608" i="3" s="1"/>
  <c r="I608" i="3"/>
  <c r="F609" i="3"/>
  <c r="G609" i="3"/>
  <c r="H609" i="3" s="1"/>
  <c r="I609" i="3"/>
  <c r="F610" i="3"/>
  <c r="G610" i="3"/>
  <c r="H610" i="3" s="1"/>
  <c r="I610" i="3"/>
  <c r="F611" i="3"/>
  <c r="G611" i="3"/>
  <c r="H611" i="3" s="1"/>
  <c r="I611" i="3"/>
  <c r="F612" i="3"/>
  <c r="G612" i="3"/>
  <c r="H612" i="3" s="1"/>
  <c r="I612" i="3"/>
  <c r="F613" i="3"/>
  <c r="G613" i="3"/>
  <c r="H613" i="3" s="1"/>
  <c r="I613" i="3"/>
  <c r="F614" i="3"/>
  <c r="G614" i="3"/>
  <c r="H614" i="3" s="1"/>
  <c r="I614" i="3"/>
  <c r="F615" i="3"/>
  <c r="G615" i="3"/>
  <c r="H615" i="3" s="1"/>
  <c r="I615" i="3"/>
  <c r="F616" i="3"/>
  <c r="G616" i="3"/>
  <c r="H616" i="3" s="1"/>
  <c r="I616" i="3"/>
  <c r="F617" i="3"/>
  <c r="G617" i="3"/>
  <c r="H617" i="3" s="1"/>
  <c r="I617" i="3"/>
  <c r="F618" i="3"/>
  <c r="G618" i="3"/>
  <c r="H618" i="3" s="1"/>
  <c r="I618" i="3"/>
  <c r="F619" i="3"/>
  <c r="G619" i="3"/>
  <c r="H619" i="3" s="1"/>
  <c r="I619" i="3"/>
  <c r="F620" i="3"/>
  <c r="G620" i="3"/>
  <c r="H620" i="3" s="1"/>
  <c r="I620" i="3"/>
  <c r="F621" i="3"/>
  <c r="G621" i="3"/>
  <c r="H621" i="3" s="1"/>
  <c r="I621" i="3"/>
  <c r="F622" i="3"/>
  <c r="G622" i="3"/>
  <c r="H622" i="3" s="1"/>
  <c r="I622" i="3"/>
  <c r="F623" i="3"/>
  <c r="G623" i="3"/>
  <c r="H623" i="3" s="1"/>
  <c r="I623" i="3"/>
  <c r="F624" i="3"/>
  <c r="G624" i="3"/>
  <c r="H624" i="3" s="1"/>
  <c r="I624" i="3"/>
  <c r="F625" i="3"/>
  <c r="G625" i="3"/>
  <c r="H625" i="3" s="1"/>
  <c r="I625" i="3"/>
  <c r="F626" i="3"/>
  <c r="G626" i="3"/>
  <c r="H626" i="3" s="1"/>
  <c r="I626" i="3"/>
  <c r="F627" i="3"/>
  <c r="G627" i="3"/>
  <c r="H627" i="3" s="1"/>
  <c r="I627" i="3"/>
  <c r="F628" i="3"/>
  <c r="G628" i="3"/>
  <c r="H628" i="3" s="1"/>
  <c r="I628" i="3"/>
  <c r="F629" i="3"/>
  <c r="G629" i="3"/>
  <c r="H629" i="3" s="1"/>
  <c r="I629" i="3"/>
  <c r="F630" i="3"/>
  <c r="G630" i="3"/>
  <c r="H630" i="3" s="1"/>
  <c r="I630" i="3"/>
  <c r="F631" i="3"/>
  <c r="G631" i="3"/>
  <c r="H631" i="3" s="1"/>
  <c r="I631" i="3"/>
  <c r="F632" i="3"/>
  <c r="G632" i="3"/>
  <c r="H632" i="3" s="1"/>
  <c r="I632" i="3"/>
  <c r="F633" i="3"/>
  <c r="G633" i="3"/>
  <c r="H633" i="3" s="1"/>
  <c r="I633" i="3"/>
  <c r="F634" i="3"/>
  <c r="G634" i="3"/>
  <c r="H634" i="3" s="1"/>
  <c r="I634" i="3"/>
  <c r="F635" i="3"/>
  <c r="G635" i="3"/>
  <c r="H635" i="3" s="1"/>
  <c r="I635" i="3"/>
  <c r="F636" i="3"/>
  <c r="G636" i="3"/>
  <c r="H636" i="3" s="1"/>
  <c r="I636" i="3"/>
  <c r="F637" i="3"/>
  <c r="G637" i="3"/>
  <c r="H637" i="3" s="1"/>
  <c r="I637" i="3"/>
  <c r="F638" i="3"/>
  <c r="G638" i="3"/>
  <c r="H638" i="3" s="1"/>
  <c r="I638" i="3"/>
  <c r="F639" i="3"/>
  <c r="G639" i="3"/>
  <c r="H639" i="3" s="1"/>
  <c r="I639" i="3"/>
  <c r="F640" i="3"/>
  <c r="G640" i="3"/>
  <c r="H640" i="3" s="1"/>
  <c r="I640" i="3"/>
  <c r="F641" i="3"/>
  <c r="G641" i="3"/>
  <c r="H641" i="3" s="1"/>
  <c r="I641" i="3"/>
  <c r="F642" i="3"/>
  <c r="G642" i="3"/>
  <c r="H642" i="3" s="1"/>
  <c r="I642" i="3"/>
  <c r="F643" i="3"/>
  <c r="G643" i="3"/>
  <c r="H643" i="3" s="1"/>
  <c r="I643" i="3"/>
  <c r="F644" i="3"/>
  <c r="G644" i="3"/>
  <c r="H644" i="3" s="1"/>
  <c r="I644" i="3"/>
  <c r="F645" i="3"/>
  <c r="G645" i="3"/>
  <c r="H645" i="3" s="1"/>
  <c r="I645" i="3"/>
  <c r="F646" i="3"/>
  <c r="G646" i="3"/>
  <c r="H646" i="3" s="1"/>
  <c r="I646" i="3"/>
  <c r="F647" i="3"/>
  <c r="G647" i="3"/>
  <c r="H647" i="3" s="1"/>
  <c r="I647" i="3"/>
  <c r="F648" i="3"/>
  <c r="G648" i="3"/>
  <c r="H648" i="3" s="1"/>
  <c r="I648" i="3"/>
  <c r="F649" i="3"/>
  <c r="G649" i="3"/>
  <c r="H649" i="3" s="1"/>
  <c r="I649" i="3"/>
  <c r="F650" i="3"/>
  <c r="G650" i="3"/>
  <c r="H650" i="3" s="1"/>
  <c r="I650" i="3"/>
  <c r="F651" i="3"/>
  <c r="G651" i="3"/>
  <c r="H651" i="3" s="1"/>
  <c r="I651" i="3"/>
  <c r="F652" i="3"/>
  <c r="G652" i="3"/>
  <c r="H652" i="3" s="1"/>
  <c r="I652" i="3"/>
  <c r="F653" i="3"/>
  <c r="G653" i="3"/>
  <c r="H653" i="3" s="1"/>
  <c r="I653" i="3"/>
  <c r="F654" i="3"/>
  <c r="G654" i="3"/>
  <c r="H654" i="3" s="1"/>
  <c r="I654" i="3"/>
  <c r="F655" i="3"/>
  <c r="G655" i="3"/>
  <c r="H655" i="3" s="1"/>
  <c r="I655" i="3"/>
  <c r="F656" i="3"/>
  <c r="G656" i="3"/>
  <c r="H656" i="3" s="1"/>
  <c r="I656" i="3"/>
  <c r="F657" i="3"/>
  <c r="G657" i="3"/>
  <c r="H657" i="3" s="1"/>
  <c r="I657" i="3"/>
  <c r="F658" i="3"/>
  <c r="G658" i="3"/>
  <c r="H658" i="3" s="1"/>
  <c r="I658" i="3"/>
  <c r="F659" i="3"/>
  <c r="G659" i="3"/>
  <c r="H659" i="3" s="1"/>
  <c r="I659" i="3"/>
  <c r="F660" i="3"/>
  <c r="G660" i="3"/>
  <c r="H660" i="3" s="1"/>
  <c r="I660" i="3"/>
  <c r="F661" i="3"/>
  <c r="G661" i="3"/>
  <c r="H661" i="3" s="1"/>
  <c r="I661" i="3"/>
  <c r="F662" i="3"/>
  <c r="G662" i="3"/>
  <c r="H662" i="3" s="1"/>
  <c r="I662" i="3"/>
  <c r="F663" i="3"/>
  <c r="G663" i="3"/>
  <c r="H663" i="3" s="1"/>
  <c r="I663" i="3"/>
  <c r="F664" i="3"/>
  <c r="G664" i="3"/>
  <c r="H664" i="3" s="1"/>
  <c r="I664" i="3"/>
  <c r="F665" i="3"/>
  <c r="G665" i="3"/>
  <c r="H665" i="3" s="1"/>
  <c r="I665" i="3"/>
  <c r="F666" i="3"/>
  <c r="G666" i="3"/>
  <c r="H666" i="3" s="1"/>
  <c r="I666" i="3"/>
  <c r="F667" i="3"/>
  <c r="G667" i="3"/>
  <c r="H667" i="3" s="1"/>
  <c r="I667" i="3"/>
  <c r="F668" i="3"/>
  <c r="G668" i="3"/>
  <c r="H668" i="3" s="1"/>
  <c r="I668" i="3"/>
  <c r="F669" i="3"/>
  <c r="G669" i="3"/>
  <c r="H669" i="3" s="1"/>
  <c r="I669" i="3"/>
  <c r="F670" i="3"/>
  <c r="G670" i="3"/>
  <c r="H670" i="3" s="1"/>
  <c r="I670" i="3"/>
  <c r="F671" i="3"/>
  <c r="G671" i="3"/>
  <c r="H671" i="3" s="1"/>
  <c r="I671" i="3"/>
  <c r="F672" i="3"/>
  <c r="G672" i="3"/>
  <c r="H672" i="3" s="1"/>
  <c r="I672" i="3"/>
  <c r="F673" i="3"/>
  <c r="G673" i="3"/>
  <c r="H673" i="3" s="1"/>
  <c r="I673" i="3"/>
  <c r="F674" i="3"/>
  <c r="G674" i="3"/>
  <c r="H674" i="3" s="1"/>
  <c r="I674" i="3"/>
  <c r="F675" i="3"/>
  <c r="G675" i="3"/>
  <c r="H675" i="3" s="1"/>
  <c r="I675" i="3"/>
  <c r="F676" i="3"/>
  <c r="G676" i="3"/>
  <c r="H676" i="3" s="1"/>
  <c r="I676" i="3"/>
  <c r="F677" i="3"/>
  <c r="G677" i="3"/>
  <c r="H677" i="3" s="1"/>
  <c r="I677" i="3"/>
  <c r="F678" i="3"/>
  <c r="G678" i="3"/>
  <c r="H678" i="3" s="1"/>
  <c r="I678" i="3"/>
  <c r="F679" i="3"/>
  <c r="G679" i="3"/>
  <c r="H679" i="3" s="1"/>
  <c r="I679" i="3"/>
  <c r="F680" i="3"/>
  <c r="G680" i="3"/>
  <c r="H680" i="3" s="1"/>
  <c r="I680" i="3"/>
  <c r="F681" i="3"/>
  <c r="G681" i="3"/>
  <c r="H681" i="3" s="1"/>
  <c r="I681" i="3"/>
  <c r="F682" i="3"/>
  <c r="G682" i="3"/>
  <c r="H682" i="3" s="1"/>
  <c r="I682" i="3"/>
  <c r="F683" i="3"/>
  <c r="G683" i="3"/>
  <c r="H683" i="3" s="1"/>
  <c r="I683" i="3"/>
  <c r="F684" i="3"/>
  <c r="G684" i="3"/>
  <c r="H684" i="3" s="1"/>
  <c r="I684" i="3"/>
  <c r="F685" i="3"/>
  <c r="G685" i="3"/>
  <c r="H685" i="3" s="1"/>
  <c r="I685" i="3"/>
  <c r="F686" i="3"/>
  <c r="G686" i="3"/>
  <c r="H686" i="3" s="1"/>
  <c r="I686" i="3"/>
  <c r="F687" i="3"/>
  <c r="G687" i="3"/>
  <c r="H687" i="3" s="1"/>
  <c r="I687" i="3"/>
  <c r="F688" i="3"/>
  <c r="G688" i="3"/>
  <c r="H688" i="3" s="1"/>
  <c r="I688" i="3"/>
  <c r="F689" i="3"/>
  <c r="G689" i="3"/>
  <c r="H689" i="3" s="1"/>
  <c r="I689" i="3"/>
  <c r="F690" i="3"/>
  <c r="G690" i="3"/>
  <c r="H690" i="3" s="1"/>
  <c r="I690" i="3"/>
  <c r="F691" i="3"/>
  <c r="G691" i="3"/>
  <c r="H691" i="3" s="1"/>
  <c r="I691" i="3"/>
  <c r="F692" i="3"/>
  <c r="G692" i="3"/>
  <c r="H692" i="3" s="1"/>
  <c r="I692" i="3"/>
  <c r="F693" i="3"/>
  <c r="G693" i="3"/>
  <c r="H693" i="3" s="1"/>
  <c r="I693" i="3"/>
  <c r="F694" i="3"/>
  <c r="G694" i="3"/>
  <c r="H694" i="3" s="1"/>
  <c r="I694" i="3"/>
  <c r="F695" i="3"/>
  <c r="G695" i="3"/>
  <c r="H695" i="3" s="1"/>
  <c r="I695" i="3"/>
  <c r="F696" i="3"/>
  <c r="G696" i="3"/>
  <c r="H696" i="3" s="1"/>
  <c r="I696" i="3"/>
  <c r="F697" i="3"/>
  <c r="G697" i="3"/>
  <c r="H697" i="3" s="1"/>
  <c r="I697" i="3"/>
  <c r="F698" i="3"/>
  <c r="G698" i="3"/>
  <c r="H698" i="3" s="1"/>
  <c r="I698" i="3"/>
  <c r="F699" i="3"/>
  <c r="G699" i="3"/>
  <c r="H699" i="3" s="1"/>
  <c r="I699" i="3"/>
  <c r="F700" i="3"/>
  <c r="G700" i="3"/>
  <c r="H700" i="3" s="1"/>
  <c r="I700" i="3"/>
  <c r="F701" i="3"/>
  <c r="G701" i="3"/>
  <c r="H701" i="3" s="1"/>
  <c r="I701" i="3"/>
  <c r="F702" i="3"/>
  <c r="G702" i="3"/>
  <c r="H702" i="3" s="1"/>
  <c r="I702" i="3"/>
  <c r="F703" i="3"/>
  <c r="G703" i="3"/>
  <c r="H703" i="3" s="1"/>
  <c r="I703" i="3"/>
  <c r="F704" i="3"/>
  <c r="G704" i="3"/>
  <c r="H704" i="3" s="1"/>
  <c r="I704" i="3"/>
  <c r="F705" i="3"/>
  <c r="G705" i="3"/>
  <c r="H705" i="3" s="1"/>
  <c r="I705" i="3"/>
  <c r="F706" i="3"/>
  <c r="G706" i="3"/>
  <c r="H706" i="3" s="1"/>
  <c r="I706" i="3"/>
  <c r="F707" i="3"/>
  <c r="G707" i="3"/>
  <c r="H707" i="3" s="1"/>
  <c r="I707" i="3"/>
  <c r="F708" i="3"/>
  <c r="G708" i="3"/>
  <c r="H708" i="3" s="1"/>
  <c r="I708" i="3"/>
  <c r="F709" i="3"/>
  <c r="G709" i="3"/>
  <c r="H709" i="3" s="1"/>
  <c r="I709" i="3"/>
  <c r="F710" i="3"/>
  <c r="G710" i="3"/>
  <c r="H710" i="3" s="1"/>
  <c r="I710" i="3"/>
  <c r="F711" i="3"/>
  <c r="G711" i="3"/>
  <c r="H711" i="3" s="1"/>
  <c r="I711" i="3"/>
  <c r="F712" i="3"/>
  <c r="G712" i="3"/>
  <c r="H712" i="3" s="1"/>
  <c r="I712" i="3"/>
  <c r="F713" i="3"/>
  <c r="G713" i="3"/>
  <c r="H713" i="3" s="1"/>
  <c r="I713" i="3"/>
  <c r="F714" i="3"/>
  <c r="G714" i="3"/>
  <c r="H714" i="3" s="1"/>
  <c r="I714" i="3"/>
  <c r="F715" i="3"/>
  <c r="G715" i="3"/>
  <c r="H715" i="3" s="1"/>
  <c r="I715" i="3"/>
  <c r="F716" i="3"/>
  <c r="G716" i="3"/>
  <c r="H716" i="3" s="1"/>
  <c r="I716" i="3"/>
  <c r="F717" i="3"/>
  <c r="G717" i="3"/>
  <c r="H717" i="3" s="1"/>
  <c r="I717" i="3"/>
  <c r="F718" i="3"/>
  <c r="G718" i="3"/>
  <c r="H718" i="3" s="1"/>
  <c r="I718" i="3"/>
  <c r="F719" i="3"/>
  <c r="G719" i="3"/>
  <c r="H719" i="3" s="1"/>
  <c r="I719" i="3"/>
  <c r="F720" i="3"/>
  <c r="G720" i="3"/>
  <c r="H720" i="3" s="1"/>
  <c r="I720" i="3"/>
  <c r="F721" i="3"/>
  <c r="G721" i="3"/>
  <c r="H721" i="3" s="1"/>
  <c r="I721" i="3"/>
  <c r="F722" i="3"/>
  <c r="G722" i="3"/>
  <c r="H722" i="3" s="1"/>
  <c r="I722" i="3"/>
  <c r="F723" i="3"/>
  <c r="G723" i="3"/>
  <c r="H723" i="3" s="1"/>
  <c r="I723" i="3"/>
  <c r="F724" i="3"/>
  <c r="G724" i="3"/>
  <c r="H724" i="3" s="1"/>
  <c r="I724" i="3"/>
  <c r="F725" i="3"/>
  <c r="G725" i="3"/>
  <c r="H725" i="3" s="1"/>
  <c r="I725" i="3"/>
  <c r="F726" i="3"/>
  <c r="G726" i="3"/>
  <c r="H726" i="3" s="1"/>
  <c r="I726" i="3"/>
  <c r="F727" i="3"/>
  <c r="G727" i="3"/>
  <c r="H727" i="3" s="1"/>
  <c r="I727" i="3"/>
  <c r="F728" i="3"/>
  <c r="G728" i="3"/>
  <c r="H728" i="3" s="1"/>
  <c r="I728" i="3"/>
  <c r="F729" i="3"/>
  <c r="G729" i="3"/>
  <c r="H729" i="3" s="1"/>
  <c r="I729" i="3"/>
  <c r="F730" i="3"/>
  <c r="G730" i="3"/>
  <c r="H730" i="3" s="1"/>
  <c r="I730" i="3"/>
  <c r="F731" i="3"/>
  <c r="G731" i="3"/>
  <c r="H731" i="3" s="1"/>
  <c r="I731" i="3"/>
  <c r="F732" i="3"/>
  <c r="G732" i="3"/>
  <c r="H732" i="3" s="1"/>
  <c r="I732" i="3"/>
  <c r="F733" i="3"/>
  <c r="G733" i="3"/>
  <c r="H733" i="3" s="1"/>
  <c r="I733" i="3"/>
  <c r="F734" i="3"/>
  <c r="G734" i="3"/>
  <c r="H734" i="3" s="1"/>
  <c r="I734" i="3"/>
  <c r="F735" i="3"/>
  <c r="G735" i="3"/>
  <c r="H735" i="3" s="1"/>
  <c r="I735" i="3"/>
  <c r="F736" i="3"/>
  <c r="G736" i="3"/>
  <c r="H736" i="3" s="1"/>
  <c r="I736" i="3"/>
  <c r="F737" i="3"/>
  <c r="G737" i="3"/>
  <c r="H737" i="3" s="1"/>
  <c r="I737" i="3"/>
  <c r="F738" i="3"/>
  <c r="G738" i="3"/>
  <c r="H738" i="3" s="1"/>
  <c r="I738" i="3"/>
  <c r="F739" i="3"/>
  <c r="G739" i="3"/>
  <c r="H739" i="3" s="1"/>
  <c r="I739" i="3"/>
  <c r="F740" i="3"/>
  <c r="G740" i="3"/>
  <c r="H740" i="3" s="1"/>
  <c r="I740" i="3"/>
  <c r="F741" i="3"/>
  <c r="G741" i="3"/>
  <c r="H741" i="3" s="1"/>
  <c r="I741" i="3"/>
  <c r="F742" i="3"/>
  <c r="G742" i="3"/>
  <c r="H742" i="3" s="1"/>
  <c r="I742" i="3"/>
  <c r="F743" i="3"/>
  <c r="G743" i="3"/>
  <c r="H743" i="3" s="1"/>
  <c r="I743" i="3"/>
  <c r="F744" i="3"/>
  <c r="G744" i="3"/>
  <c r="H744" i="3" s="1"/>
  <c r="I744" i="3"/>
  <c r="F745" i="3"/>
  <c r="G745" i="3"/>
  <c r="H745" i="3" s="1"/>
  <c r="I745" i="3"/>
  <c r="F746" i="3"/>
  <c r="G746" i="3"/>
  <c r="H746" i="3" s="1"/>
  <c r="I746" i="3"/>
  <c r="F747" i="3"/>
  <c r="G747" i="3"/>
  <c r="H747" i="3" s="1"/>
  <c r="I747" i="3"/>
  <c r="F748" i="3"/>
  <c r="G748" i="3"/>
  <c r="H748" i="3" s="1"/>
  <c r="I748" i="3"/>
  <c r="F749" i="3"/>
  <c r="G749" i="3"/>
  <c r="H749" i="3" s="1"/>
  <c r="I749" i="3"/>
  <c r="F750" i="3"/>
  <c r="G750" i="3"/>
  <c r="H750" i="3" s="1"/>
  <c r="I750" i="3"/>
  <c r="F751" i="3"/>
  <c r="G751" i="3"/>
  <c r="H751" i="3" s="1"/>
  <c r="I751" i="3"/>
  <c r="F752" i="3"/>
  <c r="G752" i="3"/>
  <c r="H752" i="3" s="1"/>
  <c r="I752" i="3"/>
  <c r="F753" i="3"/>
  <c r="G753" i="3"/>
  <c r="H753" i="3" s="1"/>
  <c r="I753" i="3"/>
  <c r="F754" i="3"/>
  <c r="G754" i="3"/>
  <c r="H754" i="3" s="1"/>
  <c r="I754" i="3"/>
  <c r="F755" i="3"/>
  <c r="G755" i="3"/>
  <c r="H755" i="3" s="1"/>
  <c r="I755" i="3"/>
  <c r="F756" i="3"/>
  <c r="G756" i="3"/>
  <c r="H756" i="3" s="1"/>
  <c r="I756" i="3"/>
  <c r="F757" i="3"/>
  <c r="G757" i="3"/>
  <c r="H757" i="3" s="1"/>
  <c r="I757" i="3"/>
  <c r="F758" i="3"/>
  <c r="G758" i="3"/>
  <c r="H758" i="3" s="1"/>
  <c r="I758" i="3"/>
  <c r="F759" i="3"/>
  <c r="G759" i="3"/>
  <c r="H759" i="3" s="1"/>
  <c r="I759" i="3"/>
  <c r="F760" i="3"/>
  <c r="G760" i="3"/>
  <c r="H760" i="3" s="1"/>
  <c r="I760" i="3"/>
  <c r="F761" i="3"/>
  <c r="G761" i="3"/>
  <c r="H761" i="3" s="1"/>
  <c r="I761" i="3"/>
  <c r="F762" i="3"/>
  <c r="G762" i="3"/>
  <c r="H762" i="3" s="1"/>
  <c r="I762" i="3"/>
  <c r="F763" i="3"/>
  <c r="G763" i="3"/>
  <c r="H763" i="3" s="1"/>
  <c r="I763" i="3"/>
  <c r="F764" i="3"/>
  <c r="G764" i="3"/>
  <c r="H764" i="3" s="1"/>
  <c r="I764" i="3"/>
  <c r="F765" i="3"/>
  <c r="G765" i="3"/>
  <c r="H765" i="3" s="1"/>
  <c r="I765" i="3"/>
  <c r="F766" i="3"/>
  <c r="G766" i="3"/>
  <c r="H766" i="3" s="1"/>
  <c r="I766" i="3"/>
  <c r="F767" i="3"/>
  <c r="G767" i="3"/>
  <c r="H767" i="3" s="1"/>
  <c r="I767" i="3"/>
  <c r="F768" i="3"/>
  <c r="G768" i="3"/>
  <c r="H768" i="3" s="1"/>
  <c r="I768" i="3"/>
  <c r="F769" i="3"/>
  <c r="G769" i="3"/>
  <c r="H769" i="3" s="1"/>
  <c r="I769" i="3"/>
  <c r="F770" i="3"/>
  <c r="G770" i="3"/>
  <c r="H770" i="3" s="1"/>
  <c r="I770" i="3"/>
  <c r="F771" i="3"/>
  <c r="G771" i="3"/>
  <c r="H771" i="3" s="1"/>
  <c r="I771" i="3"/>
  <c r="F772" i="3"/>
  <c r="G772" i="3"/>
  <c r="H772" i="3" s="1"/>
  <c r="I772" i="3"/>
  <c r="F773" i="3"/>
  <c r="G773" i="3"/>
  <c r="H773" i="3" s="1"/>
  <c r="I773" i="3"/>
  <c r="F774" i="3"/>
  <c r="G774" i="3"/>
  <c r="H774" i="3" s="1"/>
  <c r="I774" i="3"/>
  <c r="F775" i="3"/>
  <c r="G775" i="3"/>
  <c r="H775" i="3" s="1"/>
  <c r="I775" i="3"/>
  <c r="F776" i="3"/>
  <c r="G776" i="3"/>
  <c r="H776" i="3" s="1"/>
  <c r="I776" i="3"/>
  <c r="F777" i="3"/>
  <c r="G777" i="3"/>
  <c r="H777" i="3" s="1"/>
  <c r="I777" i="3"/>
  <c r="F778" i="3"/>
  <c r="G778" i="3"/>
  <c r="H778" i="3" s="1"/>
  <c r="I778" i="3"/>
  <c r="F779" i="3"/>
  <c r="G779" i="3"/>
  <c r="H779" i="3" s="1"/>
  <c r="I779" i="3"/>
  <c r="F780" i="3"/>
  <c r="G780" i="3"/>
  <c r="H780" i="3" s="1"/>
  <c r="I780" i="3"/>
  <c r="F781" i="3"/>
  <c r="G781" i="3"/>
  <c r="H781" i="3" s="1"/>
  <c r="I781" i="3"/>
  <c r="F782" i="3"/>
  <c r="G782" i="3"/>
  <c r="H782" i="3" s="1"/>
  <c r="I782" i="3"/>
  <c r="F783" i="3"/>
  <c r="G783" i="3"/>
  <c r="H783" i="3" s="1"/>
  <c r="I783" i="3"/>
  <c r="F784" i="3"/>
  <c r="G784" i="3"/>
  <c r="H784" i="3" s="1"/>
  <c r="I784" i="3"/>
  <c r="F785" i="3"/>
  <c r="G785" i="3"/>
  <c r="H785" i="3" s="1"/>
  <c r="I785" i="3"/>
  <c r="F786" i="3"/>
  <c r="G786" i="3"/>
  <c r="H786" i="3" s="1"/>
  <c r="I786" i="3"/>
  <c r="F787" i="3"/>
  <c r="G787" i="3"/>
  <c r="H787" i="3" s="1"/>
  <c r="I787" i="3"/>
  <c r="F788" i="3"/>
  <c r="G788" i="3"/>
  <c r="H788" i="3" s="1"/>
  <c r="I788" i="3"/>
  <c r="F789" i="3"/>
  <c r="G789" i="3"/>
  <c r="H789" i="3" s="1"/>
  <c r="I789" i="3"/>
  <c r="F790" i="3"/>
  <c r="G790" i="3"/>
  <c r="H790" i="3" s="1"/>
  <c r="I790" i="3"/>
  <c r="F791" i="3"/>
  <c r="G791" i="3"/>
  <c r="H791" i="3" s="1"/>
  <c r="I791" i="3"/>
  <c r="F792" i="3"/>
  <c r="G792" i="3"/>
  <c r="H792" i="3" s="1"/>
  <c r="I792" i="3"/>
  <c r="F793" i="3"/>
  <c r="G793" i="3"/>
  <c r="H793" i="3" s="1"/>
  <c r="I793" i="3"/>
  <c r="F794" i="3"/>
  <c r="G794" i="3"/>
  <c r="H794" i="3" s="1"/>
  <c r="I794" i="3"/>
  <c r="F795" i="3"/>
  <c r="G795" i="3"/>
  <c r="H795" i="3" s="1"/>
  <c r="I795" i="3"/>
  <c r="F796" i="3"/>
  <c r="G796" i="3"/>
  <c r="H796" i="3" s="1"/>
  <c r="I796" i="3"/>
  <c r="F797" i="3"/>
  <c r="G797" i="3"/>
  <c r="H797" i="3" s="1"/>
  <c r="I797" i="3"/>
  <c r="F798" i="3"/>
  <c r="G798" i="3"/>
  <c r="H798" i="3" s="1"/>
  <c r="I798" i="3"/>
  <c r="F799" i="3"/>
  <c r="G799" i="3"/>
  <c r="H799" i="3" s="1"/>
  <c r="I799" i="3"/>
  <c r="F800" i="3"/>
  <c r="G800" i="3"/>
  <c r="H800" i="3" s="1"/>
  <c r="I800" i="3"/>
  <c r="F801" i="3"/>
  <c r="G801" i="3"/>
  <c r="H801" i="3" s="1"/>
  <c r="I801" i="3"/>
  <c r="F802" i="3"/>
  <c r="G802" i="3"/>
  <c r="H802" i="3" s="1"/>
  <c r="I802" i="3"/>
  <c r="F803" i="3"/>
  <c r="G803" i="3"/>
  <c r="H803" i="3" s="1"/>
  <c r="I803" i="3"/>
  <c r="F804" i="3"/>
  <c r="G804" i="3"/>
  <c r="H804" i="3" s="1"/>
  <c r="I804" i="3"/>
  <c r="F805" i="3"/>
  <c r="G805" i="3"/>
  <c r="H805" i="3" s="1"/>
  <c r="I805" i="3"/>
  <c r="F806" i="3"/>
  <c r="G806" i="3"/>
  <c r="H806" i="3" s="1"/>
  <c r="I806" i="3"/>
  <c r="F807" i="3"/>
  <c r="G807" i="3"/>
  <c r="H807" i="3" s="1"/>
  <c r="I807" i="3"/>
  <c r="F808" i="3"/>
  <c r="G808" i="3"/>
  <c r="H808" i="3" s="1"/>
  <c r="I808" i="3"/>
  <c r="F809" i="3"/>
  <c r="G809" i="3"/>
  <c r="H809" i="3" s="1"/>
  <c r="I809" i="3"/>
  <c r="F810" i="3"/>
  <c r="G810" i="3"/>
  <c r="H810" i="3" s="1"/>
  <c r="I810" i="3"/>
  <c r="F811" i="3"/>
  <c r="G811" i="3"/>
  <c r="H811" i="3" s="1"/>
  <c r="I811" i="3"/>
  <c r="F812" i="3"/>
  <c r="G812" i="3"/>
  <c r="H812" i="3" s="1"/>
  <c r="I812" i="3"/>
  <c r="F813" i="3"/>
  <c r="G813" i="3"/>
  <c r="H813" i="3" s="1"/>
  <c r="I813" i="3"/>
  <c r="F814" i="3"/>
  <c r="G814" i="3"/>
  <c r="H814" i="3"/>
  <c r="I814" i="3"/>
  <c r="F815" i="3"/>
  <c r="G815" i="3"/>
  <c r="H815" i="3"/>
  <c r="I815" i="3"/>
  <c r="F816" i="3"/>
  <c r="G816" i="3"/>
  <c r="H816" i="3" s="1"/>
  <c r="I816" i="3"/>
  <c r="F817" i="3"/>
  <c r="G817" i="3"/>
  <c r="H817" i="3" s="1"/>
  <c r="I817" i="3"/>
  <c r="F818" i="3"/>
  <c r="G818" i="3"/>
  <c r="H818" i="3" s="1"/>
  <c r="I818" i="3"/>
  <c r="F819" i="3"/>
  <c r="G819" i="3"/>
  <c r="H819" i="3" s="1"/>
  <c r="I819" i="3"/>
  <c r="F820" i="3"/>
  <c r="G820" i="3"/>
  <c r="H820" i="3" s="1"/>
  <c r="I820" i="3"/>
  <c r="F821" i="3"/>
  <c r="G821" i="3"/>
  <c r="H821" i="3" s="1"/>
  <c r="I821" i="3"/>
  <c r="F822" i="3"/>
  <c r="G822" i="3"/>
  <c r="H822" i="3" s="1"/>
  <c r="I822" i="3"/>
  <c r="F823" i="3"/>
  <c r="G823" i="3"/>
  <c r="H823" i="3" s="1"/>
  <c r="I823" i="3"/>
  <c r="F824" i="3"/>
  <c r="G824" i="3"/>
  <c r="H824" i="3" s="1"/>
  <c r="I824" i="3"/>
  <c r="F825" i="3"/>
  <c r="G825" i="3"/>
  <c r="H825" i="3" s="1"/>
  <c r="I825" i="3"/>
  <c r="F826" i="3"/>
  <c r="G826" i="3"/>
  <c r="H826" i="3" s="1"/>
  <c r="I826" i="3"/>
  <c r="F827" i="3"/>
  <c r="G827" i="3"/>
  <c r="H827" i="3" s="1"/>
  <c r="I827" i="3"/>
  <c r="F828" i="3"/>
  <c r="G828" i="3"/>
  <c r="H828" i="3" s="1"/>
  <c r="I828" i="3"/>
  <c r="F829" i="3"/>
  <c r="G829" i="3"/>
  <c r="H829" i="3" s="1"/>
  <c r="I829" i="3"/>
  <c r="F830" i="3"/>
  <c r="G830" i="3"/>
  <c r="H830" i="3" s="1"/>
  <c r="I830" i="3"/>
  <c r="F831" i="3"/>
  <c r="G831" i="3"/>
  <c r="H831" i="3" s="1"/>
  <c r="I831" i="3"/>
  <c r="F832" i="3"/>
  <c r="G832" i="3"/>
  <c r="H832" i="3" s="1"/>
  <c r="I832" i="3"/>
  <c r="F833" i="3"/>
  <c r="G833" i="3"/>
  <c r="H833" i="3" s="1"/>
  <c r="I833" i="3"/>
  <c r="F834" i="3"/>
  <c r="G834" i="3"/>
  <c r="H834" i="3" s="1"/>
  <c r="I834" i="3"/>
  <c r="F835" i="3"/>
  <c r="G835" i="3"/>
  <c r="H835" i="3" s="1"/>
  <c r="I835" i="3"/>
  <c r="F836" i="3"/>
  <c r="G836" i="3"/>
  <c r="H836" i="3" s="1"/>
  <c r="I836" i="3"/>
  <c r="F837" i="3"/>
  <c r="G837" i="3"/>
  <c r="H837" i="3" s="1"/>
  <c r="I837" i="3"/>
  <c r="F838" i="3"/>
  <c r="G838" i="3"/>
  <c r="H838" i="3" s="1"/>
  <c r="I838" i="3"/>
  <c r="F839" i="3"/>
  <c r="G839" i="3"/>
  <c r="H839" i="3" s="1"/>
  <c r="I839" i="3"/>
  <c r="F840" i="3"/>
  <c r="G840" i="3"/>
  <c r="H840" i="3" s="1"/>
  <c r="I840" i="3"/>
  <c r="F841" i="3"/>
  <c r="G841" i="3"/>
  <c r="H841" i="3" s="1"/>
  <c r="I841" i="3"/>
  <c r="F842" i="3"/>
  <c r="G842" i="3"/>
  <c r="H842" i="3" s="1"/>
  <c r="I842" i="3"/>
  <c r="F843" i="3"/>
  <c r="G843" i="3"/>
  <c r="H843" i="3" s="1"/>
  <c r="I843" i="3"/>
  <c r="F844" i="3"/>
  <c r="G844" i="3"/>
  <c r="H844" i="3" s="1"/>
  <c r="I844" i="3"/>
  <c r="F845" i="3"/>
  <c r="G845" i="3"/>
  <c r="H845" i="3" s="1"/>
  <c r="I845" i="3"/>
  <c r="F846" i="3"/>
  <c r="G846" i="3"/>
  <c r="H846" i="3" s="1"/>
  <c r="I846" i="3"/>
  <c r="F847" i="3"/>
  <c r="G847" i="3"/>
  <c r="H847" i="3" s="1"/>
  <c r="I847" i="3"/>
  <c r="F848" i="3"/>
  <c r="G848" i="3"/>
  <c r="H848" i="3" s="1"/>
  <c r="I848" i="3"/>
  <c r="F849" i="3"/>
  <c r="G849" i="3"/>
  <c r="H849" i="3" s="1"/>
  <c r="I849" i="3"/>
  <c r="F850" i="3"/>
  <c r="G850" i="3"/>
  <c r="H850" i="3" s="1"/>
  <c r="I850" i="3"/>
  <c r="F851" i="3"/>
  <c r="G851" i="3"/>
  <c r="H851" i="3" s="1"/>
  <c r="I851" i="3"/>
  <c r="F852" i="3"/>
  <c r="G852" i="3"/>
  <c r="H852" i="3" s="1"/>
  <c r="I852" i="3"/>
  <c r="F853" i="3"/>
  <c r="G853" i="3"/>
  <c r="H853" i="3" s="1"/>
  <c r="I853" i="3"/>
  <c r="F854" i="3"/>
  <c r="G854" i="3"/>
  <c r="H854" i="3" s="1"/>
  <c r="I854" i="3"/>
  <c r="F855" i="3"/>
  <c r="G855" i="3"/>
  <c r="H855" i="3" s="1"/>
  <c r="I855" i="3"/>
  <c r="F856" i="3"/>
  <c r="G856" i="3"/>
  <c r="H856" i="3" s="1"/>
  <c r="I856" i="3"/>
  <c r="F857" i="3"/>
  <c r="G857" i="3"/>
  <c r="H857" i="3" s="1"/>
  <c r="I857" i="3"/>
  <c r="F858" i="3"/>
  <c r="G858" i="3"/>
  <c r="H858" i="3" s="1"/>
  <c r="I858" i="3"/>
  <c r="F859" i="3"/>
  <c r="G859" i="3"/>
  <c r="H859" i="3" s="1"/>
  <c r="I859" i="3"/>
  <c r="F860" i="3"/>
  <c r="G860" i="3"/>
  <c r="H860" i="3" s="1"/>
  <c r="I860" i="3"/>
  <c r="F861" i="3"/>
  <c r="G861" i="3"/>
  <c r="H861" i="3" s="1"/>
  <c r="I861" i="3"/>
  <c r="F862" i="3"/>
  <c r="G862" i="3"/>
  <c r="H862" i="3" s="1"/>
  <c r="I862" i="3"/>
  <c r="F863" i="3"/>
  <c r="G863" i="3"/>
  <c r="H863" i="3" s="1"/>
  <c r="I863" i="3"/>
  <c r="F864" i="3"/>
  <c r="G864" i="3"/>
  <c r="H864" i="3" s="1"/>
  <c r="I864" i="3"/>
  <c r="F865" i="3"/>
  <c r="G865" i="3"/>
  <c r="H865" i="3" s="1"/>
  <c r="I865" i="3"/>
  <c r="F866" i="3"/>
  <c r="G866" i="3"/>
  <c r="H866" i="3" s="1"/>
  <c r="I866" i="3"/>
  <c r="F867" i="3"/>
  <c r="G867" i="3"/>
  <c r="H867" i="3" s="1"/>
  <c r="I867" i="3"/>
  <c r="F868" i="3"/>
  <c r="G868" i="3"/>
  <c r="H868" i="3" s="1"/>
  <c r="I868" i="3"/>
  <c r="F869" i="3"/>
  <c r="G869" i="3"/>
  <c r="H869" i="3" s="1"/>
  <c r="I869" i="3"/>
  <c r="F870" i="3"/>
  <c r="G870" i="3"/>
  <c r="H870" i="3" s="1"/>
  <c r="I870" i="3"/>
  <c r="F871" i="3"/>
  <c r="G871" i="3"/>
  <c r="H871" i="3" s="1"/>
  <c r="I871" i="3"/>
  <c r="F872" i="3"/>
  <c r="G872" i="3"/>
  <c r="H872" i="3" s="1"/>
  <c r="I872" i="3"/>
  <c r="F873" i="3"/>
  <c r="G873" i="3"/>
  <c r="H873" i="3" s="1"/>
  <c r="I873" i="3"/>
  <c r="F874" i="3"/>
  <c r="G874" i="3"/>
  <c r="H874" i="3" s="1"/>
  <c r="I874" i="3"/>
  <c r="F875" i="3"/>
  <c r="G875" i="3"/>
  <c r="H875" i="3" s="1"/>
  <c r="I875" i="3"/>
  <c r="F876" i="3"/>
  <c r="G876" i="3"/>
  <c r="H876" i="3" s="1"/>
  <c r="I876" i="3"/>
  <c r="F877" i="3"/>
  <c r="G877" i="3"/>
  <c r="H877" i="3" s="1"/>
  <c r="I877" i="3"/>
  <c r="F878" i="3"/>
  <c r="G878" i="3"/>
  <c r="H878" i="3" s="1"/>
  <c r="I878" i="3"/>
  <c r="F879" i="3"/>
  <c r="G879" i="3"/>
  <c r="H879" i="3" s="1"/>
  <c r="I879" i="3"/>
  <c r="F880" i="3"/>
  <c r="G880" i="3"/>
  <c r="H880" i="3" s="1"/>
  <c r="I880" i="3"/>
  <c r="F881" i="3"/>
  <c r="G881" i="3"/>
  <c r="H881" i="3" s="1"/>
  <c r="I881" i="3"/>
  <c r="F882" i="3"/>
  <c r="G882" i="3"/>
  <c r="H882" i="3" s="1"/>
  <c r="I882" i="3"/>
  <c r="F883" i="3"/>
  <c r="G883" i="3"/>
  <c r="H883" i="3" s="1"/>
  <c r="I883" i="3"/>
  <c r="F884" i="3"/>
  <c r="G884" i="3"/>
  <c r="H884" i="3" s="1"/>
  <c r="I884" i="3"/>
  <c r="F885" i="3"/>
  <c r="G885" i="3"/>
  <c r="H885" i="3" s="1"/>
  <c r="I885" i="3"/>
  <c r="F886" i="3"/>
  <c r="G886" i="3"/>
  <c r="H886" i="3" s="1"/>
  <c r="I886" i="3"/>
  <c r="F887" i="3"/>
  <c r="G887" i="3"/>
  <c r="H887" i="3" s="1"/>
  <c r="I887" i="3"/>
  <c r="F888" i="3"/>
  <c r="G888" i="3"/>
  <c r="H888" i="3" s="1"/>
  <c r="I888" i="3"/>
  <c r="F889" i="3"/>
  <c r="G889" i="3"/>
  <c r="H889" i="3" s="1"/>
  <c r="I889" i="3"/>
  <c r="F890" i="3"/>
  <c r="G890" i="3"/>
  <c r="H890" i="3" s="1"/>
  <c r="I890" i="3"/>
  <c r="F891" i="3"/>
  <c r="G891" i="3"/>
  <c r="H891" i="3" s="1"/>
  <c r="I891" i="3"/>
  <c r="F892" i="3"/>
  <c r="G892" i="3"/>
  <c r="H892" i="3" s="1"/>
  <c r="I892" i="3"/>
  <c r="F893" i="3"/>
  <c r="G893" i="3"/>
  <c r="H893" i="3" s="1"/>
  <c r="I893" i="3"/>
  <c r="F894" i="3"/>
  <c r="G894" i="3"/>
  <c r="H894" i="3" s="1"/>
  <c r="I894" i="3"/>
  <c r="F895" i="3"/>
  <c r="G895" i="3"/>
  <c r="H895" i="3" s="1"/>
  <c r="I895" i="3"/>
  <c r="F896" i="3"/>
  <c r="G896" i="3"/>
  <c r="H896" i="3" s="1"/>
  <c r="I896" i="3"/>
  <c r="F897" i="3"/>
  <c r="G897" i="3"/>
  <c r="H897" i="3" s="1"/>
  <c r="I897" i="3"/>
  <c r="F898" i="3"/>
  <c r="G898" i="3"/>
  <c r="H898" i="3" s="1"/>
  <c r="I898" i="3"/>
  <c r="F899" i="3"/>
  <c r="G899" i="3"/>
  <c r="H899" i="3" s="1"/>
  <c r="I899" i="3"/>
  <c r="F900" i="3"/>
  <c r="G900" i="3"/>
  <c r="H900" i="3" s="1"/>
  <c r="I900" i="3"/>
  <c r="F901" i="3"/>
  <c r="G901" i="3"/>
  <c r="H901" i="3" s="1"/>
  <c r="I901" i="3"/>
  <c r="F902" i="3"/>
  <c r="G902" i="3"/>
  <c r="H902" i="3" s="1"/>
  <c r="I902" i="3"/>
  <c r="F903" i="3"/>
  <c r="G903" i="3"/>
  <c r="H903" i="3" s="1"/>
  <c r="I903" i="3"/>
  <c r="F904" i="3"/>
  <c r="G904" i="3"/>
  <c r="H904" i="3" s="1"/>
  <c r="I904" i="3"/>
  <c r="F905" i="3"/>
  <c r="G905" i="3"/>
  <c r="H905" i="3" s="1"/>
  <c r="I905" i="3"/>
  <c r="F906" i="3"/>
  <c r="G906" i="3"/>
  <c r="H906" i="3" s="1"/>
  <c r="I906" i="3"/>
  <c r="F907" i="3"/>
  <c r="G907" i="3"/>
  <c r="H907" i="3" s="1"/>
  <c r="I907" i="3"/>
  <c r="F908" i="3"/>
  <c r="G908" i="3"/>
  <c r="H908" i="3" s="1"/>
  <c r="I908" i="3"/>
  <c r="F909" i="3"/>
  <c r="G909" i="3"/>
  <c r="H909" i="3" s="1"/>
  <c r="I909" i="3"/>
  <c r="F910" i="3"/>
  <c r="G910" i="3"/>
  <c r="H910" i="3" s="1"/>
  <c r="I910" i="3"/>
  <c r="F911" i="3"/>
  <c r="G911" i="3"/>
  <c r="H911" i="3" s="1"/>
  <c r="I911" i="3"/>
  <c r="F912" i="3"/>
  <c r="G912" i="3"/>
  <c r="H912" i="3" s="1"/>
  <c r="I912" i="3"/>
  <c r="F913" i="3"/>
  <c r="G913" i="3"/>
  <c r="H913" i="3"/>
  <c r="I913" i="3"/>
  <c r="F914" i="3"/>
  <c r="G914" i="3"/>
  <c r="H914" i="3" s="1"/>
  <c r="I914" i="3"/>
  <c r="F915" i="3"/>
  <c r="G915" i="3"/>
  <c r="H915" i="3"/>
  <c r="I915" i="3"/>
  <c r="F916" i="3"/>
  <c r="G916" i="3"/>
  <c r="H916" i="3" s="1"/>
  <c r="I916" i="3"/>
  <c r="F917" i="3"/>
  <c r="G917" i="3"/>
  <c r="H917" i="3"/>
  <c r="I917" i="3"/>
  <c r="F918" i="3"/>
  <c r="G918" i="3"/>
  <c r="H918" i="3" s="1"/>
  <c r="I918" i="3"/>
  <c r="F919" i="3"/>
  <c r="G919" i="3"/>
  <c r="H919" i="3" s="1"/>
  <c r="I919" i="3"/>
  <c r="F920" i="3"/>
  <c r="G920" i="3"/>
  <c r="H920" i="3" s="1"/>
  <c r="I920" i="3"/>
  <c r="F921" i="3"/>
  <c r="G921" i="3"/>
  <c r="H921" i="3"/>
  <c r="I921" i="3"/>
  <c r="F922" i="3"/>
  <c r="G922" i="3"/>
  <c r="H922" i="3" s="1"/>
  <c r="I922" i="3"/>
  <c r="F923" i="3"/>
  <c r="G923" i="3"/>
  <c r="H923" i="3" s="1"/>
  <c r="I923" i="3"/>
  <c r="F924" i="3"/>
  <c r="G924" i="3"/>
  <c r="H924" i="3" s="1"/>
  <c r="I924" i="3"/>
  <c r="F925" i="3"/>
  <c r="G925" i="3"/>
  <c r="H925" i="3"/>
  <c r="I925" i="3"/>
  <c r="F926" i="3"/>
  <c r="G926" i="3"/>
  <c r="H926" i="3" s="1"/>
  <c r="I926" i="3"/>
  <c r="F927" i="3"/>
  <c r="G927" i="3"/>
  <c r="H927" i="3" s="1"/>
  <c r="I927" i="3"/>
  <c r="F928" i="3"/>
  <c r="G928" i="3"/>
  <c r="H928" i="3" s="1"/>
  <c r="I928" i="3"/>
  <c r="F929" i="3"/>
  <c r="G929" i="3"/>
  <c r="H929" i="3"/>
  <c r="I929" i="3"/>
  <c r="F930" i="3"/>
  <c r="G930" i="3"/>
  <c r="H930" i="3" s="1"/>
  <c r="I930" i="3"/>
  <c r="F931" i="3"/>
  <c r="G931" i="3"/>
  <c r="H931" i="3"/>
  <c r="I931" i="3"/>
  <c r="F932" i="3"/>
  <c r="G932" i="3"/>
  <c r="H932" i="3" s="1"/>
  <c r="I932" i="3"/>
  <c r="F933" i="3"/>
  <c r="G933" i="3"/>
  <c r="H933" i="3"/>
  <c r="I933" i="3"/>
  <c r="F934" i="3"/>
  <c r="G934" i="3"/>
  <c r="H934" i="3" s="1"/>
  <c r="I934" i="3"/>
  <c r="F935" i="3"/>
  <c r="G935" i="3"/>
  <c r="H935" i="3" s="1"/>
  <c r="I935" i="3"/>
  <c r="F936" i="3"/>
  <c r="G936" i="3"/>
  <c r="H936" i="3" s="1"/>
  <c r="I936" i="3"/>
  <c r="F937" i="3"/>
  <c r="G937" i="3"/>
  <c r="H937" i="3"/>
  <c r="I937" i="3"/>
  <c r="F938" i="3"/>
  <c r="G938" i="3"/>
  <c r="H938" i="3" s="1"/>
  <c r="I938" i="3"/>
  <c r="F939" i="3"/>
  <c r="G939" i="3"/>
  <c r="H939" i="3" s="1"/>
  <c r="I939" i="3"/>
  <c r="F940" i="3"/>
  <c r="G940" i="3"/>
  <c r="H940" i="3" s="1"/>
  <c r="I940" i="3"/>
  <c r="F941" i="3"/>
  <c r="G941" i="3"/>
  <c r="H941" i="3"/>
  <c r="I941" i="3"/>
  <c r="F942" i="3"/>
  <c r="G942" i="3"/>
  <c r="H942" i="3" s="1"/>
  <c r="I942" i="3"/>
  <c r="F943" i="3"/>
  <c r="G943" i="3"/>
  <c r="H943" i="3" s="1"/>
  <c r="I943" i="3"/>
  <c r="F944" i="3"/>
  <c r="G944" i="3"/>
  <c r="H944" i="3" s="1"/>
  <c r="I944" i="3"/>
  <c r="F945" i="3"/>
  <c r="G945" i="3"/>
  <c r="H945" i="3"/>
  <c r="I945" i="3"/>
  <c r="F946" i="3"/>
  <c r="G946" i="3"/>
  <c r="H946" i="3" s="1"/>
  <c r="I946" i="3"/>
  <c r="F947" i="3"/>
  <c r="G947" i="3"/>
  <c r="H947" i="3"/>
  <c r="I947" i="3"/>
  <c r="F948" i="3"/>
  <c r="G948" i="3"/>
  <c r="H948" i="3" s="1"/>
  <c r="I948" i="3"/>
  <c r="F949" i="3"/>
  <c r="G949" i="3"/>
  <c r="H949" i="3"/>
  <c r="I949" i="3"/>
  <c r="F950" i="3"/>
  <c r="G950" i="3"/>
  <c r="H950" i="3" s="1"/>
  <c r="I950" i="3"/>
  <c r="F951" i="3"/>
  <c r="G951" i="3"/>
  <c r="H951" i="3" s="1"/>
  <c r="I951" i="3"/>
  <c r="F952" i="3"/>
  <c r="G952" i="3"/>
  <c r="H952" i="3" s="1"/>
  <c r="I952" i="3"/>
  <c r="F953" i="3"/>
  <c r="G953" i="3"/>
  <c r="H953" i="3"/>
  <c r="I953" i="3"/>
  <c r="F954" i="3"/>
  <c r="G954" i="3"/>
  <c r="H954" i="3" s="1"/>
  <c r="I954" i="3"/>
  <c r="F955" i="3"/>
  <c r="G955" i="3"/>
  <c r="H955" i="3" s="1"/>
  <c r="I955" i="3"/>
  <c r="F956" i="3"/>
  <c r="G956" i="3"/>
  <c r="H956" i="3" s="1"/>
  <c r="I956" i="3"/>
  <c r="F957" i="3"/>
  <c r="G957" i="3"/>
  <c r="H957" i="3"/>
  <c r="I957" i="3"/>
  <c r="F958" i="3"/>
  <c r="G958" i="3"/>
  <c r="H958" i="3" s="1"/>
  <c r="I958" i="3"/>
  <c r="F959" i="3"/>
  <c r="G959" i="3"/>
  <c r="H959" i="3" s="1"/>
  <c r="I959" i="3"/>
  <c r="F960" i="3"/>
  <c r="G960" i="3"/>
  <c r="H960" i="3" s="1"/>
  <c r="I960" i="3"/>
  <c r="F961" i="3"/>
  <c r="G961" i="3"/>
  <c r="H961" i="3"/>
  <c r="I961" i="3"/>
  <c r="F962" i="3"/>
  <c r="G962" i="3"/>
  <c r="H962" i="3" s="1"/>
  <c r="I962" i="3"/>
  <c r="F963" i="3"/>
  <c r="G963" i="3"/>
  <c r="H963" i="3"/>
  <c r="I963" i="3"/>
  <c r="F964" i="3"/>
  <c r="G964" i="3"/>
  <c r="H964" i="3" s="1"/>
  <c r="I964" i="3"/>
  <c r="F965" i="3"/>
  <c r="G965" i="3"/>
  <c r="H965" i="3"/>
  <c r="I965" i="3"/>
  <c r="F966" i="3"/>
  <c r="G966" i="3"/>
  <c r="H966" i="3" s="1"/>
  <c r="I966" i="3"/>
  <c r="F967" i="3"/>
  <c r="G967" i="3"/>
  <c r="H967" i="3" s="1"/>
  <c r="I967" i="3"/>
  <c r="F968" i="3"/>
  <c r="G968" i="3"/>
  <c r="H968" i="3" s="1"/>
  <c r="I968" i="3"/>
  <c r="F969" i="3"/>
  <c r="G969" i="3"/>
  <c r="H969" i="3"/>
  <c r="I969" i="3"/>
  <c r="F970" i="3"/>
  <c r="G970" i="3"/>
  <c r="H970" i="3" s="1"/>
  <c r="I970" i="3"/>
  <c r="F971" i="3"/>
  <c r="G971" i="3"/>
  <c r="H971" i="3" s="1"/>
  <c r="I971" i="3"/>
  <c r="F972" i="3"/>
  <c r="G972" i="3"/>
  <c r="H972" i="3" s="1"/>
  <c r="I972" i="3"/>
  <c r="F973" i="3"/>
  <c r="G973" i="3"/>
  <c r="H973" i="3"/>
  <c r="I973" i="3"/>
  <c r="F974" i="3"/>
  <c r="G974" i="3"/>
  <c r="H974" i="3" s="1"/>
  <c r="I974" i="3"/>
  <c r="F975" i="3"/>
  <c r="G975" i="3"/>
  <c r="H975" i="3" s="1"/>
  <c r="I975" i="3"/>
  <c r="F976" i="3"/>
  <c r="G976" i="3"/>
  <c r="H976" i="3" s="1"/>
  <c r="I976" i="3"/>
  <c r="F977" i="3"/>
  <c r="G977" i="3"/>
  <c r="H977" i="3"/>
  <c r="I977" i="3"/>
  <c r="F978" i="3"/>
  <c r="G978" i="3"/>
  <c r="H978" i="3" s="1"/>
  <c r="I978" i="3"/>
  <c r="F979" i="3"/>
  <c r="G979" i="3"/>
  <c r="H979" i="3"/>
  <c r="I979" i="3"/>
  <c r="F980" i="3"/>
  <c r="G980" i="3"/>
  <c r="H980" i="3" s="1"/>
  <c r="I980" i="3"/>
  <c r="F981" i="3"/>
  <c r="G981" i="3"/>
  <c r="H981" i="3"/>
  <c r="I981" i="3"/>
  <c r="F982" i="3"/>
  <c r="G982" i="3"/>
  <c r="H982" i="3" s="1"/>
  <c r="I982" i="3"/>
  <c r="F983" i="3"/>
  <c r="G983" i="3"/>
  <c r="H983" i="3" s="1"/>
  <c r="I983" i="3"/>
  <c r="F984" i="3"/>
  <c r="G984" i="3"/>
  <c r="H984" i="3" s="1"/>
  <c r="I984" i="3"/>
  <c r="F985" i="3"/>
  <c r="G985" i="3"/>
  <c r="H985" i="3"/>
  <c r="I985" i="3"/>
  <c r="F986" i="3"/>
  <c r="G986" i="3"/>
  <c r="H986" i="3" s="1"/>
  <c r="I986" i="3"/>
  <c r="F987" i="3"/>
  <c r="G987" i="3"/>
  <c r="H987" i="3" s="1"/>
  <c r="I987" i="3"/>
  <c r="F988" i="3"/>
  <c r="G988" i="3"/>
  <c r="H988" i="3" s="1"/>
  <c r="I988" i="3"/>
  <c r="F989" i="3"/>
  <c r="G989" i="3"/>
  <c r="H989" i="3"/>
  <c r="I989" i="3"/>
  <c r="F990" i="3"/>
  <c r="G990" i="3"/>
  <c r="H990" i="3" s="1"/>
  <c r="I990" i="3"/>
  <c r="F991" i="3"/>
  <c r="G991" i="3"/>
  <c r="H991" i="3" s="1"/>
  <c r="I991" i="3"/>
  <c r="F992" i="3"/>
  <c r="G992" i="3"/>
  <c r="H992" i="3" s="1"/>
  <c r="I992" i="3"/>
  <c r="F993" i="3"/>
  <c r="G993" i="3"/>
  <c r="H993" i="3" s="1"/>
  <c r="I993" i="3"/>
  <c r="F994" i="3"/>
  <c r="G994" i="3"/>
  <c r="H994" i="3" s="1"/>
  <c r="I994" i="3"/>
  <c r="F995" i="3"/>
  <c r="G995" i="3"/>
  <c r="H995" i="3" s="1"/>
  <c r="I995" i="3"/>
  <c r="F996" i="3"/>
  <c r="G996" i="3"/>
  <c r="H996" i="3" s="1"/>
  <c r="I996" i="3"/>
  <c r="F997" i="3"/>
  <c r="G997" i="3"/>
  <c r="H997" i="3" s="1"/>
  <c r="I997" i="3"/>
  <c r="F998" i="3"/>
  <c r="G998" i="3"/>
  <c r="H998" i="3" s="1"/>
  <c r="I998" i="3"/>
  <c r="F999" i="3"/>
  <c r="G999" i="3"/>
  <c r="H999" i="3" s="1"/>
  <c r="I999" i="3"/>
  <c r="F1000" i="3"/>
  <c r="G1000" i="3"/>
  <c r="H1000" i="3" s="1"/>
  <c r="I1000" i="3"/>
  <c r="F1001" i="3"/>
  <c r="G1001" i="3"/>
  <c r="H1001" i="3" s="1"/>
  <c r="I1001" i="3"/>
  <c r="F1002" i="3"/>
  <c r="G1002" i="3"/>
  <c r="H1002" i="3" s="1"/>
  <c r="I1002" i="3"/>
  <c r="F1003" i="3"/>
  <c r="G1003" i="3"/>
  <c r="H1003" i="3" s="1"/>
  <c r="I1003" i="3"/>
  <c r="F1004" i="3"/>
  <c r="G1004" i="3"/>
  <c r="H1004" i="3" s="1"/>
  <c r="I1004" i="3"/>
  <c r="F1005" i="3"/>
  <c r="G1005" i="3"/>
  <c r="H1005" i="3" s="1"/>
  <c r="I1005" i="3"/>
  <c r="F1006" i="3"/>
  <c r="G1006" i="3"/>
  <c r="H1006" i="3" s="1"/>
  <c r="I1006" i="3"/>
  <c r="F1007" i="3"/>
  <c r="G1007" i="3"/>
  <c r="H1007" i="3" s="1"/>
  <c r="I1007" i="3"/>
  <c r="F1008" i="3"/>
  <c r="G1008" i="3"/>
  <c r="H1008" i="3" s="1"/>
  <c r="I1008" i="3"/>
  <c r="F1009" i="3"/>
  <c r="G1009" i="3"/>
  <c r="H1009" i="3" s="1"/>
  <c r="I1009" i="3"/>
  <c r="F1010" i="3"/>
  <c r="G1010" i="3"/>
  <c r="H1010" i="3" s="1"/>
  <c r="I1010" i="3"/>
  <c r="F1011" i="3"/>
  <c r="G1011" i="3"/>
  <c r="H1011" i="3" s="1"/>
  <c r="I1011" i="3"/>
  <c r="F1012" i="3"/>
  <c r="G1012" i="3"/>
  <c r="H1012" i="3" s="1"/>
  <c r="I1012" i="3"/>
  <c r="F1013" i="3"/>
  <c r="G1013" i="3"/>
  <c r="H1013" i="3" s="1"/>
  <c r="I1013" i="3"/>
  <c r="F1014" i="3"/>
  <c r="G1014" i="3"/>
  <c r="H1014" i="3" s="1"/>
  <c r="I1014" i="3"/>
  <c r="F1015" i="3"/>
  <c r="G1015" i="3"/>
  <c r="H1015" i="3" s="1"/>
  <c r="I1015" i="3"/>
  <c r="F1016" i="3"/>
  <c r="G1016" i="3"/>
  <c r="H1016" i="3" s="1"/>
  <c r="I1016" i="3"/>
  <c r="F1017" i="3"/>
  <c r="G1017" i="3"/>
  <c r="H1017" i="3" s="1"/>
  <c r="I1017" i="3"/>
  <c r="F1018" i="3"/>
  <c r="G1018" i="3"/>
  <c r="H1018" i="3" s="1"/>
  <c r="I1018" i="3"/>
  <c r="F1019" i="3"/>
  <c r="G1019" i="3"/>
  <c r="H1019" i="3" s="1"/>
  <c r="I1019" i="3"/>
  <c r="F1020" i="3"/>
  <c r="G1020" i="3"/>
  <c r="H1020" i="3" s="1"/>
  <c r="I1020" i="3"/>
  <c r="F1021" i="3"/>
  <c r="G1021" i="3"/>
  <c r="H1021" i="3" s="1"/>
  <c r="I1021" i="3"/>
  <c r="F1022" i="3"/>
  <c r="G1022" i="3"/>
  <c r="H1022" i="3" s="1"/>
  <c r="I1022" i="3"/>
  <c r="F1023" i="3"/>
  <c r="G1023" i="3"/>
  <c r="H1023" i="3" s="1"/>
  <c r="I1023" i="3"/>
  <c r="F1024" i="3"/>
  <c r="G1024" i="3"/>
  <c r="H1024" i="3" s="1"/>
  <c r="I1024" i="3"/>
  <c r="F1025" i="3"/>
  <c r="G1025" i="3"/>
  <c r="H1025" i="3" s="1"/>
  <c r="I1025" i="3"/>
  <c r="F1026" i="3"/>
  <c r="G1026" i="3"/>
  <c r="H1026" i="3" s="1"/>
  <c r="I1026" i="3"/>
  <c r="F1027" i="3"/>
  <c r="G1027" i="3"/>
  <c r="H1027" i="3" s="1"/>
  <c r="I1027" i="3"/>
  <c r="F1028" i="3"/>
  <c r="G1028" i="3"/>
  <c r="H1028" i="3" s="1"/>
  <c r="I1028" i="3"/>
  <c r="F1029" i="3"/>
  <c r="G1029" i="3"/>
  <c r="H1029" i="3" s="1"/>
  <c r="I1029" i="3"/>
  <c r="F1030" i="3"/>
  <c r="G1030" i="3"/>
  <c r="H1030" i="3" s="1"/>
  <c r="I1030" i="3"/>
  <c r="F1031" i="3"/>
  <c r="G1031" i="3"/>
  <c r="H1031" i="3" s="1"/>
  <c r="I1031" i="3"/>
  <c r="F1032" i="3"/>
  <c r="G1032" i="3"/>
  <c r="H1032" i="3" s="1"/>
  <c r="I1032" i="3"/>
  <c r="F1033" i="3"/>
  <c r="G1033" i="3"/>
  <c r="H1033" i="3" s="1"/>
  <c r="I1033" i="3"/>
  <c r="F1034" i="3"/>
  <c r="G1034" i="3"/>
  <c r="H1034" i="3" s="1"/>
  <c r="I1034" i="3"/>
  <c r="F1035" i="3"/>
  <c r="G1035" i="3"/>
  <c r="H1035" i="3" s="1"/>
  <c r="I1035" i="3"/>
  <c r="F1036" i="3"/>
  <c r="G1036" i="3"/>
  <c r="H1036" i="3" s="1"/>
  <c r="I1036" i="3"/>
  <c r="F1037" i="3"/>
  <c r="G1037" i="3"/>
  <c r="H1037" i="3" s="1"/>
  <c r="I1037" i="3"/>
  <c r="F1038" i="3"/>
  <c r="G1038" i="3"/>
  <c r="H1038" i="3" s="1"/>
  <c r="I1038" i="3"/>
  <c r="F1039" i="3"/>
  <c r="G1039" i="3"/>
  <c r="H1039" i="3" s="1"/>
  <c r="I1039" i="3"/>
  <c r="F1040" i="3"/>
  <c r="G1040" i="3"/>
  <c r="H1040" i="3" s="1"/>
  <c r="I1040" i="3"/>
  <c r="F1041" i="3"/>
  <c r="G1041" i="3"/>
  <c r="H1041" i="3" s="1"/>
  <c r="I1041" i="3"/>
  <c r="F1042" i="3"/>
  <c r="G1042" i="3"/>
  <c r="H1042" i="3" s="1"/>
  <c r="I1042" i="3"/>
  <c r="F1043" i="3"/>
  <c r="G1043" i="3"/>
  <c r="H1043" i="3" s="1"/>
  <c r="I1043" i="3"/>
  <c r="F1044" i="3"/>
  <c r="G1044" i="3"/>
  <c r="H1044" i="3" s="1"/>
  <c r="I1044" i="3"/>
  <c r="F1045" i="3"/>
  <c r="G1045" i="3"/>
  <c r="H1045" i="3" s="1"/>
  <c r="I1045" i="3"/>
  <c r="F1046" i="3"/>
  <c r="G1046" i="3"/>
  <c r="H1046" i="3" s="1"/>
  <c r="I1046" i="3"/>
  <c r="F1047" i="3"/>
  <c r="G1047" i="3"/>
  <c r="H1047" i="3" s="1"/>
  <c r="I1047" i="3"/>
  <c r="F1048" i="3"/>
  <c r="G1048" i="3"/>
  <c r="H1048" i="3" s="1"/>
  <c r="I1048" i="3"/>
  <c r="F1049" i="3"/>
  <c r="G1049" i="3"/>
  <c r="H1049" i="3" s="1"/>
  <c r="I1049" i="3"/>
  <c r="F1050" i="3"/>
  <c r="G1050" i="3"/>
  <c r="H1050" i="3" s="1"/>
  <c r="I1050" i="3"/>
  <c r="F1051" i="3"/>
  <c r="G1051" i="3"/>
  <c r="H1051" i="3" s="1"/>
  <c r="I1051" i="3"/>
  <c r="F1052" i="3"/>
  <c r="G1052" i="3"/>
  <c r="H1052" i="3" s="1"/>
  <c r="I1052" i="3"/>
  <c r="F1053" i="3"/>
  <c r="G1053" i="3"/>
  <c r="H1053" i="3" s="1"/>
  <c r="I1053" i="3"/>
  <c r="F1054" i="3"/>
  <c r="G1054" i="3"/>
  <c r="H1054" i="3" s="1"/>
  <c r="I1054" i="3"/>
  <c r="F1055" i="3"/>
  <c r="G1055" i="3"/>
  <c r="H1055" i="3" s="1"/>
  <c r="I1055" i="3"/>
  <c r="F1056" i="3"/>
  <c r="G1056" i="3"/>
  <c r="H1056" i="3" s="1"/>
  <c r="I1056" i="3"/>
  <c r="F1057" i="3"/>
  <c r="G1057" i="3"/>
  <c r="H1057" i="3" s="1"/>
  <c r="I1057" i="3"/>
  <c r="F1058" i="3"/>
  <c r="G1058" i="3"/>
  <c r="H1058" i="3" s="1"/>
  <c r="I1058" i="3"/>
  <c r="F1059" i="3"/>
  <c r="G1059" i="3"/>
  <c r="H1059" i="3" s="1"/>
  <c r="I1059" i="3"/>
  <c r="F1060" i="3"/>
  <c r="G1060" i="3"/>
  <c r="H1060" i="3" s="1"/>
  <c r="I1060" i="3"/>
  <c r="F1061" i="3"/>
  <c r="G1061" i="3"/>
  <c r="H1061" i="3" s="1"/>
  <c r="I1061" i="3"/>
  <c r="F1062" i="3"/>
  <c r="G1062" i="3"/>
  <c r="H1062" i="3" s="1"/>
  <c r="I1062" i="3"/>
  <c r="F1063" i="3"/>
  <c r="G1063" i="3"/>
  <c r="H1063" i="3" s="1"/>
  <c r="I1063" i="3"/>
  <c r="F1064" i="3"/>
  <c r="G1064" i="3"/>
  <c r="H1064" i="3" s="1"/>
  <c r="I1064" i="3"/>
  <c r="F1065" i="3"/>
  <c r="G1065" i="3"/>
  <c r="H1065" i="3" s="1"/>
  <c r="I1065" i="3"/>
  <c r="F1066" i="3"/>
  <c r="G1066" i="3"/>
  <c r="H1066" i="3" s="1"/>
  <c r="I1066" i="3"/>
  <c r="F1067" i="3"/>
  <c r="G1067" i="3"/>
  <c r="H1067" i="3" s="1"/>
  <c r="I1067" i="3"/>
  <c r="F1068" i="3"/>
  <c r="G1068" i="3"/>
  <c r="H1068" i="3" s="1"/>
  <c r="I1068" i="3"/>
  <c r="F1069" i="3"/>
  <c r="G1069" i="3"/>
  <c r="H1069" i="3" s="1"/>
  <c r="I1069" i="3"/>
  <c r="F1070" i="3"/>
  <c r="G1070" i="3"/>
  <c r="H1070" i="3" s="1"/>
  <c r="I1070" i="3"/>
  <c r="F1071" i="3"/>
  <c r="G1071" i="3"/>
  <c r="H1071" i="3" s="1"/>
  <c r="I1071" i="3"/>
  <c r="F1072" i="3"/>
  <c r="G1072" i="3"/>
  <c r="H1072" i="3" s="1"/>
  <c r="I1072" i="3"/>
  <c r="F1073" i="3"/>
  <c r="G1073" i="3"/>
  <c r="H1073" i="3" s="1"/>
  <c r="I1073" i="3"/>
  <c r="F1074" i="3"/>
  <c r="G1074" i="3"/>
  <c r="H1074" i="3" s="1"/>
  <c r="I1074" i="3"/>
  <c r="F1075" i="3"/>
  <c r="G1075" i="3"/>
  <c r="H1075" i="3" s="1"/>
  <c r="I1075" i="3"/>
  <c r="F1076" i="3"/>
  <c r="G1076" i="3"/>
  <c r="H1076" i="3" s="1"/>
  <c r="I1076" i="3"/>
  <c r="F1077" i="3"/>
  <c r="G1077" i="3"/>
  <c r="H1077" i="3" s="1"/>
  <c r="I1077" i="3"/>
  <c r="F1078" i="3"/>
  <c r="G1078" i="3"/>
  <c r="H1078" i="3" s="1"/>
  <c r="I1078" i="3"/>
  <c r="F1079" i="3"/>
  <c r="G1079" i="3"/>
  <c r="H1079" i="3" s="1"/>
  <c r="I1079" i="3"/>
  <c r="F1080" i="3"/>
  <c r="G1080" i="3"/>
  <c r="H1080" i="3" s="1"/>
  <c r="I1080" i="3"/>
  <c r="F1081" i="3"/>
  <c r="G1081" i="3"/>
  <c r="H1081" i="3" s="1"/>
  <c r="I1081" i="3"/>
  <c r="F1082" i="3"/>
  <c r="G1082" i="3"/>
  <c r="H1082" i="3" s="1"/>
  <c r="I1082" i="3"/>
  <c r="F1083" i="3"/>
  <c r="G1083" i="3"/>
  <c r="H1083" i="3" s="1"/>
  <c r="I1083" i="3"/>
  <c r="F1084" i="3"/>
  <c r="G1084" i="3"/>
  <c r="H1084" i="3" s="1"/>
  <c r="I1084" i="3"/>
  <c r="F1085" i="3"/>
  <c r="G1085" i="3"/>
  <c r="H1085" i="3" s="1"/>
  <c r="I1085" i="3"/>
  <c r="F1086" i="3"/>
  <c r="G1086" i="3"/>
  <c r="H1086" i="3" s="1"/>
  <c r="I1086" i="3"/>
  <c r="F1087" i="3"/>
  <c r="G1087" i="3"/>
  <c r="H1087" i="3" s="1"/>
  <c r="I1087" i="3"/>
  <c r="F1088" i="3"/>
  <c r="G1088" i="3"/>
  <c r="H1088" i="3" s="1"/>
  <c r="I1088" i="3"/>
  <c r="F1089" i="3"/>
  <c r="G1089" i="3"/>
  <c r="H1089" i="3" s="1"/>
  <c r="I1089" i="3"/>
  <c r="F1090" i="3"/>
  <c r="G1090" i="3"/>
  <c r="H1090" i="3" s="1"/>
  <c r="I1090" i="3"/>
  <c r="F1091" i="3"/>
  <c r="G1091" i="3"/>
  <c r="H1091" i="3" s="1"/>
  <c r="I1091" i="3"/>
  <c r="F1092" i="3"/>
  <c r="G1092" i="3"/>
  <c r="H1092" i="3" s="1"/>
  <c r="I1092" i="3"/>
  <c r="F1093" i="3"/>
  <c r="G1093" i="3"/>
  <c r="H1093" i="3" s="1"/>
  <c r="I1093" i="3"/>
  <c r="F1094" i="3"/>
  <c r="G1094" i="3"/>
  <c r="H1094" i="3" s="1"/>
  <c r="I1094" i="3"/>
  <c r="F1095" i="3"/>
  <c r="G1095" i="3"/>
  <c r="H1095" i="3" s="1"/>
  <c r="I1095" i="3"/>
  <c r="F1096" i="3"/>
  <c r="G1096" i="3"/>
  <c r="H1096" i="3" s="1"/>
  <c r="I1096" i="3"/>
  <c r="F1097" i="3"/>
  <c r="G1097" i="3"/>
  <c r="H1097" i="3" s="1"/>
  <c r="I1097" i="3"/>
  <c r="F1098" i="3"/>
  <c r="G1098" i="3"/>
  <c r="H1098" i="3" s="1"/>
  <c r="I1098" i="3"/>
  <c r="F1099" i="3"/>
  <c r="G1099" i="3"/>
  <c r="H1099" i="3" s="1"/>
  <c r="I1099" i="3"/>
  <c r="F1100" i="3"/>
  <c r="G1100" i="3"/>
  <c r="H1100" i="3" s="1"/>
  <c r="I1100" i="3"/>
  <c r="F1101" i="3"/>
  <c r="G1101" i="3"/>
  <c r="H1101" i="3" s="1"/>
  <c r="I1101" i="3"/>
  <c r="F1102" i="3"/>
  <c r="G1102" i="3"/>
  <c r="H1102" i="3" s="1"/>
  <c r="I1102" i="3"/>
  <c r="I37" i="3"/>
  <c r="G36" i="3"/>
  <c r="H36" i="3" s="1"/>
  <c r="G37" i="3"/>
  <c r="H37" i="3" s="1"/>
  <c r="F3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37" i="3"/>
  <c r="C36" i="3"/>
  <c r="C42" i="3"/>
  <c r="D42" i="3" s="1"/>
  <c r="C43" i="3"/>
  <c r="D43" i="3" s="1"/>
  <c r="C44" i="3"/>
  <c r="D44" i="3" s="1"/>
  <c r="C45" i="3"/>
  <c r="D45" i="3"/>
  <c r="C46" i="3"/>
  <c r="D46" i="3" s="1"/>
  <c r="C47" i="3"/>
  <c r="D47" i="3"/>
  <c r="C48" i="3"/>
  <c r="D48" i="3"/>
  <c r="C49" i="3"/>
  <c r="D49" i="3"/>
  <c r="C50" i="3"/>
  <c r="D50" i="3" s="1"/>
  <c r="C51" i="3"/>
  <c r="D51" i="3"/>
  <c r="C52" i="3"/>
  <c r="D52" i="3" s="1"/>
  <c r="C53" i="3"/>
  <c r="D53" i="3"/>
  <c r="C54" i="3"/>
  <c r="D54" i="3" s="1"/>
  <c r="C55" i="3"/>
  <c r="D55" i="3"/>
  <c r="C56" i="3"/>
  <c r="D56" i="3"/>
  <c r="C57" i="3"/>
  <c r="D57" i="3"/>
  <c r="C58" i="3"/>
  <c r="D58" i="3" s="1"/>
  <c r="C59" i="3"/>
  <c r="D59" i="3"/>
  <c r="C60" i="3"/>
  <c r="D60" i="3" s="1"/>
  <c r="C61" i="3"/>
  <c r="D61" i="3"/>
  <c r="C62" i="3"/>
  <c r="D62" i="3" s="1"/>
  <c r="C63" i="3"/>
  <c r="D63" i="3"/>
  <c r="C64" i="3"/>
  <c r="D64" i="3" s="1"/>
  <c r="C65" i="3"/>
  <c r="D65" i="3"/>
  <c r="C66" i="3"/>
  <c r="D66" i="3" s="1"/>
  <c r="C67" i="3"/>
  <c r="D67" i="3"/>
  <c r="C68" i="3"/>
  <c r="D68" i="3"/>
  <c r="C69" i="3"/>
  <c r="D69" i="3"/>
  <c r="C70" i="3"/>
  <c r="D70" i="3" s="1"/>
  <c r="C71" i="3"/>
  <c r="D71" i="3"/>
  <c r="C72" i="3"/>
  <c r="D72" i="3"/>
  <c r="C73" i="3"/>
  <c r="D73" i="3"/>
  <c r="C74" i="3"/>
  <c r="D74" i="3" s="1"/>
  <c r="C75" i="3"/>
  <c r="D75" i="3"/>
  <c r="C76" i="3"/>
  <c r="D76" i="3" s="1"/>
  <c r="C77" i="3"/>
  <c r="D77" i="3"/>
  <c r="C78" i="3"/>
  <c r="D78" i="3" s="1"/>
  <c r="C79" i="3"/>
  <c r="D79" i="3"/>
  <c r="C80" i="3"/>
  <c r="D80" i="3"/>
  <c r="C81" i="3"/>
  <c r="D81" i="3"/>
  <c r="C82" i="3"/>
  <c r="D82" i="3" s="1"/>
  <c r="C83" i="3"/>
  <c r="D83" i="3"/>
  <c r="C84" i="3"/>
  <c r="D84" i="3" s="1"/>
  <c r="C85" i="3"/>
  <c r="D85" i="3"/>
  <c r="C86" i="3"/>
  <c r="D86" i="3" s="1"/>
  <c r="C87" i="3"/>
  <c r="D87" i="3"/>
  <c r="C88" i="3"/>
  <c r="D88" i="3"/>
  <c r="C89" i="3"/>
  <c r="D89" i="3"/>
  <c r="C90" i="3"/>
  <c r="D90" i="3" s="1"/>
  <c r="C91" i="3"/>
  <c r="D91" i="3"/>
  <c r="C92" i="3"/>
  <c r="D92" i="3" s="1"/>
  <c r="C93" i="3"/>
  <c r="D93" i="3"/>
  <c r="C94" i="3"/>
  <c r="D94" i="3" s="1"/>
  <c r="C95" i="3"/>
  <c r="D95" i="3"/>
  <c r="C96" i="3"/>
  <c r="D96" i="3" s="1"/>
  <c r="C97" i="3"/>
  <c r="D97" i="3"/>
  <c r="C98" i="3"/>
  <c r="D98" i="3" s="1"/>
  <c r="C99" i="3"/>
  <c r="D99" i="3"/>
  <c r="C100" i="3"/>
  <c r="D100" i="3"/>
  <c r="C101" i="3"/>
  <c r="D101" i="3"/>
  <c r="C102" i="3"/>
  <c r="D102" i="3" s="1"/>
  <c r="C103" i="3"/>
  <c r="D103" i="3"/>
  <c r="C104" i="3"/>
  <c r="D104" i="3"/>
  <c r="C105" i="3"/>
  <c r="D105" i="3"/>
  <c r="C106" i="3"/>
  <c r="D106" i="3" s="1"/>
  <c r="C107" i="3"/>
  <c r="D107" i="3"/>
  <c r="C108" i="3"/>
  <c r="D108" i="3" s="1"/>
  <c r="C109" i="3"/>
  <c r="D109" i="3"/>
  <c r="C110" i="3"/>
  <c r="D110" i="3" s="1"/>
  <c r="C111" i="3"/>
  <c r="D111" i="3"/>
  <c r="C112" i="3"/>
  <c r="D112" i="3"/>
  <c r="C113" i="3"/>
  <c r="D113" i="3"/>
  <c r="C114" i="3"/>
  <c r="D114" i="3" s="1"/>
  <c r="C115" i="3"/>
  <c r="D115" i="3"/>
  <c r="C116" i="3"/>
  <c r="D116" i="3" s="1"/>
  <c r="C117" i="3"/>
  <c r="D117" i="3"/>
  <c r="C118" i="3"/>
  <c r="D118" i="3" s="1"/>
  <c r="C119" i="3"/>
  <c r="D119" i="3"/>
  <c r="C120" i="3"/>
  <c r="D120" i="3"/>
  <c r="C121" i="3"/>
  <c r="D121" i="3"/>
  <c r="C122" i="3"/>
  <c r="D122" i="3" s="1"/>
  <c r="C123" i="3"/>
  <c r="D123" i="3"/>
  <c r="C124" i="3"/>
  <c r="D124" i="3" s="1"/>
  <c r="C125" i="3"/>
  <c r="D125" i="3"/>
  <c r="C126" i="3"/>
  <c r="D126" i="3" s="1"/>
  <c r="C127" i="3"/>
  <c r="D127" i="3"/>
  <c r="C128" i="3"/>
  <c r="D128" i="3" s="1"/>
  <c r="C129" i="3"/>
  <c r="D129" i="3"/>
  <c r="C130" i="3"/>
  <c r="D130" i="3" s="1"/>
  <c r="C131" i="3"/>
  <c r="D131" i="3"/>
  <c r="C132" i="3"/>
  <c r="D132" i="3"/>
  <c r="C133" i="3"/>
  <c r="D133" i="3"/>
  <c r="C134" i="3"/>
  <c r="D134" i="3" s="1"/>
  <c r="C135" i="3"/>
  <c r="D135" i="3"/>
  <c r="C136" i="3"/>
  <c r="D136" i="3"/>
  <c r="C137" i="3"/>
  <c r="D137" i="3"/>
  <c r="C138" i="3"/>
  <c r="D138" i="3" s="1"/>
  <c r="C139" i="3"/>
  <c r="D139" i="3"/>
  <c r="C140" i="3"/>
  <c r="D140" i="3" s="1"/>
  <c r="C141" i="3"/>
  <c r="D141" i="3"/>
  <c r="C142" i="3"/>
  <c r="D142" i="3" s="1"/>
  <c r="C143" i="3"/>
  <c r="D143" i="3"/>
  <c r="C144" i="3"/>
  <c r="D144" i="3"/>
  <c r="C145" i="3"/>
  <c r="D145" i="3"/>
  <c r="C146" i="3"/>
  <c r="D146" i="3" s="1"/>
  <c r="C147" i="3"/>
  <c r="D147" i="3"/>
  <c r="C148" i="3"/>
  <c r="D148" i="3" s="1"/>
  <c r="C149" i="3"/>
  <c r="D149" i="3"/>
  <c r="C150" i="3"/>
  <c r="D150" i="3" s="1"/>
  <c r="C151" i="3"/>
  <c r="D151" i="3"/>
  <c r="C152" i="3"/>
  <c r="D152" i="3"/>
  <c r="C153" i="3"/>
  <c r="D153" i="3"/>
  <c r="C154" i="3"/>
  <c r="D154" i="3" s="1"/>
  <c r="C155" i="3"/>
  <c r="D155" i="3"/>
  <c r="C156" i="3"/>
  <c r="D156" i="3" s="1"/>
  <c r="C157" i="3"/>
  <c r="D157" i="3" s="1"/>
  <c r="C158" i="3"/>
  <c r="D158" i="3" s="1"/>
  <c r="C159" i="3"/>
  <c r="D159" i="3"/>
  <c r="C160" i="3"/>
  <c r="D160" i="3" s="1"/>
  <c r="C161" i="3"/>
  <c r="D161" i="3"/>
  <c r="C162" i="3"/>
  <c r="D162" i="3" s="1"/>
  <c r="C163" i="3"/>
  <c r="D163" i="3"/>
  <c r="C164" i="3"/>
  <c r="D164" i="3"/>
  <c r="C165" i="3"/>
  <c r="D165" i="3" s="1"/>
  <c r="C166" i="3"/>
  <c r="D166" i="3" s="1"/>
  <c r="C167" i="3"/>
  <c r="D167" i="3"/>
  <c r="C168" i="3"/>
  <c r="D168" i="3"/>
  <c r="C169" i="3"/>
  <c r="D169" i="3" s="1"/>
  <c r="C170" i="3"/>
  <c r="D170" i="3" s="1"/>
  <c r="C171" i="3"/>
  <c r="D171" i="3"/>
  <c r="C172" i="3"/>
  <c r="D172" i="3" s="1"/>
  <c r="C173" i="3"/>
  <c r="D173" i="3"/>
  <c r="C174" i="3"/>
  <c r="D174" i="3" s="1"/>
  <c r="C175" i="3"/>
  <c r="D175" i="3"/>
  <c r="C176" i="3"/>
  <c r="D176" i="3"/>
  <c r="C177" i="3"/>
  <c r="D177" i="3"/>
  <c r="C178" i="3"/>
  <c r="D178" i="3" s="1"/>
  <c r="C179" i="3"/>
  <c r="D179" i="3"/>
  <c r="C180" i="3"/>
  <c r="D180" i="3" s="1"/>
  <c r="C181" i="3"/>
  <c r="D181" i="3" s="1"/>
  <c r="C182" i="3"/>
  <c r="D182" i="3" s="1"/>
  <c r="C183" i="3"/>
  <c r="D183" i="3"/>
  <c r="C184" i="3"/>
  <c r="D184" i="3"/>
  <c r="C185" i="3"/>
  <c r="D185" i="3"/>
  <c r="C186" i="3"/>
  <c r="D186" i="3" s="1"/>
  <c r="C187" i="3"/>
  <c r="D187" i="3"/>
  <c r="C188" i="3"/>
  <c r="D188" i="3" s="1"/>
  <c r="C189" i="3"/>
  <c r="D189" i="3" s="1"/>
  <c r="C190" i="3"/>
  <c r="D190" i="3" s="1"/>
  <c r="C191" i="3"/>
  <c r="D191" i="3"/>
  <c r="C192" i="3"/>
  <c r="D192" i="3" s="1"/>
  <c r="C193" i="3"/>
  <c r="D193" i="3"/>
  <c r="C194" i="3"/>
  <c r="D194" i="3" s="1"/>
  <c r="C195" i="3"/>
  <c r="D195" i="3"/>
  <c r="C196" i="3"/>
  <c r="D196" i="3"/>
  <c r="C197" i="3"/>
  <c r="D197" i="3" s="1"/>
  <c r="C198" i="3"/>
  <c r="D198" i="3" s="1"/>
  <c r="C199" i="3"/>
  <c r="D199" i="3"/>
  <c r="C200" i="3"/>
  <c r="D200" i="3"/>
  <c r="C201" i="3"/>
  <c r="D201" i="3" s="1"/>
  <c r="C202" i="3"/>
  <c r="D202" i="3" s="1"/>
  <c r="C203" i="3"/>
  <c r="D203" i="3"/>
  <c r="C204" i="3"/>
  <c r="D204" i="3" s="1"/>
  <c r="C205" i="3"/>
  <c r="D205" i="3"/>
  <c r="C206" i="3"/>
  <c r="D206" i="3" s="1"/>
  <c r="C207" i="3"/>
  <c r="D207" i="3"/>
  <c r="C208" i="3"/>
  <c r="D208" i="3"/>
  <c r="C209" i="3"/>
  <c r="D209" i="3"/>
  <c r="C210" i="3"/>
  <c r="D210" i="3" s="1"/>
  <c r="C211" i="3"/>
  <c r="D211" i="3"/>
  <c r="C212" i="3"/>
  <c r="D212" i="3" s="1"/>
  <c r="C213" i="3"/>
  <c r="D213" i="3" s="1"/>
  <c r="C214" i="3"/>
  <c r="D214" i="3" s="1"/>
  <c r="C215" i="3"/>
  <c r="D215" i="3"/>
  <c r="C216" i="3"/>
  <c r="D216" i="3"/>
  <c r="C217" i="3"/>
  <c r="D217" i="3"/>
  <c r="C218" i="3"/>
  <c r="D218" i="3" s="1"/>
  <c r="C219" i="3"/>
  <c r="D219" i="3"/>
  <c r="C220" i="3"/>
  <c r="D220" i="3" s="1"/>
  <c r="C221" i="3"/>
  <c r="D221" i="3" s="1"/>
  <c r="C222" i="3"/>
  <c r="D222" i="3" s="1"/>
  <c r="C223" i="3"/>
  <c r="D223" i="3"/>
  <c r="C224" i="3"/>
  <c r="D224" i="3" s="1"/>
  <c r="C225" i="3"/>
  <c r="D225" i="3"/>
  <c r="C226" i="3"/>
  <c r="D226" i="3" s="1"/>
  <c r="C227" i="3"/>
  <c r="D227" i="3"/>
  <c r="C228" i="3"/>
  <c r="D228" i="3"/>
  <c r="C229" i="3"/>
  <c r="D229" i="3" s="1"/>
  <c r="C230" i="3"/>
  <c r="D230" i="3" s="1"/>
  <c r="C231" i="3"/>
  <c r="D231" i="3"/>
  <c r="C232" i="3"/>
  <c r="D232" i="3"/>
  <c r="C233" i="3"/>
  <c r="D233" i="3" s="1"/>
  <c r="C234" i="3"/>
  <c r="D234" i="3" s="1"/>
  <c r="C235" i="3"/>
  <c r="D235" i="3" s="1"/>
  <c r="C236" i="3"/>
  <c r="D236" i="3" s="1"/>
  <c r="C237" i="3"/>
  <c r="D237" i="3"/>
  <c r="C238" i="3"/>
  <c r="D238" i="3" s="1"/>
  <c r="C239" i="3"/>
  <c r="D239" i="3"/>
  <c r="C240" i="3"/>
  <c r="D240" i="3"/>
  <c r="C241" i="3"/>
  <c r="D241" i="3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/>
  <c r="C249" i="3"/>
  <c r="D249" i="3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/>
  <c r="C256" i="3"/>
  <c r="D256" i="3" s="1"/>
  <c r="C257" i="3"/>
  <c r="D257" i="3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/>
  <c r="C264" i="3"/>
  <c r="D264" i="3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/>
  <c r="C272" i="3"/>
  <c r="D272" i="3"/>
  <c r="C273" i="3"/>
  <c r="D273" i="3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/>
  <c r="C281" i="3"/>
  <c r="D281" i="3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/>
  <c r="C288" i="3"/>
  <c r="D288" i="3" s="1"/>
  <c r="C289" i="3"/>
  <c r="D289" i="3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/>
  <c r="C296" i="3"/>
  <c r="D296" i="3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/>
  <c r="C304" i="3"/>
  <c r="D304" i="3"/>
  <c r="C305" i="3"/>
  <c r="D305" i="3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/>
  <c r="C313" i="3"/>
  <c r="D313" i="3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/>
  <c r="C320" i="3"/>
  <c r="D320" i="3" s="1"/>
  <c r="C321" i="3"/>
  <c r="D321" i="3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/>
  <c r="C328" i="3"/>
  <c r="D328" i="3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/>
  <c r="C336" i="3"/>
  <c r="D336" i="3"/>
  <c r="C337" i="3"/>
  <c r="D337" i="3"/>
  <c r="C338" i="3"/>
  <c r="D338" i="3" s="1"/>
  <c r="C339" i="3"/>
  <c r="D339" i="3" s="1"/>
  <c r="C340" i="3"/>
  <c r="D340" i="3"/>
  <c r="C341" i="3"/>
  <c r="D341" i="3" s="1"/>
  <c r="C342" i="3"/>
  <c r="D342" i="3" s="1"/>
  <c r="C343" i="3"/>
  <c r="D343" i="3" s="1"/>
  <c r="C344" i="3"/>
  <c r="D344" i="3"/>
  <c r="C345" i="3"/>
  <c r="D345" i="3"/>
  <c r="C346" i="3"/>
  <c r="D346" i="3" s="1"/>
  <c r="C347" i="3"/>
  <c r="D347" i="3"/>
  <c r="C348" i="3"/>
  <c r="D348" i="3" s="1"/>
  <c r="C349" i="3"/>
  <c r="D349" i="3" s="1"/>
  <c r="C350" i="3"/>
  <c r="D350" i="3" s="1"/>
  <c r="C351" i="3"/>
  <c r="D351" i="3"/>
  <c r="C352" i="3"/>
  <c r="D352" i="3" s="1"/>
  <c r="C353" i="3"/>
  <c r="D353" i="3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/>
  <c r="C360" i="3"/>
  <c r="D360" i="3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/>
  <c r="C368" i="3"/>
  <c r="D368" i="3" s="1"/>
  <c r="C369" i="3"/>
  <c r="D369" i="3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/>
  <c r="C386" i="3"/>
  <c r="D386" i="3" s="1"/>
  <c r="C387" i="3"/>
  <c r="D387" i="3" s="1"/>
  <c r="C388" i="3"/>
  <c r="D388" i="3" s="1"/>
  <c r="C389" i="3"/>
  <c r="D389" i="3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/>
  <c r="C402" i="3"/>
  <c r="D402" i="3" s="1"/>
  <c r="C403" i="3"/>
  <c r="D403" i="3" s="1"/>
  <c r="C404" i="3"/>
  <c r="D404" i="3" s="1"/>
  <c r="C405" i="3"/>
  <c r="D405" i="3"/>
  <c r="C406" i="3"/>
  <c r="D406" i="3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/>
  <c r="C415" i="3"/>
  <c r="D415" i="3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/>
  <c r="C430" i="3"/>
  <c r="D430" i="3" s="1"/>
  <c r="C431" i="3"/>
  <c r="D431" i="3" s="1"/>
  <c r="C432" i="3"/>
  <c r="D432" i="3" s="1"/>
  <c r="C433" i="3"/>
  <c r="D433" i="3" s="1"/>
  <c r="C434" i="3"/>
  <c r="D434" i="3"/>
  <c r="C435" i="3"/>
  <c r="D435" i="3" s="1"/>
  <c r="C436" i="3"/>
  <c r="D436" i="3" s="1"/>
  <c r="C437" i="3"/>
  <c r="D437" i="3"/>
  <c r="C438" i="3"/>
  <c r="D438" i="3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/>
  <c r="C447" i="3"/>
  <c r="D447" i="3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/>
  <c r="C456" i="3"/>
  <c r="D456" i="3" s="1"/>
  <c r="C457" i="3"/>
  <c r="D457" i="3"/>
  <c r="C458" i="3"/>
  <c r="D458" i="3" s="1"/>
  <c r="C459" i="3"/>
  <c r="D459" i="3" s="1"/>
  <c r="C460" i="3"/>
  <c r="D460" i="3" s="1"/>
  <c r="C461" i="3"/>
  <c r="D461" i="3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/>
  <c r="C470" i="3"/>
  <c r="D470" i="3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/>
  <c r="C479" i="3"/>
  <c r="D479" i="3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/>
  <c r="C494" i="3"/>
  <c r="D494" i="3" s="1"/>
  <c r="C495" i="3"/>
  <c r="D495" i="3" s="1"/>
  <c r="C496" i="3"/>
  <c r="D496" i="3" s="1"/>
  <c r="C497" i="3"/>
  <c r="D497" i="3" s="1"/>
  <c r="C498" i="3"/>
  <c r="D498" i="3"/>
  <c r="C499" i="3"/>
  <c r="D499" i="3" s="1"/>
  <c r="C500" i="3"/>
  <c r="D500" i="3" s="1"/>
  <c r="C501" i="3"/>
  <c r="D501" i="3"/>
  <c r="C502" i="3"/>
  <c r="D502" i="3"/>
  <c r="C503" i="3"/>
  <c r="D503" i="3" s="1"/>
  <c r="C504" i="3"/>
  <c r="D504" i="3" s="1"/>
  <c r="C505" i="3"/>
  <c r="D505" i="3" s="1"/>
  <c r="C506" i="3"/>
  <c r="D506" i="3" s="1"/>
  <c r="C507" i="3"/>
  <c r="D507" i="3"/>
  <c r="C508" i="3"/>
  <c r="D508" i="3" s="1"/>
  <c r="C509" i="3"/>
  <c r="D509" i="3" s="1"/>
  <c r="C510" i="3"/>
  <c r="D510" i="3"/>
  <c r="C511" i="3"/>
  <c r="D511" i="3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/>
  <c r="C520" i="3"/>
  <c r="D520" i="3" s="1"/>
  <c r="C521" i="3"/>
  <c r="D521" i="3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/>
  <c r="C530" i="3"/>
  <c r="D530" i="3" s="1"/>
  <c r="C531" i="3"/>
  <c r="D531" i="3" s="1"/>
  <c r="C532" i="3"/>
  <c r="D532" i="3" s="1"/>
  <c r="C533" i="3"/>
  <c r="D533" i="3"/>
  <c r="C534" i="3"/>
  <c r="D534" i="3"/>
  <c r="C535" i="3"/>
  <c r="D535" i="3" s="1"/>
  <c r="C536" i="3"/>
  <c r="D536" i="3" s="1"/>
  <c r="C537" i="3"/>
  <c r="D537" i="3" s="1"/>
  <c r="C538" i="3"/>
  <c r="D538" i="3" s="1"/>
  <c r="C539" i="3"/>
  <c r="D539" i="3"/>
  <c r="C540" i="3"/>
  <c r="D540" i="3" s="1"/>
  <c r="C541" i="3"/>
  <c r="D541" i="3" s="1"/>
  <c r="C542" i="3"/>
  <c r="D542" i="3"/>
  <c r="C543" i="3"/>
  <c r="D543" i="3" s="1"/>
  <c r="C544" i="3"/>
  <c r="D544" i="3" s="1"/>
  <c r="C545" i="3"/>
  <c r="D545" i="3" s="1"/>
  <c r="C546" i="3"/>
  <c r="D546" i="3" s="1"/>
  <c r="C547" i="3"/>
  <c r="D547" i="3"/>
  <c r="C548" i="3"/>
  <c r="D548" i="3" s="1"/>
  <c r="C549" i="3"/>
  <c r="D549" i="3" s="1"/>
  <c r="C550" i="3"/>
  <c r="D550" i="3" s="1"/>
  <c r="C551" i="3"/>
  <c r="D551" i="3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/>
  <c r="C559" i="3"/>
  <c r="D559" i="3" s="1"/>
  <c r="C560" i="3"/>
  <c r="D560" i="3" s="1"/>
  <c r="C561" i="3"/>
  <c r="D561" i="3"/>
  <c r="C562" i="3"/>
  <c r="D562" i="3" s="1"/>
  <c r="C563" i="3"/>
  <c r="D563" i="3" s="1"/>
  <c r="C564" i="3"/>
  <c r="D564" i="3" s="1"/>
  <c r="C565" i="3"/>
  <c r="D565" i="3"/>
  <c r="C566" i="3"/>
  <c r="D566" i="3"/>
  <c r="C567" i="3"/>
  <c r="D567" i="3" s="1"/>
  <c r="C568" i="3"/>
  <c r="D568" i="3" s="1"/>
  <c r="C569" i="3"/>
  <c r="D569" i="3" s="1"/>
  <c r="C570" i="3"/>
  <c r="D570" i="3"/>
  <c r="C571" i="3"/>
  <c r="D571" i="3"/>
  <c r="C572" i="3"/>
  <c r="D572" i="3" s="1"/>
  <c r="C573" i="3"/>
  <c r="D573" i="3" s="1"/>
  <c r="C574" i="3"/>
  <c r="D574" i="3"/>
  <c r="C575" i="3"/>
  <c r="D575" i="3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/>
  <c r="C582" i="3"/>
  <c r="D582" i="3" s="1"/>
  <c r="C583" i="3"/>
  <c r="D583" i="3"/>
  <c r="C584" i="3"/>
  <c r="D584" i="3" s="1"/>
  <c r="C585" i="3"/>
  <c r="D585" i="3"/>
  <c r="C586" i="3"/>
  <c r="D586" i="3" s="1"/>
  <c r="C587" i="3"/>
  <c r="D587" i="3"/>
  <c r="C588" i="3"/>
  <c r="D588" i="3" s="1"/>
  <c r="C589" i="3"/>
  <c r="D589" i="3" s="1"/>
  <c r="C590" i="3"/>
  <c r="D590" i="3"/>
  <c r="C591" i="3"/>
  <c r="D591" i="3" s="1"/>
  <c r="C592" i="3"/>
  <c r="D592" i="3" s="1"/>
  <c r="C593" i="3"/>
  <c r="D593" i="3"/>
  <c r="C594" i="3"/>
  <c r="D594" i="3" s="1"/>
  <c r="C595" i="3"/>
  <c r="D595" i="3" s="1"/>
  <c r="C596" i="3"/>
  <c r="D596" i="3" s="1"/>
  <c r="C597" i="3"/>
  <c r="D597" i="3"/>
  <c r="C598" i="3"/>
  <c r="D598" i="3"/>
  <c r="C599" i="3"/>
  <c r="D599" i="3" s="1"/>
  <c r="C600" i="3"/>
  <c r="D600" i="3" s="1"/>
  <c r="C601" i="3"/>
  <c r="D601" i="3"/>
  <c r="C602" i="3"/>
  <c r="D602" i="3" s="1"/>
  <c r="C603" i="3"/>
  <c r="D603" i="3"/>
  <c r="C604" i="3"/>
  <c r="D604" i="3" s="1"/>
  <c r="C605" i="3"/>
  <c r="D605" i="3" s="1"/>
  <c r="C606" i="3"/>
  <c r="D606" i="3"/>
  <c r="C607" i="3"/>
  <c r="D607" i="3" s="1"/>
  <c r="C608" i="3"/>
  <c r="D608" i="3" s="1"/>
  <c r="C609" i="3"/>
  <c r="D609" i="3" s="1"/>
  <c r="C610" i="3"/>
  <c r="D610" i="3"/>
  <c r="C611" i="3"/>
  <c r="D611" i="3"/>
  <c r="C612" i="3"/>
  <c r="D612" i="3" s="1"/>
  <c r="C613" i="3"/>
  <c r="D613" i="3" s="1"/>
  <c r="C614" i="3"/>
  <c r="D614" i="3" s="1"/>
  <c r="C615" i="3"/>
  <c r="D615" i="3"/>
  <c r="C616" i="3"/>
  <c r="D616" i="3" s="1"/>
  <c r="C617" i="3"/>
  <c r="D617" i="3" s="1"/>
  <c r="C618" i="3"/>
  <c r="D618" i="3"/>
  <c r="C619" i="3"/>
  <c r="D619" i="3"/>
  <c r="C620" i="3"/>
  <c r="D620" i="3" s="1"/>
  <c r="C621" i="3"/>
  <c r="D621" i="3"/>
  <c r="C622" i="3"/>
  <c r="D622" i="3"/>
  <c r="C623" i="3"/>
  <c r="D623" i="3" s="1"/>
  <c r="C624" i="3"/>
  <c r="D624" i="3" s="1"/>
  <c r="C625" i="3"/>
  <c r="D625" i="3"/>
  <c r="C626" i="3"/>
  <c r="D626" i="3"/>
  <c r="C627" i="3"/>
  <c r="D627" i="3"/>
  <c r="C628" i="3"/>
  <c r="D628" i="3" s="1"/>
  <c r="C629" i="3"/>
  <c r="D629" i="3"/>
  <c r="C630" i="3"/>
  <c r="D630" i="3" s="1"/>
  <c r="C631" i="3"/>
  <c r="D631" i="3" s="1"/>
  <c r="C632" i="3"/>
  <c r="D632" i="3" s="1"/>
  <c r="C633" i="3"/>
  <c r="D633" i="3"/>
  <c r="C634" i="3"/>
  <c r="D634" i="3"/>
  <c r="C635" i="3"/>
  <c r="D635" i="3"/>
  <c r="C636" i="3"/>
  <c r="D636" i="3" s="1"/>
  <c r="C637" i="3"/>
  <c r="D637" i="3"/>
  <c r="C638" i="3"/>
  <c r="D638" i="3" s="1"/>
  <c r="C639" i="3"/>
  <c r="D639" i="3" s="1"/>
  <c r="C640" i="3"/>
  <c r="D640" i="3" s="1"/>
  <c r="C641" i="3"/>
  <c r="D641" i="3"/>
  <c r="C642" i="3"/>
  <c r="D642" i="3" s="1"/>
  <c r="C643" i="3"/>
  <c r="D643" i="3"/>
  <c r="C644" i="3"/>
  <c r="D644" i="3" s="1"/>
  <c r="C645" i="3"/>
  <c r="D645" i="3"/>
  <c r="C646" i="3"/>
  <c r="D646" i="3"/>
  <c r="C647" i="3"/>
  <c r="D647" i="3" s="1"/>
  <c r="C648" i="3"/>
  <c r="D648" i="3" s="1"/>
  <c r="C649" i="3"/>
  <c r="D649" i="3"/>
  <c r="C650" i="3"/>
  <c r="D650" i="3"/>
  <c r="C651" i="3"/>
  <c r="D651" i="3" s="1"/>
  <c r="C652" i="3"/>
  <c r="D652" i="3" s="1"/>
  <c r="C653" i="3"/>
  <c r="D653" i="3"/>
  <c r="C654" i="3"/>
  <c r="D654" i="3" s="1"/>
  <c r="C655" i="3"/>
  <c r="D655" i="3"/>
  <c r="C656" i="3"/>
  <c r="D656" i="3" s="1"/>
  <c r="C657" i="3"/>
  <c r="D657" i="3"/>
  <c r="C658" i="3"/>
  <c r="D658" i="3"/>
  <c r="C659" i="3"/>
  <c r="D659" i="3"/>
  <c r="C660" i="3"/>
  <c r="D660" i="3" s="1"/>
  <c r="C661" i="3"/>
  <c r="D661" i="3"/>
  <c r="C662" i="3"/>
  <c r="D662" i="3" s="1"/>
  <c r="C663" i="3"/>
  <c r="D663" i="3" s="1"/>
  <c r="C664" i="3"/>
  <c r="D664" i="3" s="1"/>
  <c r="C665" i="3"/>
  <c r="D665" i="3"/>
  <c r="C666" i="3"/>
  <c r="D666" i="3"/>
  <c r="C667" i="3"/>
  <c r="D667" i="3" s="1"/>
  <c r="C668" i="3"/>
  <c r="D668" i="3" s="1"/>
  <c r="C669" i="3"/>
  <c r="D669" i="3"/>
  <c r="C670" i="3"/>
  <c r="D670" i="3" s="1"/>
  <c r="C671" i="3"/>
  <c r="D671" i="3" s="1"/>
  <c r="C672" i="3"/>
  <c r="D672" i="3" s="1"/>
  <c r="C673" i="3"/>
  <c r="D673" i="3"/>
  <c r="C674" i="3"/>
  <c r="D674" i="3" s="1"/>
  <c r="C675" i="3"/>
  <c r="D675" i="3"/>
  <c r="C676" i="3"/>
  <c r="D676" i="3" s="1"/>
  <c r="C677" i="3"/>
  <c r="D677" i="3"/>
  <c r="C678" i="3"/>
  <c r="D678" i="3"/>
  <c r="C679" i="3"/>
  <c r="D679" i="3" s="1"/>
  <c r="C680" i="3"/>
  <c r="D680" i="3" s="1"/>
  <c r="C681" i="3"/>
  <c r="D681" i="3"/>
  <c r="C682" i="3"/>
  <c r="D682" i="3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/>
  <c r="C690" i="3"/>
  <c r="D690" i="3" s="1"/>
  <c r="C691" i="3"/>
  <c r="D691" i="3"/>
  <c r="C692" i="3"/>
  <c r="D692" i="3" s="1"/>
  <c r="C693" i="3"/>
  <c r="D693" i="3" s="1"/>
  <c r="C694" i="3"/>
  <c r="D694" i="3"/>
  <c r="C695" i="3"/>
  <c r="D695" i="3" s="1"/>
  <c r="C696" i="3"/>
  <c r="D696" i="3" s="1"/>
  <c r="C697" i="3"/>
  <c r="D697" i="3" s="1"/>
  <c r="C698" i="3"/>
  <c r="D698" i="3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/>
  <c r="C706" i="3"/>
  <c r="D706" i="3" s="1"/>
  <c r="C707" i="3"/>
  <c r="D707" i="3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/>
  <c r="C714" i="3"/>
  <c r="D714" i="3"/>
  <c r="C715" i="3"/>
  <c r="D715" i="3" s="1"/>
  <c r="C716" i="3"/>
  <c r="D716" i="3" s="1"/>
  <c r="C717" i="3"/>
  <c r="D717" i="3"/>
  <c r="C718" i="3"/>
  <c r="D718" i="3" s="1"/>
  <c r="C719" i="3"/>
  <c r="D719" i="3" s="1"/>
  <c r="C720" i="3"/>
  <c r="D720" i="3" s="1"/>
  <c r="C721" i="3"/>
  <c r="D721" i="3"/>
  <c r="C722" i="3"/>
  <c r="D722" i="3"/>
  <c r="C723" i="3"/>
  <c r="D723" i="3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/>
  <c r="C731" i="3"/>
  <c r="D731" i="3"/>
  <c r="C732" i="3"/>
  <c r="D732" i="3" s="1"/>
  <c r="C733" i="3"/>
  <c r="D733" i="3"/>
  <c r="C734" i="3"/>
  <c r="D734" i="3" s="1"/>
  <c r="C735" i="3"/>
  <c r="D735" i="3" s="1"/>
  <c r="C736" i="3"/>
  <c r="D736" i="3" s="1"/>
  <c r="C737" i="3"/>
  <c r="D737" i="3"/>
  <c r="C738" i="3"/>
  <c r="D738" i="3" s="1"/>
  <c r="C739" i="3"/>
  <c r="D739" i="3"/>
  <c r="C740" i="3"/>
  <c r="D740" i="3" s="1"/>
  <c r="C741" i="3"/>
  <c r="D741" i="3" s="1"/>
  <c r="C742" i="3"/>
  <c r="D742" i="3"/>
  <c r="C743" i="3"/>
  <c r="D743" i="3" s="1"/>
  <c r="C744" i="3"/>
  <c r="D744" i="3" s="1"/>
  <c r="C745" i="3"/>
  <c r="D745" i="3" s="1"/>
  <c r="C746" i="3"/>
  <c r="D746" i="3"/>
  <c r="C747" i="3"/>
  <c r="D747" i="3" s="1"/>
  <c r="C748" i="3"/>
  <c r="D748" i="3" s="1"/>
  <c r="C749" i="3"/>
  <c r="D749" i="3"/>
  <c r="C750" i="3"/>
  <c r="D750" i="3" s="1"/>
  <c r="C751" i="3"/>
  <c r="D751" i="3"/>
  <c r="C752" i="3"/>
  <c r="D752" i="3" s="1"/>
  <c r="C753" i="3"/>
  <c r="D753" i="3"/>
  <c r="C754" i="3"/>
  <c r="D754" i="3"/>
  <c r="C755" i="3"/>
  <c r="D755" i="3"/>
  <c r="C756" i="3"/>
  <c r="D756" i="3" s="1"/>
  <c r="C757" i="3"/>
  <c r="D757" i="3" s="1"/>
  <c r="C758" i="3"/>
  <c r="D758" i="3"/>
  <c r="C759" i="3"/>
  <c r="D759" i="3" s="1"/>
  <c r="C760" i="3"/>
  <c r="D760" i="3" s="1"/>
  <c r="C761" i="3"/>
  <c r="D761" i="3" s="1"/>
  <c r="C762" i="3"/>
  <c r="D762" i="3"/>
  <c r="C763" i="3"/>
  <c r="D763" i="3" s="1"/>
  <c r="C764" i="3"/>
  <c r="D764" i="3" s="1"/>
  <c r="C765" i="3"/>
  <c r="D765" i="3"/>
  <c r="C766" i="3"/>
  <c r="D766" i="3" s="1"/>
  <c r="C767" i="3"/>
  <c r="D767" i="3"/>
  <c r="C768" i="3"/>
  <c r="D768" i="3" s="1"/>
  <c r="C769" i="3"/>
  <c r="D769" i="3"/>
  <c r="C770" i="3"/>
  <c r="D770" i="3" s="1"/>
  <c r="C771" i="3"/>
  <c r="D771" i="3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/>
  <c r="C778" i="3"/>
  <c r="D778" i="3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/>
  <c r="C786" i="3"/>
  <c r="D786" i="3" s="1"/>
  <c r="C787" i="3"/>
  <c r="D787" i="3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/>
  <c r="C802" i="3"/>
  <c r="D802" i="3" s="1"/>
  <c r="C803" i="3"/>
  <c r="D803" i="3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/>
  <c r="C810" i="3"/>
  <c r="D810" i="3"/>
  <c r="C811" i="3"/>
  <c r="D811" i="3" s="1"/>
  <c r="C812" i="3"/>
  <c r="D812" i="3" s="1"/>
  <c r="C813" i="3"/>
  <c r="D813" i="3"/>
  <c r="C814" i="3"/>
  <c r="D814" i="3" s="1"/>
  <c r="C815" i="3"/>
  <c r="D815" i="3" s="1"/>
  <c r="C816" i="3"/>
  <c r="D816" i="3" s="1"/>
  <c r="C817" i="3"/>
  <c r="D817" i="3"/>
  <c r="C818" i="3"/>
  <c r="D818" i="3"/>
  <c r="C819" i="3"/>
  <c r="D819" i="3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/>
  <c r="C827" i="3"/>
  <c r="D827" i="3"/>
  <c r="C828" i="3"/>
  <c r="D828" i="3" s="1"/>
  <c r="C829" i="3"/>
  <c r="D829" i="3"/>
  <c r="C830" i="3"/>
  <c r="D830" i="3" s="1"/>
  <c r="C831" i="3"/>
  <c r="D831" i="3" s="1"/>
  <c r="C832" i="3"/>
  <c r="D832" i="3" s="1"/>
  <c r="C833" i="3"/>
  <c r="D833" i="3"/>
  <c r="C834" i="3"/>
  <c r="D834" i="3" s="1"/>
  <c r="C835" i="3"/>
  <c r="D835" i="3"/>
  <c r="C836" i="3"/>
  <c r="D836" i="3" s="1"/>
  <c r="C837" i="3"/>
  <c r="D837" i="3" s="1"/>
  <c r="C838" i="3"/>
  <c r="D838" i="3"/>
  <c r="C839" i="3"/>
  <c r="D839" i="3" s="1"/>
  <c r="C840" i="3"/>
  <c r="D840" i="3" s="1"/>
  <c r="C841" i="3"/>
  <c r="D841" i="3" s="1"/>
  <c r="C842" i="3"/>
  <c r="D842" i="3"/>
  <c r="C843" i="3"/>
  <c r="D843" i="3" s="1"/>
  <c r="C844" i="3"/>
  <c r="D844" i="3" s="1"/>
  <c r="C845" i="3"/>
  <c r="D845" i="3" s="1"/>
  <c r="C846" i="3"/>
  <c r="D846" i="3" s="1"/>
  <c r="C847" i="3"/>
  <c r="D847" i="3"/>
  <c r="C848" i="3"/>
  <c r="D848" i="3" s="1"/>
  <c r="C849" i="3"/>
  <c r="D849" i="3"/>
  <c r="C850" i="3"/>
  <c r="D850" i="3" s="1"/>
  <c r="C851" i="3"/>
  <c r="D851" i="3"/>
  <c r="C852" i="3"/>
  <c r="D852" i="3" s="1"/>
  <c r="C853" i="3"/>
  <c r="D853" i="3" s="1"/>
  <c r="C854" i="3"/>
  <c r="D854" i="3"/>
  <c r="C855" i="3"/>
  <c r="D855" i="3" s="1"/>
  <c r="C856" i="3"/>
  <c r="D856" i="3" s="1"/>
  <c r="C857" i="3"/>
  <c r="D857" i="3" s="1"/>
  <c r="C858" i="3"/>
  <c r="D858" i="3"/>
  <c r="C859" i="3"/>
  <c r="D859" i="3"/>
  <c r="C860" i="3"/>
  <c r="D860" i="3" s="1"/>
  <c r="C861" i="3"/>
  <c r="D861" i="3"/>
  <c r="C862" i="3"/>
  <c r="D862" i="3" s="1"/>
  <c r="C863" i="3"/>
  <c r="D863" i="3"/>
  <c r="C864" i="3"/>
  <c r="D864" i="3" s="1"/>
  <c r="C865" i="3"/>
  <c r="D865" i="3"/>
  <c r="C866" i="3"/>
  <c r="D866" i="3"/>
  <c r="C867" i="3"/>
  <c r="D867" i="3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/>
  <c r="C874" i="3"/>
  <c r="D874" i="3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/>
  <c r="C884" i="3"/>
  <c r="D884" i="3" s="1"/>
  <c r="C885" i="3"/>
  <c r="D885" i="3"/>
  <c r="C886" i="3"/>
  <c r="D886" i="3" s="1"/>
  <c r="C887" i="3"/>
  <c r="D887" i="3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/>
  <c r="C900" i="3"/>
  <c r="D900" i="3" s="1"/>
  <c r="C901" i="3"/>
  <c r="D901" i="3"/>
  <c r="C902" i="3"/>
  <c r="D902" i="3" s="1"/>
  <c r="C903" i="3"/>
  <c r="D903" i="3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/>
  <c r="C916" i="3"/>
  <c r="D916" i="3" s="1"/>
  <c r="C917" i="3"/>
  <c r="D917" i="3"/>
  <c r="C918" i="3"/>
  <c r="D918" i="3" s="1"/>
  <c r="C919" i="3"/>
  <c r="D919" i="3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/>
  <c r="C932" i="3"/>
  <c r="D932" i="3" s="1"/>
  <c r="C933" i="3"/>
  <c r="D933" i="3"/>
  <c r="C934" i="3"/>
  <c r="D934" i="3" s="1"/>
  <c r="C935" i="3"/>
  <c r="D935" i="3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/>
  <c r="C948" i="3"/>
  <c r="D948" i="3" s="1"/>
  <c r="C949" i="3"/>
  <c r="D949" i="3"/>
  <c r="C950" i="3"/>
  <c r="D950" i="3" s="1"/>
  <c r="C951" i="3"/>
  <c r="D951" i="3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/>
  <c r="C964" i="3"/>
  <c r="D964" i="3" s="1"/>
  <c r="C965" i="3"/>
  <c r="D965" i="3"/>
  <c r="C966" i="3"/>
  <c r="D966" i="3" s="1"/>
  <c r="C967" i="3"/>
  <c r="D967" i="3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/>
  <c r="C980" i="3"/>
  <c r="D980" i="3" s="1"/>
  <c r="C981" i="3"/>
  <c r="D981" i="3"/>
  <c r="C982" i="3"/>
  <c r="D982" i="3" s="1"/>
  <c r="C983" i="3"/>
  <c r="D983" i="3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/>
  <c r="C996" i="3"/>
  <c r="D996" i="3" s="1"/>
  <c r="C997" i="3"/>
  <c r="D997" i="3"/>
  <c r="C998" i="3"/>
  <c r="D998" i="3" s="1"/>
  <c r="C999" i="3"/>
  <c r="D999" i="3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/>
  <c r="C1012" i="3"/>
  <c r="D1012" i="3" s="1"/>
  <c r="C1013" i="3"/>
  <c r="D1013" i="3"/>
  <c r="C1014" i="3"/>
  <c r="D1014" i="3" s="1"/>
  <c r="C1015" i="3"/>
  <c r="D1015" i="3"/>
  <c r="C1016" i="3"/>
  <c r="D1016" i="3" s="1"/>
  <c r="C1017" i="3"/>
  <c r="D1017" i="3" s="1"/>
  <c r="C1018" i="3"/>
  <c r="D1018" i="3" s="1"/>
  <c r="C1019" i="3"/>
  <c r="D1019" i="3" s="1"/>
  <c r="C1020" i="3"/>
  <c r="D1020" i="3" s="1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/>
  <c r="C1028" i="3"/>
  <c r="D1028" i="3" s="1"/>
  <c r="C1029" i="3"/>
  <c r="D1029" i="3"/>
  <c r="C1030" i="3"/>
  <c r="D1030" i="3" s="1"/>
  <c r="C1031" i="3"/>
  <c r="D1031" i="3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 s="1"/>
  <c r="C1041" i="3"/>
  <c r="D1041" i="3" s="1"/>
  <c r="C1042" i="3"/>
  <c r="D1042" i="3" s="1"/>
  <c r="C1043" i="3"/>
  <c r="D1043" i="3"/>
  <c r="C1044" i="3"/>
  <c r="D1044" i="3" s="1"/>
  <c r="C1045" i="3"/>
  <c r="D1045" i="3"/>
  <c r="C1046" i="3"/>
  <c r="D1046" i="3" s="1"/>
  <c r="C1047" i="3"/>
  <c r="D1047" i="3"/>
  <c r="C1048" i="3"/>
  <c r="D1048" i="3" s="1"/>
  <c r="C1049" i="3"/>
  <c r="D1049" i="3" s="1"/>
  <c r="C1050" i="3"/>
  <c r="D1050" i="3" s="1"/>
  <c r="C1051" i="3"/>
  <c r="D1051" i="3" s="1"/>
  <c r="C1052" i="3"/>
  <c r="D1052" i="3" s="1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/>
  <c r="C1060" i="3"/>
  <c r="D1060" i="3" s="1"/>
  <c r="C1061" i="3"/>
  <c r="D1061" i="3"/>
  <c r="C1062" i="3"/>
  <c r="D1062" i="3" s="1"/>
  <c r="C1063" i="3"/>
  <c r="D1063" i="3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/>
  <c r="C1076" i="3"/>
  <c r="D1076" i="3" s="1"/>
  <c r="C1077" i="3"/>
  <c r="D1077" i="3"/>
  <c r="C1078" i="3"/>
  <c r="D1078" i="3" s="1"/>
  <c r="C1079" i="3"/>
  <c r="D1079" i="3"/>
  <c r="C1080" i="3"/>
  <c r="D1080" i="3" s="1"/>
  <c r="C1081" i="3"/>
  <c r="D1081" i="3" s="1"/>
  <c r="C1082" i="3"/>
  <c r="D1082" i="3" s="1"/>
  <c r="C1083" i="3"/>
  <c r="D1083" i="3" s="1"/>
  <c r="C1084" i="3"/>
  <c r="D1084" i="3" s="1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/>
  <c r="C1092" i="3"/>
  <c r="D1092" i="3" s="1"/>
  <c r="C1093" i="3"/>
  <c r="D1093" i="3"/>
  <c r="C1094" i="3"/>
  <c r="D1094" i="3" s="1"/>
  <c r="C1095" i="3"/>
  <c r="D1095" i="3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37" i="3"/>
  <c r="D37" i="3" s="1"/>
  <c r="C38" i="3"/>
  <c r="D38" i="3"/>
  <c r="C39" i="3"/>
  <c r="D39" i="3"/>
  <c r="C40" i="3"/>
  <c r="D40" i="3"/>
  <c r="C41" i="3"/>
  <c r="D41" i="3" s="1"/>
  <c r="D36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4" i="3"/>
  <c r="H189" i="3" l="1"/>
  <c r="H157" i="3"/>
  <c r="H125" i="3"/>
  <c r="H117" i="3"/>
  <c r="H109" i="3"/>
  <c r="H101" i="3"/>
  <c r="H93" i="3"/>
  <c r="H85" i="3"/>
  <c r="H77" i="3"/>
  <c r="H69" i="3"/>
  <c r="H61" i="3"/>
  <c r="H53" i="3"/>
  <c r="H45" i="3"/>
  <c r="H206" i="3"/>
  <c r="H196" i="3"/>
  <c r="H164" i="3"/>
  <c r="H142" i="3"/>
  <c r="H132" i="3"/>
  <c r="H181" i="3"/>
  <c r="H149" i="3"/>
  <c r="H198" i="3"/>
  <c r="H188" i="3"/>
  <c r="H166" i="3"/>
  <c r="H156" i="3"/>
  <c r="H134" i="3"/>
  <c r="H190" i="3"/>
  <c r="H180" i="3"/>
  <c r="H158" i="3"/>
  <c r="H148" i="3"/>
  <c r="H126" i="3"/>
  <c r="H201" i="3"/>
  <c r="H185" i="3"/>
  <c r="H169" i="3"/>
  <c r="H153" i="3"/>
  <c r="H137" i="3"/>
  <c r="H123" i="3"/>
  <c r="H115" i="3"/>
  <c r="H107" i="3"/>
  <c r="H99" i="3"/>
  <c r="H91" i="3"/>
  <c r="H83" i="3"/>
  <c r="H75" i="3"/>
  <c r="H67" i="3"/>
  <c r="H59" i="3"/>
  <c r="H51" i="3"/>
  <c r="H43" i="3"/>
  <c r="H203" i="3"/>
  <c r="H187" i="3"/>
  <c r="H171" i="3"/>
  <c r="H155" i="3"/>
  <c r="H139" i="3"/>
  <c r="H120" i="3"/>
  <c r="H112" i="3"/>
  <c r="H104" i="3"/>
  <c r="H96" i="3"/>
  <c r="H88" i="3"/>
  <c r="H80" i="3"/>
  <c r="H72" i="3"/>
  <c r="H64" i="3"/>
  <c r="H56" i="3"/>
  <c r="H48" i="3"/>
  <c r="H40" i="3"/>
  <c r="H207" i="3"/>
  <c r="H191" i="3"/>
  <c r="H175" i="3"/>
  <c r="H159" i="3"/>
  <c r="H143" i="3"/>
  <c r="H127" i="3"/>
  <c r="H122" i="3"/>
  <c r="H114" i="3"/>
  <c r="H106" i="3"/>
  <c r="H98" i="3"/>
  <c r="H90" i="3"/>
  <c r="H82" i="3"/>
  <c r="H74" i="3"/>
  <c r="H66" i="3"/>
  <c r="H58" i="3"/>
  <c r="H50" i="3"/>
  <c r="H42" i="3"/>
  <c r="H193" i="3"/>
  <c r="H177" i="3"/>
  <c r="H161" i="3"/>
  <c r="H145" i="3"/>
  <c r="H129" i="3"/>
  <c r="H119" i="3"/>
  <c r="H111" i="3"/>
  <c r="H103" i="3"/>
  <c r="H95" i="3"/>
  <c r="H87" i="3"/>
  <c r="H79" i="3"/>
  <c r="H71" i="3"/>
  <c r="H63" i="3"/>
  <c r="H55" i="3"/>
  <c r="H47" i="3"/>
  <c r="H39" i="3"/>
  <c r="H195" i="3"/>
  <c r="H179" i="3"/>
  <c r="H163" i="3"/>
  <c r="H147" i="3"/>
  <c r="H131" i="3"/>
  <c r="H124" i="3"/>
  <c r="H116" i="3"/>
  <c r="H108" i="3"/>
  <c r="H100" i="3"/>
  <c r="H92" i="3"/>
  <c r="H84" i="3"/>
  <c r="H76" i="3"/>
  <c r="H68" i="3"/>
  <c r="H60" i="3"/>
  <c r="H52" i="3"/>
  <c r="H44" i="3"/>
  <c r="H199" i="3"/>
  <c r="H183" i="3"/>
  <c r="H167" i="3"/>
  <c r="H151" i="3"/>
  <c r="H135" i="3"/>
  <c r="H118" i="3"/>
  <c r="H110" i="3"/>
  <c r="H102" i="3"/>
  <c r="H94" i="3"/>
  <c r="H86" i="3"/>
  <c r="H78" i="3"/>
  <c r="H70" i="3"/>
  <c r="H62" i="3"/>
  <c r="H54" i="3"/>
  <c r="H46" i="3"/>
  <c r="H38" i="3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V12" i="2"/>
  <c r="T12" i="2"/>
  <c r="T13" i="2"/>
  <c r="T14" i="2"/>
  <c r="U12" i="2"/>
  <c r="A94" i="2" l="1"/>
  <c r="A95" i="2"/>
  <c r="T76" i="2"/>
  <c r="U76" i="2"/>
  <c r="A74" i="2" s="1"/>
  <c r="T77" i="2"/>
  <c r="U77" i="2"/>
  <c r="A75" i="2" s="1"/>
  <c r="T78" i="2"/>
  <c r="U78" i="2"/>
  <c r="A76" i="2" s="1"/>
  <c r="T79" i="2"/>
  <c r="U79" i="2"/>
  <c r="A77" i="2" s="1"/>
  <c r="T80" i="2"/>
  <c r="U80" i="2"/>
  <c r="A78" i="2" s="1"/>
  <c r="T81" i="2"/>
  <c r="U81" i="2"/>
  <c r="A79" i="2" s="1"/>
  <c r="T82" i="2"/>
  <c r="U82" i="2"/>
  <c r="A80" i="2" s="1"/>
  <c r="T83" i="2"/>
  <c r="U83" i="2"/>
  <c r="A81" i="2" s="1"/>
  <c r="T84" i="2"/>
  <c r="U84" i="2"/>
  <c r="A82" i="2" s="1"/>
  <c r="T85" i="2"/>
  <c r="U85" i="2"/>
  <c r="A83" i="2" s="1"/>
  <c r="T86" i="2"/>
  <c r="U86" i="2"/>
  <c r="A84" i="2" s="1"/>
  <c r="T87" i="2"/>
  <c r="U87" i="2"/>
  <c r="A85" i="2" s="1"/>
  <c r="T88" i="2"/>
  <c r="U88" i="2"/>
  <c r="A86" i="2" s="1"/>
  <c r="T89" i="2"/>
  <c r="U89" i="2"/>
  <c r="A87" i="2" s="1"/>
  <c r="T90" i="2"/>
  <c r="U90" i="2"/>
  <c r="A88" i="2" s="1"/>
  <c r="T91" i="2"/>
  <c r="U91" i="2"/>
  <c r="A89" i="2" s="1"/>
  <c r="T92" i="2"/>
  <c r="U92" i="2"/>
  <c r="A90" i="2" s="1"/>
  <c r="T93" i="2"/>
  <c r="U93" i="2"/>
  <c r="A91" i="2" s="1"/>
  <c r="T94" i="2"/>
  <c r="U94" i="2"/>
  <c r="A92" i="2" s="1"/>
  <c r="T95" i="2"/>
  <c r="U95" i="2"/>
  <c r="A93" i="2" s="1"/>
  <c r="T55" i="2"/>
  <c r="U55" i="2"/>
  <c r="A53" i="2" s="1"/>
  <c r="T56" i="2"/>
  <c r="U56" i="2"/>
  <c r="A54" i="2" s="1"/>
  <c r="T57" i="2"/>
  <c r="U57" i="2"/>
  <c r="A55" i="2" s="1"/>
  <c r="T58" i="2"/>
  <c r="U58" i="2"/>
  <c r="A56" i="2" s="1"/>
  <c r="T59" i="2"/>
  <c r="U59" i="2"/>
  <c r="A57" i="2" s="1"/>
  <c r="T60" i="2"/>
  <c r="U60" i="2"/>
  <c r="A58" i="2" s="1"/>
  <c r="T61" i="2"/>
  <c r="U61" i="2"/>
  <c r="A59" i="2" s="1"/>
  <c r="T62" i="2"/>
  <c r="U62" i="2"/>
  <c r="A60" i="2" s="1"/>
  <c r="T63" i="2"/>
  <c r="U63" i="2"/>
  <c r="A61" i="2" s="1"/>
  <c r="T64" i="2"/>
  <c r="U64" i="2"/>
  <c r="A62" i="2" s="1"/>
  <c r="T65" i="2"/>
  <c r="U65" i="2"/>
  <c r="A63" i="2" s="1"/>
  <c r="T66" i="2"/>
  <c r="U66" i="2"/>
  <c r="A64" i="2" s="1"/>
  <c r="T67" i="2"/>
  <c r="U67" i="2"/>
  <c r="A65" i="2" s="1"/>
  <c r="T68" i="2"/>
  <c r="U68" i="2"/>
  <c r="A66" i="2" s="1"/>
  <c r="T69" i="2"/>
  <c r="U69" i="2"/>
  <c r="A67" i="2" s="1"/>
  <c r="T70" i="2"/>
  <c r="U70" i="2"/>
  <c r="A68" i="2" s="1"/>
  <c r="T71" i="2"/>
  <c r="U71" i="2"/>
  <c r="A69" i="2" s="1"/>
  <c r="T72" i="2"/>
  <c r="U72" i="2"/>
  <c r="A70" i="2" s="1"/>
  <c r="T73" i="2"/>
  <c r="U73" i="2"/>
  <c r="A71" i="2" s="1"/>
  <c r="T74" i="2"/>
  <c r="U74" i="2"/>
  <c r="A72" i="2" s="1"/>
  <c r="T75" i="2"/>
  <c r="U75" i="2"/>
  <c r="A73" i="2" s="1"/>
  <c r="T36" i="2"/>
  <c r="U36" i="2"/>
  <c r="A34" i="2" s="1"/>
  <c r="T37" i="2"/>
  <c r="U37" i="2"/>
  <c r="A35" i="2" s="1"/>
  <c r="T38" i="2"/>
  <c r="U38" i="2"/>
  <c r="A36" i="2" s="1"/>
  <c r="T39" i="2"/>
  <c r="U39" i="2"/>
  <c r="A37" i="2" s="1"/>
  <c r="T40" i="2"/>
  <c r="U40" i="2"/>
  <c r="A38" i="2" s="1"/>
  <c r="T41" i="2"/>
  <c r="U41" i="2"/>
  <c r="A39" i="2" s="1"/>
  <c r="T42" i="2"/>
  <c r="U42" i="2"/>
  <c r="A40" i="2" s="1"/>
  <c r="T43" i="2"/>
  <c r="U43" i="2"/>
  <c r="A41" i="2" s="1"/>
  <c r="T44" i="2"/>
  <c r="U44" i="2"/>
  <c r="A42" i="2" s="1"/>
  <c r="T45" i="2"/>
  <c r="U45" i="2"/>
  <c r="A43" i="2" s="1"/>
  <c r="T46" i="2"/>
  <c r="U46" i="2"/>
  <c r="A44" i="2" s="1"/>
  <c r="T47" i="2"/>
  <c r="U47" i="2"/>
  <c r="A45" i="2" s="1"/>
  <c r="T48" i="2"/>
  <c r="U48" i="2"/>
  <c r="A46" i="2" s="1"/>
  <c r="T49" i="2"/>
  <c r="U49" i="2"/>
  <c r="A47" i="2" s="1"/>
  <c r="T50" i="2"/>
  <c r="U50" i="2"/>
  <c r="A48" i="2" s="1"/>
  <c r="T51" i="2"/>
  <c r="U51" i="2"/>
  <c r="A49" i="2" s="1"/>
  <c r="T52" i="2"/>
  <c r="U52" i="2"/>
  <c r="A50" i="2" s="1"/>
  <c r="T53" i="2"/>
  <c r="U53" i="2"/>
  <c r="A51" i="2" s="1"/>
  <c r="T54" i="2"/>
  <c r="U54" i="2"/>
  <c r="A52" i="2" s="1"/>
  <c r="T18" i="2"/>
  <c r="A16" i="2"/>
  <c r="T19" i="2"/>
  <c r="A17" i="2"/>
  <c r="T20" i="2"/>
  <c r="A18" i="2"/>
  <c r="T21" i="2"/>
  <c r="A19" i="2"/>
  <c r="T22" i="2"/>
  <c r="A20" i="2"/>
  <c r="T23" i="2"/>
  <c r="A21" i="2"/>
  <c r="T24" i="2"/>
  <c r="A22" i="2"/>
  <c r="T25" i="2"/>
  <c r="U25" i="2"/>
  <c r="A23" i="2" s="1"/>
  <c r="T26" i="2"/>
  <c r="U26" i="2"/>
  <c r="A24" i="2" s="1"/>
  <c r="T27" i="2"/>
  <c r="U27" i="2"/>
  <c r="A25" i="2" s="1"/>
  <c r="T28" i="2"/>
  <c r="U28" i="2"/>
  <c r="A26" i="2" s="1"/>
  <c r="T29" i="2"/>
  <c r="U29" i="2"/>
  <c r="A27" i="2" s="1"/>
  <c r="T30" i="2"/>
  <c r="U30" i="2"/>
  <c r="A28" i="2" s="1"/>
  <c r="T31" i="2"/>
  <c r="U31" i="2"/>
  <c r="A29" i="2" s="1"/>
  <c r="T32" i="2"/>
  <c r="U32" i="2"/>
  <c r="A30" i="2" s="1"/>
  <c r="T33" i="2"/>
  <c r="U33" i="2"/>
  <c r="A31" i="2" s="1"/>
  <c r="T34" i="2"/>
  <c r="U34" i="2"/>
  <c r="A32" i="2" s="1"/>
  <c r="T35" i="2"/>
  <c r="U35" i="2"/>
  <c r="A33" i="2" s="1"/>
  <c r="A15" i="2"/>
  <c r="T16" i="2"/>
  <c r="T17" i="2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I5" i="1" l="1"/>
  <c r="K5" i="1" s="1"/>
  <c r="J5" i="1"/>
  <c r="G6" i="1"/>
  <c r="G7" i="1" l="1"/>
  <c r="I6" i="1"/>
  <c r="J6" i="1" l="1"/>
  <c r="E6" i="1" s="1"/>
  <c r="K6" i="1"/>
  <c r="F6" i="1" s="1"/>
  <c r="G8" i="1"/>
  <c r="I7" i="1"/>
  <c r="J7" i="1" l="1"/>
  <c r="E7" i="1" s="1"/>
  <c r="K7" i="1"/>
  <c r="F7" i="1" s="1"/>
  <c r="G9" i="1"/>
  <c r="I8" i="1"/>
  <c r="J8" i="1" l="1"/>
  <c r="E8" i="1" s="1"/>
  <c r="K8" i="1"/>
  <c r="F8" i="1" s="1"/>
  <c r="G10" i="1"/>
  <c r="I9" i="1"/>
  <c r="I10" i="1" l="1"/>
  <c r="J10" i="1" s="1"/>
  <c r="G11" i="1"/>
  <c r="J9" i="1"/>
  <c r="E9" i="1" s="1"/>
  <c r="K9" i="1"/>
  <c r="F9" i="1" s="1"/>
  <c r="K10" i="1" l="1"/>
  <c r="F10" i="1" s="1"/>
  <c r="G12" i="1"/>
  <c r="I11" i="1"/>
  <c r="E10" i="1"/>
  <c r="K11" i="1" l="1"/>
  <c r="F11" i="1" s="1"/>
  <c r="J11" i="1"/>
  <c r="E11" i="1" s="1"/>
  <c r="G13" i="1"/>
  <c r="I12" i="1"/>
  <c r="J12" i="1" l="1"/>
  <c r="E12" i="1" s="1"/>
  <c r="K12" i="1"/>
  <c r="F12" i="1" s="1"/>
  <c r="G14" i="1"/>
  <c r="I13" i="1"/>
  <c r="I14" i="1" l="1"/>
  <c r="G15" i="1"/>
  <c r="J13" i="1"/>
  <c r="E13" i="1" s="1"/>
  <c r="K13" i="1"/>
  <c r="F13" i="1" s="1"/>
  <c r="I15" i="1" l="1"/>
  <c r="G16" i="1"/>
  <c r="K14" i="1"/>
  <c r="F14" i="1" s="1"/>
  <c r="J14" i="1"/>
  <c r="E14" i="1" s="1"/>
  <c r="K15" i="1" l="1"/>
  <c r="F15" i="1" s="1"/>
  <c r="J15" i="1"/>
  <c r="E15" i="1" s="1"/>
  <c r="I16" i="1"/>
  <c r="G17" i="1"/>
  <c r="K16" i="1" l="1"/>
  <c r="F16" i="1" s="1"/>
  <c r="J16" i="1"/>
  <c r="E16" i="1" s="1"/>
  <c r="G18" i="1"/>
  <c r="I17" i="1"/>
  <c r="K17" i="1" l="1"/>
  <c r="F17" i="1" s="1"/>
  <c r="J17" i="1"/>
  <c r="E17" i="1" s="1"/>
  <c r="G19" i="1"/>
  <c r="I18" i="1"/>
  <c r="J18" i="1" l="1"/>
  <c r="E18" i="1" s="1"/>
  <c r="K18" i="1"/>
  <c r="F18" i="1" s="1"/>
  <c r="G20" i="1"/>
  <c r="I19" i="1"/>
  <c r="J19" i="1" l="1"/>
  <c r="E19" i="1" s="1"/>
  <c r="K19" i="1"/>
  <c r="F19" i="1" s="1"/>
  <c r="G21" i="1"/>
  <c r="I20" i="1"/>
  <c r="J20" i="1" l="1"/>
  <c r="E20" i="1" s="1"/>
  <c r="K20" i="1"/>
  <c r="F20" i="1" s="1"/>
  <c r="I21" i="1"/>
  <c r="G22" i="1"/>
  <c r="G23" i="1" l="1"/>
  <c r="I22" i="1"/>
  <c r="K21" i="1"/>
  <c r="F21" i="1" s="1"/>
  <c r="J21" i="1"/>
  <c r="E21" i="1" s="1"/>
  <c r="K22" i="1" l="1"/>
  <c r="F22" i="1" s="1"/>
  <c r="J22" i="1"/>
  <c r="E22" i="1" s="1"/>
  <c r="I23" i="1"/>
  <c r="G24" i="1"/>
  <c r="G25" i="1" l="1"/>
  <c r="I24" i="1"/>
  <c r="K23" i="1"/>
  <c r="F23" i="1" s="1"/>
  <c r="J23" i="1"/>
  <c r="E23" i="1" s="1"/>
  <c r="I25" i="1" l="1"/>
  <c r="J25" i="1" s="1"/>
  <c r="G26" i="1"/>
  <c r="K24" i="1"/>
  <c r="F24" i="1" s="1"/>
  <c r="J24" i="1"/>
  <c r="E24" i="1" s="1"/>
  <c r="K25" i="1" l="1"/>
  <c r="F25" i="1" s="1"/>
  <c r="G27" i="1"/>
  <c r="I26" i="1"/>
  <c r="E25" i="1"/>
  <c r="J26" i="1" l="1"/>
  <c r="E26" i="1" s="1"/>
  <c r="K26" i="1"/>
  <c r="F26" i="1" s="1"/>
  <c r="G28" i="1"/>
  <c r="I27" i="1"/>
  <c r="J27" i="1" l="1"/>
  <c r="E27" i="1" s="1"/>
  <c r="K27" i="1"/>
  <c r="F27" i="1" s="1"/>
  <c r="G29" i="1"/>
  <c r="I28" i="1"/>
  <c r="J28" i="1" l="1"/>
  <c r="E28" i="1" s="1"/>
  <c r="K28" i="1"/>
  <c r="F28" i="1" s="1"/>
  <c r="G30" i="1"/>
  <c r="I29" i="1"/>
  <c r="K29" i="1" l="1"/>
  <c r="F29" i="1" s="1"/>
  <c r="J29" i="1"/>
  <c r="E29" i="1" s="1"/>
  <c r="G31" i="1"/>
  <c r="I30" i="1"/>
  <c r="G32" i="1" l="1"/>
  <c r="I31" i="1"/>
  <c r="J30" i="1"/>
  <c r="E30" i="1" s="1"/>
  <c r="K30" i="1"/>
  <c r="F30" i="1" s="1"/>
  <c r="J31" i="1" l="1"/>
  <c r="E31" i="1" s="1"/>
  <c r="K31" i="1"/>
  <c r="F31" i="1" s="1"/>
  <c r="G33" i="1"/>
  <c r="I32" i="1"/>
  <c r="J32" i="1" l="1"/>
  <c r="E32" i="1" s="1"/>
  <c r="K32" i="1"/>
  <c r="F32" i="1" s="1"/>
  <c r="G34" i="1"/>
  <c r="I33" i="1"/>
  <c r="J33" i="1" l="1"/>
  <c r="E33" i="1" s="1"/>
  <c r="K33" i="1"/>
  <c r="F33" i="1" s="1"/>
  <c r="I34" i="1"/>
  <c r="G35" i="1"/>
  <c r="G36" i="1" l="1"/>
  <c r="I35" i="1"/>
  <c r="J34" i="1"/>
  <c r="E34" i="1" s="1"/>
  <c r="K34" i="1"/>
  <c r="F34" i="1" s="1"/>
  <c r="J35" i="1" l="1"/>
  <c r="E35" i="1" s="1"/>
  <c r="K35" i="1"/>
  <c r="F35" i="1" s="1"/>
  <c r="G37" i="1"/>
  <c r="I36" i="1"/>
  <c r="J36" i="1" l="1"/>
  <c r="E36" i="1" s="1"/>
  <c r="K36" i="1"/>
  <c r="F36" i="1" s="1"/>
  <c r="G38" i="1"/>
  <c r="I37" i="1"/>
  <c r="K37" i="1" l="1"/>
  <c r="F37" i="1" s="1"/>
  <c r="J37" i="1"/>
  <c r="E37" i="1" s="1"/>
  <c r="G39" i="1"/>
  <c r="I38" i="1"/>
  <c r="J38" i="1" l="1"/>
  <c r="E38" i="1" s="1"/>
  <c r="K38" i="1"/>
  <c r="F38" i="1" s="1"/>
  <c r="G40" i="1"/>
  <c r="I39" i="1"/>
  <c r="J39" i="1" l="1"/>
  <c r="E39" i="1" s="1"/>
  <c r="K39" i="1"/>
  <c r="F39" i="1" s="1"/>
  <c r="I40" i="1"/>
  <c r="G41" i="1"/>
  <c r="G42" i="1" l="1"/>
  <c r="I41" i="1"/>
  <c r="J40" i="1"/>
  <c r="E40" i="1" s="1"/>
  <c r="K40" i="1"/>
  <c r="F40" i="1" s="1"/>
  <c r="K41" i="1" l="1"/>
  <c r="F41" i="1" s="1"/>
  <c r="J41" i="1"/>
  <c r="E41" i="1" s="1"/>
  <c r="G43" i="1"/>
  <c r="I42" i="1"/>
  <c r="J42" i="1" l="1"/>
  <c r="E42" i="1" s="1"/>
  <c r="K42" i="1"/>
  <c r="F42" i="1" s="1"/>
  <c r="G44" i="1"/>
  <c r="I43" i="1"/>
  <c r="J43" i="1" l="1"/>
  <c r="E43" i="1" s="1"/>
  <c r="K43" i="1"/>
  <c r="F43" i="1" s="1"/>
  <c r="G45" i="1"/>
  <c r="I44" i="1"/>
  <c r="J44" i="1" l="1"/>
  <c r="E44" i="1" s="1"/>
  <c r="K44" i="1"/>
  <c r="F44" i="1" s="1"/>
  <c r="G46" i="1"/>
  <c r="I45" i="1"/>
  <c r="K45" i="1" l="1"/>
  <c r="F45" i="1" s="1"/>
  <c r="J45" i="1"/>
  <c r="E45" i="1" s="1"/>
  <c r="G47" i="1"/>
  <c r="I46" i="1"/>
  <c r="K46" i="1" l="1"/>
  <c r="F46" i="1" s="1"/>
  <c r="J46" i="1"/>
  <c r="E46" i="1" s="1"/>
  <c r="I47" i="1"/>
  <c r="G48" i="1"/>
  <c r="G49" i="1" l="1"/>
  <c r="I48" i="1"/>
  <c r="J47" i="1"/>
  <c r="E47" i="1" s="1"/>
  <c r="K47" i="1"/>
  <c r="F47" i="1" s="1"/>
  <c r="K48" i="1" l="1"/>
  <c r="F48" i="1" s="1"/>
  <c r="J48" i="1"/>
  <c r="E48" i="1" s="1"/>
  <c r="G50" i="1"/>
  <c r="I49" i="1"/>
  <c r="J49" i="1" l="1"/>
  <c r="E49" i="1" s="1"/>
  <c r="K49" i="1"/>
  <c r="F49" i="1" s="1"/>
  <c r="G51" i="1"/>
  <c r="I50" i="1"/>
  <c r="J50" i="1" l="1"/>
  <c r="E50" i="1" s="1"/>
  <c r="K50" i="1"/>
  <c r="F50" i="1" s="1"/>
  <c r="G52" i="1"/>
  <c r="I51" i="1"/>
  <c r="K51" i="1" l="1"/>
  <c r="F51" i="1" s="1"/>
  <c r="J51" i="1"/>
  <c r="E51" i="1" s="1"/>
  <c r="I52" i="1"/>
  <c r="G53" i="1"/>
  <c r="G54" i="1" l="1"/>
  <c r="I53" i="1"/>
  <c r="K52" i="1"/>
  <c r="F52" i="1" s="1"/>
  <c r="J52" i="1"/>
  <c r="E52" i="1" s="1"/>
  <c r="K53" i="1" l="1"/>
  <c r="F53" i="1" s="1"/>
  <c r="J53" i="1"/>
  <c r="E53" i="1" s="1"/>
  <c r="G55" i="1"/>
  <c r="I54" i="1"/>
  <c r="J54" i="1" l="1"/>
  <c r="E54" i="1" s="1"/>
  <c r="K54" i="1"/>
  <c r="F54" i="1" s="1"/>
  <c r="G56" i="1"/>
  <c r="I55" i="1"/>
  <c r="K55" i="1" l="1"/>
  <c r="F55" i="1" s="1"/>
  <c r="J55" i="1"/>
  <c r="E55" i="1" s="1"/>
  <c r="I56" i="1"/>
  <c r="G57" i="1"/>
  <c r="K56" i="1" l="1"/>
  <c r="F56" i="1" s="1"/>
  <c r="J56" i="1"/>
  <c r="E56" i="1" s="1"/>
  <c r="G58" i="1"/>
  <c r="I57" i="1"/>
  <c r="J57" i="1" l="1"/>
  <c r="E57" i="1" s="1"/>
  <c r="K57" i="1"/>
  <c r="F57" i="1" s="1"/>
  <c r="G59" i="1"/>
  <c r="I58" i="1"/>
  <c r="J58" i="1" l="1"/>
  <c r="E58" i="1" s="1"/>
  <c r="K58" i="1"/>
  <c r="F58" i="1" s="1"/>
  <c r="G60" i="1"/>
  <c r="I59" i="1"/>
  <c r="G61" i="1" l="1"/>
  <c r="I60" i="1"/>
  <c r="J59" i="1"/>
  <c r="E59" i="1" s="1"/>
  <c r="K59" i="1"/>
  <c r="F59" i="1" s="1"/>
  <c r="K60" i="1" l="1"/>
  <c r="F60" i="1" s="1"/>
  <c r="J60" i="1"/>
  <c r="E60" i="1" s="1"/>
  <c r="G62" i="1"/>
  <c r="I61" i="1"/>
  <c r="J61" i="1" l="1"/>
  <c r="E61" i="1" s="1"/>
  <c r="K61" i="1"/>
  <c r="F61" i="1" s="1"/>
  <c r="G63" i="1"/>
  <c r="I62" i="1"/>
  <c r="J62" i="1" l="1"/>
  <c r="E62" i="1" s="1"/>
  <c r="K62" i="1"/>
  <c r="F62" i="1" s="1"/>
  <c r="G64" i="1"/>
  <c r="I63" i="1"/>
  <c r="J63" i="1" l="1"/>
  <c r="E63" i="1" s="1"/>
  <c r="K63" i="1"/>
  <c r="F63" i="1" s="1"/>
  <c r="G65" i="1"/>
  <c r="I64" i="1"/>
  <c r="K64" i="1" l="1"/>
  <c r="F64" i="1" s="1"/>
  <c r="J64" i="1"/>
  <c r="E64" i="1" s="1"/>
  <c r="G66" i="1"/>
  <c r="I65" i="1"/>
  <c r="J65" i="1" l="1"/>
  <c r="E65" i="1" s="1"/>
  <c r="K65" i="1"/>
  <c r="F65" i="1" s="1"/>
  <c r="G67" i="1"/>
  <c r="I66" i="1"/>
  <c r="K66" i="1" l="1"/>
  <c r="F66" i="1" s="1"/>
  <c r="J66" i="1"/>
  <c r="E66" i="1" s="1"/>
  <c r="G68" i="1"/>
  <c r="I67" i="1"/>
  <c r="J67" i="1" l="1"/>
  <c r="E67" i="1" s="1"/>
  <c r="K67" i="1"/>
  <c r="F67" i="1" s="1"/>
  <c r="G69" i="1"/>
  <c r="I68" i="1"/>
  <c r="J68" i="1" l="1"/>
  <c r="E68" i="1" s="1"/>
  <c r="K68" i="1"/>
  <c r="F68" i="1" s="1"/>
  <c r="G70" i="1"/>
  <c r="I69" i="1"/>
  <c r="J69" i="1" l="1"/>
  <c r="E69" i="1" s="1"/>
  <c r="K69" i="1"/>
  <c r="F69" i="1" s="1"/>
  <c r="G71" i="1"/>
  <c r="I70" i="1"/>
  <c r="K70" i="1" l="1"/>
  <c r="F70" i="1" s="1"/>
  <c r="J70" i="1"/>
  <c r="E70" i="1" s="1"/>
  <c r="I71" i="1"/>
  <c r="G72" i="1"/>
  <c r="I72" i="1" l="1"/>
  <c r="G73" i="1"/>
  <c r="J71" i="1"/>
  <c r="E71" i="1" s="1"/>
  <c r="K71" i="1"/>
  <c r="F71" i="1" s="1"/>
  <c r="G74" i="1" l="1"/>
  <c r="I73" i="1"/>
  <c r="J72" i="1"/>
  <c r="E72" i="1" s="1"/>
  <c r="K72" i="1"/>
  <c r="F72" i="1" s="1"/>
  <c r="J73" i="1" l="1"/>
  <c r="E73" i="1" s="1"/>
  <c r="K73" i="1"/>
  <c r="F73" i="1" s="1"/>
  <c r="I74" i="1"/>
  <c r="G75" i="1"/>
  <c r="G76" i="1" l="1"/>
  <c r="I75" i="1"/>
  <c r="K74" i="1"/>
  <c r="F74" i="1" s="1"/>
  <c r="J74" i="1"/>
  <c r="E74" i="1" s="1"/>
  <c r="K75" i="1" l="1"/>
  <c r="F75" i="1" s="1"/>
  <c r="J75" i="1"/>
  <c r="E75" i="1" s="1"/>
  <c r="I76" i="1"/>
  <c r="G77" i="1"/>
  <c r="G78" i="1" l="1"/>
  <c r="I77" i="1"/>
  <c r="J76" i="1"/>
  <c r="E76" i="1" s="1"/>
  <c r="K76" i="1"/>
  <c r="F76" i="1" s="1"/>
  <c r="J77" i="1" l="1"/>
  <c r="E77" i="1" s="1"/>
  <c r="K77" i="1"/>
  <c r="F77" i="1" s="1"/>
  <c r="G79" i="1"/>
  <c r="I78" i="1"/>
  <c r="K78" i="1" l="1"/>
  <c r="F78" i="1" s="1"/>
  <c r="J78" i="1"/>
  <c r="E78" i="1" s="1"/>
  <c r="G80" i="1"/>
  <c r="I79" i="1"/>
  <c r="K79" i="1" l="1"/>
  <c r="F79" i="1" s="1"/>
  <c r="J79" i="1"/>
  <c r="E79" i="1" s="1"/>
  <c r="I80" i="1"/>
  <c r="G81" i="1"/>
  <c r="G82" i="1" l="1"/>
  <c r="I81" i="1"/>
  <c r="J80" i="1"/>
  <c r="E80" i="1" s="1"/>
  <c r="K80" i="1"/>
  <c r="F80" i="1" s="1"/>
  <c r="K81" i="1" l="1"/>
  <c r="F81" i="1" s="1"/>
  <c r="J81" i="1"/>
  <c r="E81" i="1" s="1"/>
  <c r="G83" i="1"/>
  <c r="I82" i="1"/>
  <c r="K82" i="1" l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K85" i="1"/>
  <c r="E85" i="1" l="1"/>
  <c r="F85" i="1"/>
</calcChain>
</file>

<file path=xl/sharedStrings.xml><?xml version="1.0" encoding="utf-8"?>
<sst xmlns="http://schemas.openxmlformats.org/spreadsheetml/2006/main" count="141" uniqueCount="103">
  <si>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</si>
  <si>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</si>
  <si>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</si>
  <si>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</si>
  <si>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</si>
  <si>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</si>
  <si>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</si>
  <si>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</si>
  <si>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</si>
  <si>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</si>
  <si>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</si>
  <si>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</si>
  <si>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</si>
  <si>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</si>
  <si>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</si>
  <si>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</si>
  <si>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</si>
  <si>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</si>
  <si>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</si>
  <si>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</si>
  <si>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</si>
  <si>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</si>
  <si>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</si>
  <si>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</si>
  <si>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</si>
  <si>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</si>
  <si>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</si>
  <si>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</si>
  <si>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</si>
  <si>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</si>
  <si>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</si>
  <si>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</si>
  <si>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</si>
  <si>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</si>
  <si>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</si>
  <si>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</si>
  <si>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</si>
  <si>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</si>
  <si>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</si>
  <si>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</si>
  <si>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</si>
  <si>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</si>
  <si>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</si>
  <si>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</si>
  <si>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</si>
  <si>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</si>
  <si>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</si>
  <si>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</si>
  <si>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</si>
  <si>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</si>
  <si>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</si>
  <si>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</si>
  <si>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</si>
  <si>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</si>
  <si>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</si>
  <si>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</si>
  <si>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</si>
  <si>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</si>
  <si>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</si>
  <si>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</si>
  <si>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</si>
  <si>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</si>
  <si>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</si>
  <si>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</si>
  <si>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</si>
  <si>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</si>
  <si>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</si>
  <si>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</si>
  <si>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</si>
  <si>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</si>
  <si>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</si>
  <si>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</si>
  <si>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</si>
  <si>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</si>
  <si>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</si>
  <si>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</si>
  <si>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</si>
  <si>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</si>
  <si>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</si>
  <si>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</si>
  <si>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</si>
  <si>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</si>
  <si>
    <t>回転数</t>
    <rPh sb="0" eb="2">
      <t>カイテン</t>
    </rPh>
    <rPh sb="2" eb="3">
      <t>スウ</t>
    </rPh>
    <phoneticPr fontId="1"/>
  </si>
  <si>
    <t>軸出力</t>
    <rPh sb="0" eb="1">
      <t>ジク</t>
    </rPh>
    <rPh sb="1" eb="3">
      <t>シュツリョク</t>
    </rPh>
    <phoneticPr fontId="1"/>
  </si>
  <si>
    <t>トルク</t>
    <phoneticPr fontId="1"/>
  </si>
  <si>
    <t>近似軸出力</t>
    <rPh sb="0" eb="2">
      <t>キンジ</t>
    </rPh>
    <rPh sb="2" eb="3">
      <t>ジク</t>
    </rPh>
    <rPh sb="3" eb="5">
      <t>シュツリョク</t>
    </rPh>
    <phoneticPr fontId="1"/>
  </si>
  <si>
    <t>DLR</t>
    <phoneticPr fontId="1"/>
  </si>
  <si>
    <t>⇐タイヤ動荷重半径</t>
    <rPh sb="4" eb="7">
      <t>ドウカジュウ</t>
    </rPh>
    <rPh sb="7" eb="9">
      <t>ハンケイ</t>
    </rPh>
    <phoneticPr fontId="1"/>
  </si>
  <si>
    <t>B</t>
    <phoneticPr fontId="1"/>
  </si>
  <si>
    <t>⇐ギア比</t>
    <rPh sb="3" eb="4">
      <t>ヒ</t>
    </rPh>
    <phoneticPr fontId="1"/>
  </si>
  <si>
    <t>ギア比</t>
    <rPh sb="2" eb="3">
      <t>ヒ</t>
    </rPh>
    <phoneticPr fontId="1"/>
  </si>
  <si>
    <t>回転数</t>
    <rPh sb="0" eb="3">
      <t>カイテンスウ</t>
    </rPh>
    <phoneticPr fontId="1"/>
  </si>
  <si>
    <t>駆動力</t>
    <rPh sb="0" eb="3">
      <t>クドウリョク</t>
    </rPh>
    <phoneticPr fontId="1"/>
  </si>
  <si>
    <t>補正駆動力</t>
    <rPh sb="0" eb="2">
      <t>ホセイ</t>
    </rPh>
    <rPh sb="2" eb="5">
      <t>クドウリョク</t>
    </rPh>
    <phoneticPr fontId="1"/>
  </si>
  <si>
    <t>走行抵抗</t>
    <rPh sb="0" eb="2">
      <t>ソウコウ</t>
    </rPh>
    <rPh sb="2" eb="4">
      <t>テイコウ</t>
    </rPh>
    <phoneticPr fontId="1"/>
  </si>
  <si>
    <t>加速度</t>
    <rPh sb="0" eb="3">
      <t>カソクド</t>
    </rPh>
    <phoneticPr fontId="1"/>
  </si>
  <si>
    <t>rpm</t>
    <phoneticPr fontId="1"/>
  </si>
  <si>
    <t>PS</t>
    <phoneticPr fontId="1"/>
  </si>
  <si>
    <t>kgf</t>
    <phoneticPr fontId="1"/>
  </si>
  <si>
    <t>kgf</t>
    <phoneticPr fontId="1"/>
  </si>
  <si>
    <t>kgf</t>
    <phoneticPr fontId="1"/>
  </si>
  <si>
    <t>m/sec2</t>
    <phoneticPr fontId="1"/>
  </si>
  <si>
    <t>m/sec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</si>
</sst>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11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走行ライン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Traveling_Line!$E$5:$E$85</c:f>
              <c:numCache>
                <c:formatCode>0.000</c:formatCode>
                <c:ptCount val="81"/>
                <c:pt idx="0">
                  <c:v>0</c:v>
                </c:pt>
                <c:pt idx="1">
                  <c:v>-1.4008380119401218</c:v>
                </c:pt>
                <c:pt idx="2">
                  <c:v>-2.8316542652521441</c:v>
                </c:pt>
                <c:pt idx="3">
                  <c:v>-4.2966651154122557</c:v>
                </c:pt>
                <c:pt idx="4">
                  <c:v>-5.8014789489672332</c:v>
                </c:pt>
                <c:pt idx="5">
                  <c:v>-7.7830974541284297</c:v>
                </c:pt>
                <c:pt idx="6">
                  <c:v>-10.212880315712063</c:v>
                </c:pt>
                <c:pt idx="7">
                  <c:v>-13.066549946544615</c:v>
                </c:pt>
                <c:pt idx="8">
                  <c:v>-16.315593422972576</c:v>
                </c:pt>
                <c:pt idx="9">
                  <c:v>-19.927547376570455</c:v>
                </c:pt>
                <c:pt idx="10">
                  <c:v>-23.866322357387144</c:v>
                </c:pt>
                <c:pt idx="11">
                  <c:v>-28.092563427800226</c:v>
                </c:pt>
                <c:pt idx="12">
                  <c:v>-32.564043384043693</c:v>
                </c:pt>
                <c:pt idx="13">
                  <c:v>-37.236084676469524</c:v>
                </c:pt>
                <c:pt idx="14">
                  <c:v>-42.062005812855318</c:v>
                </c:pt>
                <c:pt idx="15">
                  <c:v>-46.993587784443747</c:v>
                </c:pt>
                <c:pt idx="16">
                  <c:v>-51.960269265299686</c:v>
                </c:pt>
                <c:pt idx="17">
                  <c:v>-56.949317927307654</c:v>
                </c:pt>
                <c:pt idx="18">
                  <c:v>-61.948263747058945</c:v>
                </c:pt>
                <c:pt idx="19">
                  <c:v>-66.944611963404839</c:v>
                </c:pt>
                <c:pt idx="20">
                  <c:v>-71.925874307852325</c:v>
                </c:pt>
                <c:pt idx="21">
                  <c:v>-76.879600218731568</c:v>
                </c:pt>
                <c:pt idx="22">
                  <c:v>-81.793407961115946</c:v>
                </c:pt>
                <c:pt idx="23">
                  <c:v>-86.655015574711101</c:v>
                </c:pt>
                <c:pt idx="24">
                  <c:v>-91.452271572359351</c:v>
                </c:pt>
                <c:pt idx="25">
                  <c:v>-96.173185312429197</c:v>
                </c:pt>
                <c:pt idx="26">
                  <c:v>-100.80595696917482</c:v>
                </c:pt>
                <c:pt idx="27">
                  <c:v>-105.33900702615519</c:v>
                </c:pt>
                <c:pt idx="28">
                  <c:v>-109.76100521899468</c:v>
                </c:pt>
                <c:pt idx="29">
                  <c:v>-114.06089885514335</c:v>
                </c:pt>
                <c:pt idx="30">
                  <c:v>-118.22794043985213</c:v>
                </c:pt>
                <c:pt idx="31">
                  <c:v>-122.32602291878366</c:v>
                </c:pt>
                <c:pt idx="32">
                  <c:v>-126.35122388475101</c:v>
                </c:pt>
                <c:pt idx="33">
                  <c:v>-130.30102771817639</c:v>
                </c:pt>
                <c:pt idx="34">
                  <c:v>-134.17296592023555</c:v>
                </c:pt>
                <c:pt idx="35">
                  <c:v>-137.70174091043589</c:v>
                </c:pt>
                <c:pt idx="36">
                  <c:v>-140.85954241725941</c:v>
                </c:pt>
                <c:pt idx="37">
                  <c:v>-143.61481873188032</c:v>
                </c:pt>
                <c:pt idx="38">
                  <c:v>-145.94004004413623</c:v>
                </c:pt>
                <c:pt idx="39">
                  <c:v>-147.811973511291</c:v>
                </c:pt>
                <c:pt idx="40">
                  <c:v>-149.21191539291979</c:v>
                </c:pt>
                <c:pt idx="41">
                  <c:v>-150.12587793250063</c:v>
                </c:pt>
                <c:pt idx="42">
                  <c:v>-150.54472911845383</c:v>
                </c:pt>
                <c:pt idx="43">
                  <c:v>-150.46428392818319</c:v>
                </c:pt>
                <c:pt idx="44">
                  <c:v>-149.88534614343823</c:v>
                </c:pt>
                <c:pt idx="45">
                  <c:v>-148.81370031919272</c:v>
                </c:pt>
                <c:pt idx="46">
                  <c:v>-147.26005398628354</c:v>
                </c:pt>
                <c:pt idx="47">
                  <c:v>-145.2399306653019</c:v>
                </c:pt>
                <c:pt idx="48">
                  <c:v>-142.77351476070706</c:v>
                </c:pt>
                <c:pt idx="49">
                  <c:v>-139.88544988492905</c:v>
                </c:pt>
                <c:pt idx="50">
                  <c:v>-136.60459262753929</c:v>
                </c:pt>
                <c:pt idx="51">
                  <c:v>-132.96372422974642</c:v>
                </c:pt>
                <c:pt idx="52">
                  <c:v>-128.9992230450701</c:v>
                </c:pt>
                <c:pt idx="53">
                  <c:v>-124.75070105885774</c:v>
                </c:pt>
                <c:pt idx="54">
                  <c:v>-120.26060809842095</c:v>
                </c:pt>
                <c:pt idx="55">
                  <c:v>-115.57380768839299</c:v>
                </c:pt>
                <c:pt idx="56">
                  <c:v>-110.73712878922063</c:v>
                </c:pt>
                <c:pt idx="57">
                  <c:v>-105.79889789767093</c:v>
                </c:pt>
                <c:pt idx="58">
                  <c:v>-100.80845618445012</c:v>
                </c:pt>
                <c:pt idx="59">
                  <c:v>-95.815666493536028</c:v>
                </c:pt>
                <c:pt idx="60">
                  <c:v>-90.870415129123401</c:v>
                </c:pt>
                <c:pt idx="61">
                  <c:v>-86.022113408162696</c:v>
                </c:pt>
                <c:pt idx="62">
                  <c:v>-81.319203958814271</c:v>
                </c:pt>
                <c:pt idx="63">
                  <c:v>-76.808676697720841</c:v>
                </c:pt>
                <c:pt idx="64">
                  <c:v>-72.535599322293166</c:v>
                </c:pt>
                <c:pt idx="65">
                  <c:v>-68.542667009174949</c:v>
                </c:pt>
                <c:pt idx="66">
                  <c:v>-66.718834055020963</c:v>
                </c:pt>
                <c:pt idx="67">
                  <c:v>-64.211667365367845</c:v>
                </c:pt>
                <c:pt idx="68">
                  <c:v>-61.285388940055171</c:v>
                </c:pt>
                <c:pt idx="69">
                  <c:v>-57.969237185809618</c:v>
                </c:pt>
                <c:pt idx="70">
                  <c:v>-54.296345994785582</c:v>
                </c:pt>
                <c:pt idx="71">
                  <c:v>-50.303413681667365</c:v>
                </c:pt>
                <c:pt idx="72">
                  <c:v>-46.030336306239704</c:v>
                </c:pt>
                <c:pt idx="73">
                  <c:v>-41.519809045146282</c:v>
                </c:pt>
                <c:pt idx="74">
                  <c:v>-36.816899595797864</c:v>
                </c:pt>
                <c:pt idx="75">
                  <c:v>-31.968597874837162</c:v>
                </c:pt>
                <c:pt idx="76">
                  <c:v>-27.121951164295844</c:v>
                </c:pt>
                <c:pt idx="77">
                  <c:v>-22.282208566314338</c:v>
                </c:pt>
                <c:pt idx="78">
                  <c:v>-17.450412438658866</c:v>
                </c:pt>
                <c:pt idx="79">
                  <c:v>-12.627930403117546</c:v>
                </c:pt>
                <c:pt idx="80">
                  <c:v>-7.8166280568344213</c:v>
                </c:pt>
              </c:numCache>
            </c:numRef>
          </c:xVal>
          <c:yVal>
            <c:numRef>
              <c:f>Traveling_Line!$F$5:$F$85</c:f>
              <c:numCache>
                <c:formatCode>0.000</c:formatCode>
                <c:ptCount val="81"/>
                <c:pt idx="0">
                  <c:v>0</c:v>
                </c:pt>
                <c:pt idx="1">
                  <c:v>-4.7997488021689785</c:v>
                </c:pt>
                <c:pt idx="2">
                  <c:v>-9.5906446963846612</c:v>
                </c:pt>
                <c:pt idx="3">
                  <c:v>-14.371192459615465</c:v>
                </c:pt>
                <c:pt idx="4">
                  <c:v>-19.139356744821463</c:v>
                </c:pt>
                <c:pt idx="5">
                  <c:v>-23.72764201383794</c:v>
                </c:pt>
                <c:pt idx="6">
                  <c:v>-28.095173222132317</c:v>
                </c:pt>
                <c:pt idx="7">
                  <c:v>-32.19831144158519</c:v>
                </c:pt>
                <c:pt idx="8">
                  <c:v>-35.996059471424957</c:v>
                </c:pt>
                <c:pt idx="9">
                  <c:v>-39.450471468706048</c:v>
                </c:pt>
                <c:pt idx="10">
                  <c:v>-42.527032090628424</c:v>
                </c:pt>
                <c:pt idx="11">
                  <c:v>-45.195001360433565</c:v>
                </c:pt>
                <c:pt idx="12">
                  <c:v>-47.427721811090969</c:v>
                </c:pt>
                <c:pt idx="13">
                  <c:v>-49.202884837896924</c:v>
                </c:pt>
                <c:pt idx="14">
                  <c:v>-50.502753598678467</c:v>
                </c:pt>
                <c:pt idx="15">
                  <c:v>-51.314340234457347</c:v>
                </c:pt>
                <c:pt idx="16">
                  <c:v>-51.886063216676042</c:v>
                </c:pt>
                <c:pt idx="17">
                  <c:v>-52.208841079595508</c:v>
                </c:pt>
                <c:pt idx="18">
                  <c:v>-52.281867046657908</c:v>
                </c:pt>
                <c:pt idx="19">
                  <c:v>-52.104958590976779</c:v>
                </c:pt>
                <c:pt idx="20">
                  <c:v>-51.678557891559173</c:v>
                </c:pt>
                <c:pt idx="21">
                  <c:v>-51.003730728088449</c:v>
                </c:pt>
                <c:pt idx="22">
                  <c:v>-50.082163817030086</c:v>
                </c:pt>
                <c:pt idx="23">
                  <c:v>-48.916160595718964</c:v>
                </c:pt>
                <c:pt idx="24">
                  <c:v>-47.508635464965622</c:v>
                </c:pt>
                <c:pt idx="25">
                  <c:v>-45.863106504572023</c:v>
                </c:pt>
                <c:pt idx="26">
                  <c:v>-43.983686679964237</c:v>
                </c:pt>
                <c:pt idx="27">
                  <c:v>-41.875073561920864</c:v>
                </c:pt>
                <c:pt idx="28">
                  <c:v>-39.542537585092525</c:v>
                </c:pt>
                <c:pt idx="29">
                  <c:v>-36.991908874660034</c:v>
                </c:pt>
                <c:pt idx="30">
                  <c:v>-34.229562674057718</c:v>
                </c:pt>
                <c:pt idx="31">
                  <c:v>-31.365227159551019</c:v>
                </c:pt>
                <c:pt idx="32">
                  <c:v>-28.399345313056529</c:v>
                </c:pt>
                <c:pt idx="33">
                  <c:v>-25.333770714184688</c:v>
                </c:pt>
                <c:pt idx="34">
                  <c:v>-22.170419247271031</c:v>
                </c:pt>
                <c:pt idx="35">
                  <c:v>-18.631080230108719</c:v>
                </c:pt>
                <c:pt idx="36">
                  <c:v>-14.757133501851609</c:v>
                </c:pt>
                <c:pt idx="37">
                  <c:v>-10.587286257651911</c:v>
                </c:pt>
                <c:pt idx="38">
                  <c:v>-6.1632022328054266</c:v>
                </c:pt>
                <c:pt idx="39">
                  <c:v>-1.5290854124806748</c:v>
                </c:pt>
                <c:pt idx="40">
                  <c:v>3.2687616398890178</c:v>
                </c:pt>
                <c:pt idx="41">
                  <c:v>8.1824004225137514</c:v>
                </c:pt>
                <c:pt idx="42">
                  <c:v>13.162735480910573</c:v>
                </c:pt>
                <c:pt idx="43">
                  <c:v>18.160004953455875</c:v>
                </c:pt>
                <c:pt idx="44">
                  <c:v>23.124277775457653</c:v>
                </c:pt>
                <c:pt idx="45">
                  <c:v>28.005952573848887</c:v>
                </c:pt>
                <c:pt idx="46">
                  <c:v>32.756253267711195</c:v>
                </c:pt>
                <c:pt idx="47">
                  <c:v>37.327716422752147</c:v>
                </c:pt>
                <c:pt idx="48">
                  <c:v>41.674665490251385</c:v>
                </c:pt>
                <c:pt idx="49">
                  <c:v>45.753667192036779</c:v>
                </c:pt>
                <c:pt idx="50">
                  <c:v>49.523965491442787</c:v>
                </c:pt>
                <c:pt idx="51">
                  <c:v>52.947888814156663</c:v>
                </c:pt>
                <c:pt idx="52">
                  <c:v>55.991226450136423</c:v>
                </c:pt>
                <c:pt idx="53">
                  <c:v>58.62357037571703</c:v>
                </c:pt>
                <c:pt idx="54">
                  <c:v>60.818619080531299</c:v>
                </c:pt>
                <c:pt idx="55">
                  <c:v>62.554440363507354</c:v>
                </c:pt>
                <c:pt idx="56">
                  <c:v>63.813690472171935</c:v>
                </c:pt>
                <c:pt idx="57">
                  <c:v>64.583787395691999</c:v>
                </c:pt>
                <c:pt idx="58">
                  <c:v>64.857036580167943</c:v>
                </c:pt>
                <c:pt idx="59">
                  <c:v>64.63070781007265</c:v>
                </c:pt>
                <c:pt idx="60">
                  <c:v>63.907062487662564</c:v>
                </c:pt>
                <c:pt idx="61">
                  <c:v>62.693331037793861</c:v>
                </c:pt>
                <c:pt idx="62">
                  <c:v>61.001640663907367</c:v>
                </c:pt>
                <c:pt idx="63">
                  <c:v>58.848894177020455</c:v>
                </c:pt>
                <c:pt idx="64">
                  <c:v>56.256601108426729</c:v>
                </c:pt>
                <c:pt idx="65">
                  <c:v>53.250662793569411</c:v>
                </c:pt>
                <c:pt idx="66">
                  <c:v>48.650975741468216</c:v>
                </c:pt>
                <c:pt idx="67">
                  <c:v>44.327402126949231</c:v>
                </c:pt>
                <c:pt idx="68">
                  <c:v>40.27572738834786</c:v>
                </c:pt>
                <c:pt idx="69">
                  <c:v>36.536434520346603</c:v>
                </c:pt>
                <c:pt idx="70">
                  <c:v>33.146885301236644</c:v>
                </c:pt>
                <c:pt idx="71">
                  <c:v>30.140946986379319</c:v>
                </c:pt>
                <c:pt idx="72">
                  <c:v>27.548653917785586</c:v>
                </c:pt>
                <c:pt idx="73">
                  <c:v>25.395907430898667</c:v>
                </c:pt>
                <c:pt idx="74">
                  <c:v>23.704217057012162</c:v>
                </c:pt>
                <c:pt idx="75">
                  <c:v>22.490485607143452</c:v>
                </c:pt>
                <c:pt idx="76">
                  <c:v>21.261679853611128</c:v>
                </c:pt>
                <c:pt idx="77">
                  <c:v>20.00596201711198</c:v>
                </c:pt>
                <c:pt idx="78">
                  <c:v>18.720013028727085</c:v>
                </c:pt>
                <c:pt idx="79">
                  <c:v>17.399573433554643</c:v>
                </c:pt>
                <c:pt idx="80">
                  <c:v>16.038976117291327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84848"/>
        <c:axId val="558174512"/>
      </c:scatterChart>
      <c:valAx>
        <c:axId val="55818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4512"/>
        <c:crosses val="autoZero"/>
        <c:crossBetween val="midCat"/>
      </c:valAx>
      <c:valAx>
        <c:axId val="55817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8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2.5428331875182269E-2"/>
          <c:w val="0.59140328389183905"/>
          <c:h val="0.94914333624963543"/>
        </c:manualLayout>
      </c:layout>
      <c:scatterChart>
        <c:scatterStyle val="lineMarker"/>
        <c:varyColors val="0"/>
        <c:ser>
          <c:idx val="0"/>
          <c:order val="0"/>
          <c:tx>
            <c:strRef>
              <c:f>ENG_Calc!$B$2</c:f>
              <c:strCache>
                <c:ptCount val="1"/>
                <c:pt idx="0">
                  <c:v>軸出力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5.7007385704693887E-2"/>
                  <c:y val="-3.64103832570666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ENG_Calc!$B$3:$B$21</c:f>
              <c:numCache>
                <c:formatCode>General</c:formatCode>
                <c:ptCount val="19"/>
                <c:pt idx="0">
                  <c:v>0</c:v>
                </c:pt>
                <c:pt idx="1">
                  <c:v>8</c:v>
                </c:pt>
                <c:pt idx="2">
                  <c:v>20</c:v>
                </c:pt>
                <c:pt idx="3">
                  <c:v>33</c:v>
                </c:pt>
                <c:pt idx="4">
                  <c:v>47</c:v>
                </c:pt>
                <c:pt idx="5">
                  <c:v>63</c:v>
                </c:pt>
                <c:pt idx="6">
                  <c:v>78</c:v>
                </c:pt>
                <c:pt idx="7">
                  <c:v>92</c:v>
                </c:pt>
                <c:pt idx="8">
                  <c:v>105</c:v>
                </c:pt>
                <c:pt idx="9">
                  <c:v>118</c:v>
                </c:pt>
                <c:pt idx="10">
                  <c:v>132</c:v>
                </c:pt>
                <c:pt idx="11">
                  <c:v>152</c:v>
                </c:pt>
                <c:pt idx="12">
                  <c:v>173</c:v>
                </c:pt>
                <c:pt idx="13">
                  <c:v>192</c:v>
                </c:pt>
                <c:pt idx="14">
                  <c:v>212</c:v>
                </c:pt>
                <c:pt idx="15">
                  <c:v>231</c:v>
                </c:pt>
                <c:pt idx="16">
                  <c:v>244</c:v>
                </c:pt>
                <c:pt idx="17">
                  <c:v>247</c:v>
                </c:pt>
                <c:pt idx="18">
                  <c:v>235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ENG_Calc!$C$2</c:f>
              <c:strCache>
                <c:ptCount val="1"/>
                <c:pt idx="0">
                  <c:v>トルク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ENG_Calc!$C$3:$C$21</c:f>
              <c:numCache>
                <c:formatCode>0.0</c:formatCode>
                <c:ptCount val="19"/>
                <c:pt idx="1">
                  <c:v>11.5</c:v>
                </c:pt>
                <c:pt idx="2">
                  <c:v>14.3</c:v>
                </c:pt>
                <c:pt idx="3">
                  <c:v>15.8</c:v>
                </c:pt>
                <c:pt idx="4">
                  <c:v>16.8</c:v>
                </c:pt>
                <c:pt idx="5">
                  <c:v>18</c:v>
                </c:pt>
                <c:pt idx="6">
                  <c:v>18.600000000000001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19.8</c:v>
                </c:pt>
                <c:pt idx="12">
                  <c:v>20.7</c:v>
                </c:pt>
                <c:pt idx="13">
                  <c:v>21.2</c:v>
                </c:pt>
                <c:pt idx="14">
                  <c:v>21.7</c:v>
                </c:pt>
                <c:pt idx="15">
                  <c:v>22.1</c:v>
                </c:pt>
                <c:pt idx="16">
                  <c:v>21.8</c:v>
                </c:pt>
                <c:pt idx="17">
                  <c:v>20.8</c:v>
                </c:pt>
                <c:pt idx="18">
                  <c:v>18.7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78320"/>
        <c:axId val="558179952"/>
      </c:scatterChart>
      <c:valAx>
        <c:axId val="558178320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9952"/>
        <c:crosses val="autoZero"/>
        <c:crossBetween val="midCat"/>
      </c:valAx>
      <c:valAx>
        <c:axId val="558179952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8320"/>
        <c:crosses val="autoZero"/>
        <c:crossBetween val="midCat"/>
        <c:majorUnit val="2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146050</xdr:rowOff>
    </xdr:from>
    <xdr:to>
      <xdr:col>11</xdr:col>
      <xdr:colOff>12700</xdr:colOff>
      <xdr:row>21</xdr:row>
      <xdr:rowOff>31750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topLeftCell="B1" zoomScale="55" zoomScaleNormal="55" workbookViewId="0">
      <selection activeCell="O48" sqref="O48"/>
    </sheetView>
  </sheetViews>
  <sheetFormatPr defaultRowHeight="13" x14ac:dyDescent="0.2"/>
  <sheetData>
    <row r="2" spans="2:11" x14ac:dyDescent="0.2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2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2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2">
      <c r="B5" s="2">
        <v>0</v>
      </c>
      <c r="C5" s="3">
        <v>1000</v>
      </c>
      <c r="D5" s="3">
        <v>0</v>
      </c>
      <c r="E5" s="5">
        <v>0</v>
      </c>
      <c r="F5" s="5">
        <v>0</v>
      </c>
      <c r="G5" s="6">
        <v>3.42</v>
      </c>
      <c r="H5" s="2">
        <f>D5/C5</f>
        <v>0</v>
      </c>
      <c r="I5" s="7">
        <f>G5+H5/C5</f>
        <v>3.42</v>
      </c>
      <c r="J5" s="4">
        <f>ABS(C5)*(2*(1-COS(H5)))^0.5*SIN(I5)</f>
        <v>0</v>
      </c>
      <c r="K5" s="4">
        <f>ABS(C5)*(2*(1-COS(H5)))^0.5*COS(I5)</f>
        <v>0</v>
      </c>
    </row>
    <row r="6" spans="2:11" x14ac:dyDescent="0.2">
      <c r="B6" s="2">
        <f>B5+D6</f>
        <v>5</v>
      </c>
      <c r="C6" s="3">
        <v>900</v>
      </c>
      <c r="D6" s="3">
        <v>5</v>
      </c>
      <c r="E6" s="4">
        <f>E5+J6</f>
        <v>-1.4008380119401218</v>
      </c>
      <c r="F6" s="4">
        <f>F5+K6</f>
        <v>-4.7997488021689785</v>
      </c>
      <c r="G6" s="7">
        <f>G5+H6</f>
        <v>3.4255555555555555</v>
      </c>
      <c r="H6" s="2">
        <f t="shared" ref="H6:H10" si="0">D6/C6</f>
        <v>5.5555555555555558E-3</v>
      </c>
      <c r="I6" s="7">
        <f t="shared" ref="I6:I10" si="1">G6+H6/C6</f>
        <v>3.4255617283950617</v>
      </c>
      <c r="J6" s="4">
        <f>ABS(C6)*(2*(1-COS(H6)))^0.5*SIN(I6)</f>
        <v>-1.4008380119401218</v>
      </c>
      <c r="K6" s="4">
        <f t="shared" ref="K6:K10" si="2">ABS(C6)*(2*(1-COS(H6)))^0.5*COS(I6)</f>
        <v>-4.7997488021689785</v>
      </c>
    </row>
    <row r="7" spans="2:11" x14ac:dyDescent="0.2">
      <c r="B7" s="2">
        <f t="shared" ref="B7:B10" si="3">B6+D7</f>
        <v>10</v>
      </c>
      <c r="C7" s="3">
        <v>800</v>
      </c>
      <c r="D7" s="3">
        <v>5</v>
      </c>
      <c r="E7" s="4">
        <f t="shared" ref="E7:F10" si="4">E6+J7</f>
        <v>-2.8316542652521441</v>
      </c>
      <c r="F7" s="4">
        <f t="shared" si="4"/>
        <v>-9.5906446963846612</v>
      </c>
      <c r="G7" s="7">
        <f t="shared" ref="G7:G10" si="5">G6+H7</f>
        <v>3.4318055555555556</v>
      </c>
      <c r="H7" s="2">
        <f t="shared" si="0"/>
        <v>6.2500000000000003E-3</v>
      </c>
      <c r="I7" s="7">
        <f t="shared" si="1"/>
        <v>3.4318133680555554</v>
      </c>
      <c r="J7" s="4">
        <f t="shared" ref="J7:J10" si="6">ABS(C7)*(2*(1-COS(H7)))^0.5*SIN(I7)</f>
        <v>-1.4308162533120221</v>
      </c>
      <c r="K7" s="4">
        <f t="shared" si="2"/>
        <v>-4.7908958942156827</v>
      </c>
    </row>
    <row r="8" spans="2:11" x14ac:dyDescent="0.2">
      <c r="B8" s="2">
        <f t="shared" si="3"/>
        <v>15</v>
      </c>
      <c r="C8" s="3">
        <v>700</v>
      </c>
      <c r="D8" s="3">
        <v>5</v>
      </c>
      <c r="E8" s="4">
        <f t="shared" si="4"/>
        <v>-4.2966651154122557</v>
      </c>
      <c r="F8" s="4">
        <f t="shared" si="4"/>
        <v>-14.371192459615465</v>
      </c>
      <c r="G8" s="7">
        <f t="shared" si="5"/>
        <v>3.4389484126984127</v>
      </c>
      <c r="H8" s="2">
        <f t="shared" si="0"/>
        <v>7.1428571428571426E-3</v>
      </c>
      <c r="I8" s="7">
        <f t="shared" si="1"/>
        <v>3.4389586167800452</v>
      </c>
      <c r="J8" s="4">
        <f t="shared" si="6"/>
        <v>-1.4650108501601118</v>
      </c>
      <c r="K8" s="4">
        <f t="shared" si="2"/>
        <v>-4.7805477632308042</v>
      </c>
    </row>
    <row r="9" spans="2:11" x14ac:dyDescent="0.2">
      <c r="B9" s="2">
        <f t="shared" si="3"/>
        <v>20</v>
      </c>
      <c r="C9" s="3">
        <v>600</v>
      </c>
      <c r="D9" s="3">
        <v>5</v>
      </c>
      <c r="E9" s="4">
        <f t="shared" si="4"/>
        <v>-5.8014789489672332</v>
      </c>
      <c r="F9" s="4">
        <f t="shared" si="4"/>
        <v>-19.139356744821463</v>
      </c>
      <c r="G9" s="7">
        <f t="shared" si="5"/>
        <v>3.447281746031746</v>
      </c>
      <c r="H9" s="2">
        <f t="shared" si="0"/>
        <v>8.3333333333333332E-3</v>
      </c>
      <c r="I9" s="7">
        <f t="shared" si="1"/>
        <v>3.4472956349206347</v>
      </c>
      <c r="J9" s="4">
        <f t="shared" si="6"/>
        <v>-1.504813833554977</v>
      </c>
      <c r="K9" s="4">
        <f t="shared" si="2"/>
        <v>-4.7681642852059962</v>
      </c>
    </row>
    <row r="10" spans="2:11" x14ac:dyDescent="0.2">
      <c r="B10" s="2">
        <f t="shared" si="3"/>
        <v>25</v>
      </c>
      <c r="C10" s="3">
        <v>50</v>
      </c>
      <c r="D10" s="3">
        <v>5</v>
      </c>
      <c r="E10" s="4">
        <f t="shared" si="4"/>
        <v>-7.7830974541284297</v>
      </c>
      <c r="F10" s="4">
        <f t="shared" si="4"/>
        <v>-23.72764201383794</v>
      </c>
      <c r="G10" s="7">
        <f t="shared" si="5"/>
        <v>3.5472817460317461</v>
      </c>
      <c r="H10" s="2">
        <f t="shared" si="0"/>
        <v>0.1</v>
      </c>
      <c r="I10" s="7">
        <f t="shared" si="1"/>
        <v>3.5492817460317458</v>
      </c>
      <c r="J10" s="4">
        <f t="shared" si="6"/>
        <v>-1.9816185051611968</v>
      </c>
      <c r="K10" s="4">
        <f t="shared" si="2"/>
        <v>-4.5882852690164766</v>
      </c>
    </row>
    <row r="11" spans="2:11" x14ac:dyDescent="0.2">
      <c r="B11" s="2">
        <f t="shared" ref="B11:B25" si="7">B10+D11</f>
        <v>30</v>
      </c>
      <c r="C11" s="3">
        <v>50</v>
      </c>
      <c r="D11" s="3">
        <v>5</v>
      </c>
      <c r="E11" s="4">
        <f t="shared" ref="E11:E25" si="8">E10+J11</f>
        <v>-10.212880315712063</v>
      </c>
      <c r="F11" s="4">
        <f t="shared" ref="F11:F25" si="9">F10+K11</f>
        <v>-28.095173222132317</v>
      </c>
      <c r="G11" s="7">
        <f t="shared" ref="G11:G25" si="10">G10+H11</f>
        <v>3.6472817460317462</v>
      </c>
      <c r="H11" s="2">
        <f t="shared" ref="H11:H25" si="11">D11/C11</f>
        <v>0.1</v>
      </c>
      <c r="I11" s="7">
        <f t="shared" ref="I11:I25" si="12">G11+H11/C11</f>
        <v>3.6492817460317459</v>
      </c>
      <c r="J11" s="4">
        <f t="shared" ref="J11:J25" si="13">ABS(C11)*(2*(1-COS(H11)))^0.5*SIN(I11)</f>
        <v>-2.4297828615836323</v>
      </c>
      <c r="K11" s="4">
        <f t="shared" ref="K11:K25" si="14">ABS(C11)*(2*(1-COS(H11)))^0.5*COS(I11)</f>
        <v>-4.3675312082943787</v>
      </c>
    </row>
    <row r="12" spans="2:11" x14ac:dyDescent="0.2">
      <c r="B12" s="2">
        <f t="shared" si="7"/>
        <v>35</v>
      </c>
      <c r="C12" s="3">
        <v>50</v>
      </c>
      <c r="D12" s="3">
        <v>5</v>
      </c>
      <c r="E12" s="4">
        <f t="shared" si="8"/>
        <v>-13.066549946544615</v>
      </c>
      <c r="F12" s="4">
        <f t="shared" si="9"/>
        <v>-32.19831144158519</v>
      </c>
      <c r="G12" s="7">
        <f t="shared" si="10"/>
        <v>3.7472817460317462</v>
      </c>
      <c r="H12" s="2">
        <f t="shared" si="11"/>
        <v>0.1</v>
      </c>
      <c r="I12" s="7">
        <f t="shared" si="12"/>
        <v>3.749281746031746</v>
      </c>
      <c r="J12" s="4">
        <f t="shared" si="13"/>
        <v>-2.8536696308325524</v>
      </c>
      <c r="K12" s="4">
        <f t="shared" si="14"/>
        <v>-4.103138219452874</v>
      </c>
    </row>
    <row r="13" spans="2:11" x14ac:dyDescent="0.2">
      <c r="B13" s="2">
        <f t="shared" si="7"/>
        <v>40</v>
      </c>
      <c r="C13" s="3">
        <v>50</v>
      </c>
      <c r="D13" s="3">
        <v>5</v>
      </c>
      <c r="E13" s="4">
        <f t="shared" si="8"/>
        <v>-16.315593422972576</v>
      </c>
      <c r="F13" s="4">
        <f t="shared" si="9"/>
        <v>-35.996059471424957</v>
      </c>
      <c r="G13" s="7">
        <f t="shared" si="10"/>
        <v>3.8472817460317463</v>
      </c>
      <c r="H13" s="2">
        <f t="shared" si="11"/>
        <v>0.1</v>
      </c>
      <c r="I13" s="7">
        <f t="shared" si="12"/>
        <v>3.8492817460317461</v>
      </c>
      <c r="J13" s="4">
        <f t="shared" si="13"/>
        <v>-3.2490434764279597</v>
      </c>
      <c r="K13" s="4">
        <f t="shared" si="14"/>
        <v>-3.7977480298397652</v>
      </c>
    </row>
    <row r="14" spans="2:11" x14ac:dyDescent="0.2">
      <c r="B14" s="2">
        <f t="shared" si="7"/>
        <v>45</v>
      </c>
      <c r="C14" s="3">
        <v>50</v>
      </c>
      <c r="D14" s="3">
        <v>5</v>
      </c>
      <c r="E14" s="4">
        <f t="shared" si="8"/>
        <v>-19.927547376570455</v>
      </c>
      <c r="F14" s="4">
        <f t="shared" si="9"/>
        <v>-39.450471468706048</v>
      </c>
      <c r="G14" s="7">
        <f t="shared" si="10"/>
        <v>3.9472817460317464</v>
      </c>
      <c r="H14" s="2">
        <f t="shared" si="11"/>
        <v>0.1</v>
      </c>
      <c r="I14" s="7">
        <f t="shared" si="12"/>
        <v>3.9492817460317462</v>
      </c>
      <c r="J14" s="4">
        <f t="shared" si="13"/>
        <v>-3.6119539535978809</v>
      </c>
      <c r="K14" s="4">
        <f t="shared" si="14"/>
        <v>-3.4544119972810909</v>
      </c>
    </row>
    <row r="15" spans="2:11" x14ac:dyDescent="0.2">
      <c r="B15" s="2">
        <f t="shared" si="7"/>
        <v>50</v>
      </c>
      <c r="C15" s="3">
        <v>50</v>
      </c>
      <c r="D15" s="3">
        <v>5</v>
      </c>
      <c r="E15" s="4">
        <f t="shared" si="8"/>
        <v>-23.866322357387144</v>
      </c>
      <c r="F15" s="4">
        <f t="shared" si="9"/>
        <v>-42.527032090628424</v>
      </c>
      <c r="G15" s="7">
        <f t="shared" si="10"/>
        <v>4.0472817460317465</v>
      </c>
      <c r="H15" s="2">
        <f t="shared" si="11"/>
        <v>0.1</v>
      </c>
      <c r="I15" s="7">
        <f t="shared" si="12"/>
        <v>4.0492817460317463</v>
      </c>
      <c r="J15" s="4">
        <f t="shared" si="13"/>
        <v>-3.9387749808166901</v>
      </c>
      <c r="K15" s="4">
        <f t="shared" si="14"/>
        <v>-3.0765606219223733</v>
      </c>
    </row>
    <row r="16" spans="2:11" x14ac:dyDescent="0.2">
      <c r="B16" s="2">
        <f t="shared" si="7"/>
        <v>55</v>
      </c>
      <c r="C16" s="3">
        <v>50</v>
      </c>
      <c r="D16" s="3">
        <v>5</v>
      </c>
      <c r="E16" s="4">
        <f t="shared" si="8"/>
        <v>-28.092563427800226</v>
      </c>
      <c r="F16" s="4">
        <f t="shared" si="9"/>
        <v>-45.195001360433565</v>
      </c>
      <c r="G16" s="7">
        <f t="shared" si="10"/>
        <v>4.1472817460317462</v>
      </c>
      <c r="H16" s="2">
        <f t="shared" si="11"/>
        <v>0.1</v>
      </c>
      <c r="I16" s="7">
        <f t="shared" si="12"/>
        <v>4.1492817460317459</v>
      </c>
      <c r="J16" s="4">
        <f t="shared" si="13"/>
        <v>-4.2262410704130824</v>
      </c>
      <c r="K16" s="4">
        <f t="shared" si="14"/>
        <v>-2.6679692698051412</v>
      </c>
    </row>
    <row r="17" spans="2:11" x14ac:dyDescent="0.2">
      <c r="B17" s="2">
        <f t="shared" si="7"/>
        <v>60</v>
      </c>
      <c r="C17" s="3">
        <v>50</v>
      </c>
      <c r="D17" s="3">
        <v>5</v>
      </c>
      <c r="E17" s="4">
        <f t="shared" si="8"/>
        <v>-32.564043384043693</v>
      </c>
      <c r="F17" s="4">
        <f t="shared" si="9"/>
        <v>-47.427721811090969</v>
      </c>
      <c r="G17" s="7">
        <f t="shared" si="10"/>
        <v>4.2472817460317458</v>
      </c>
      <c r="H17" s="2">
        <f t="shared" si="11"/>
        <v>0.1</v>
      </c>
      <c r="I17" s="7">
        <f t="shared" si="12"/>
        <v>4.2492817460317456</v>
      </c>
      <c r="J17" s="4">
        <f t="shared" si="13"/>
        <v>-4.4714799562434688</v>
      </c>
      <c r="K17" s="4">
        <f t="shared" si="14"/>
        <v>-2.2327204506574039</v>
      </c>
    </row>
    <row r="18" spans="2:11" x14ac:dyDescent="0.2">
      <c r="B18" s="2">
        <f t="shared" si="7"/>
        <v>65</v>
      </c>
      <c r="C18" s="3">
        <v>50</v>
      </c>
      <c r="D18" s="3">
        <v>5</v>
      </c>
      <c r="E18" s="4">
        <f t="shared" si="8"/>
        <v>-37.236084676469524</v>
      </c>
      <c r="F18" s="4">
        <f t="shared" si="9"/>
        <v>-49.202884837896924</v>
      </c>
      <c r="G18" s="7">
        <f t="shared" si="10"/>
        <v>4.3472817460317454</v>
      </c>
      <c r="H18" s="2">
        <f t="shared" si="11"/>
        <v>0.1</v>
      </c>
      <c r="I18" s="7">
        <f t="shared" si="12"/>
        <v>4.3492817460317452</v>
      </c>
      <c r="J18" s="4">
        <f t="shared" si="13"/>
        <v>-4.6720412924258303</v>
      </c>
      <c r="K18" s="4">
        <f t="shared" si="14"/>
        <v>-1.7751630268059542</v>
      </c>
    </row>
    <row r="19" spans="2:11" x14ac:dyDescent="0.2">
      <c r="B19" s="2">
        <f t="shared" si="7"/>
        <v>70</v>
      </c>
      <c r="C19" s="3">
        <v>50</v>
      </c>
      <c r="D19" s="3">
        <v>5</v>
      </c>
      <c r="E19" s="4">
        <f t="shared" si="8"/>
        <v>-42.062005812855318</v>
      </c>
      <c r="F19" s="4">
        <f t="shared" si="9"/>
        <v>-50.502753598678467</v>
      </c>
      <c r="G19" s="7">
        <f t="shared" si="10"/>
        <v>4.4472817460317451</v>
      </c>
      <c r="H19" s="2">
        <f t="shared" si="11"/>
        <v>0.1</v>
      </c>
      <c r="I19" s="7">
        <f t="shared" si="12"/>
        <v>4.4492817460317449</v>
      </c>
      <c r="J19" s="4">
        <f t="shared" si="13"/>
        <v>-4.8259211363857943</v>
      </c>
      <c r="K19" s="4">
        <f t="shared" si="14"/>
        <v>-1.2998687607815405</v>
      </c>
    </row>
    <row r="20" spans="2:11" x14ac:dyDescent="0.2">
      <c r="B20" s="2">
        <f t="shared" si="7"/>
        <v>75</v>
      </c>
      <c r="C20" s="3">
        <v>50</v>
      </c>
      <c r="D20" s="3">
        <v>5</v>
      </c>
      <c r="E20" s="4">
        <f t="shared" si="8"/>
        <v>-46.993587784443747</v>
      </c>
      <c r="F20" s="4">
        <f t="shared" si="9"/>
        <v>-51.314340234457347</v>
      </c>
      <c r="G20" s="7">
        <f t="shared" si="10"/>
        <v>4.5472817460317447</v>
      </c>
      <c r="H20" s="2">
        <f t="shared" si="11"/>
        <v>0.1</v>
      </c>
      <c r="I20" s="7">
        <f t="shared" si="12"/>
        <v>4.5492817460317445</v>
      </c>
      <c r="J20" s="4">
        <f t="shared" si="13"/>
        <v>-4.9315819715884288</v>
      </c>
      <c r="K20" s="4">
        <f t="shared" si="14"/>
        <v>-0.81158663577888268</v>
      </c>
    </row>
    <row r="21" spans="2:11" x14ac:dyDescent="0.2">
      <c r="B21" s="2">
        <f t="shared" si="7"/>
        <v>80</v>
      </c>
      <c r="C21" s="3">
        <v>100</v>
      </c>
      <c r="D21" s="3">
        <v>5</v>
      </c>
      <c r="E21" s="4">
        <f t="shared" si="8"/>
        <v>-51.960269265299686</v>
      </c>
      <c r="F21" s="4">
        <f t="shared" si="9"/>
        <v>-51.886063216676042</v>
      </c>
      <c r="G21" s="7">
        <f t="shared" si="10"/>
        <v>4.5972817460317446</v>
      </c>
      <c r="H21" s="2">
        <f t="shared" si="11"/>
        <v>0.05</v>
      </c>
      <c r="I21" s="7">
        <f t="shared" si="12"/>
        <v>4.5977817460317443</v>
      </c>
      <c r="J21" s="4">
        <f t="shared" si="13"/>
        <v>-4.9666814808559359</v>
      </c>
      <c r="K21" s="4">
        <f t="shared" si="14"/>
        <v>-0.57172298221869389</v>
      </c>
    </row>
    <row r="22" spans="2:11" x14ac:dyDescent="0.2">
      <c r="B22" s="2">
        <f t="shared" si="7"/>
        <v>85</v>
      </c>
      <c r="C22" s="3">
        <v>100</v>
      </c>
      <c r="D22" s="3">
        <v>5</v>
      </c>
      <c r="E22" s="4">
        <f t="shared" si="8"/>
        <v>-56.949317927307654</v>
      </c>
      <c r="F22" s="4">
        <f t="shared" si="9"/>
        <v>-52.208841079595508</v>
      </c>
      <c r="G22" s="7">
        <f t="shared" si="10"/>
        <v>4.6472817460317444</v>
      </c>
      <c r="H22" s="2">
        <f t="shared" si="11"/>
        <v>0.05</v>
      </c>
      <c r="I22" s="7">
        <f t="shared" si="12"/>
        <v>4.6477817460317441</v>
      </c>
      <c r="J22" s="4">
        <f t="shared" si="13"/>
        <v>-4.989048662007967</v>
      </c>
      <c r="K22" s="4">
        <f t="shared" si="14"/>
        <v>-0.32277786291946592</v>
      </c>
    </row>
    <row r="23" spans="2:11" x14ac:dyDescent="0.2">
      <c r="B23" s="2">
        <f t="shared" si="7"/>
        <v>90</v>
      </c>
      <c r="C23" s="3">
        <v>100</v>
      </c>
      <c r="D23" s="3">
        <v>5</v>
      </c>
      <c r="E23" s="4">
        <f t="shared" si="8"/>
        <v>-61.948263747058945</v>
      </c>
      <c r="F23" s="4">
        <f t="shared" si="9"/>
        <v>-52.281867046657908</v>
      </c>
      <c r="G23" s="7">
        <f t="shared" si="10"/>
        <v>4.6972817460317442</v>
      </c>
      <c r="H23" s="2">
        <f t="shared" si="11"/>
        <v>0.05</v>
      </c>
      <c r="I23" s="7">
        <f t="shared" si="12"/>
        <v>4.6977817460317439</v>
      </c>
      <c r="J23" s="4">
        <f t="shared" si="13"/>
        <v>-4.9989458197512953</v>
      </c>
      <c r="K23" s="4">
        <f t="shared" si="14"/>
        <v>-7.302596706240079E-2</v>
      </c>
    </row>
    <row r="24" spans="2:11" x14ac:dyDescent="0.2">
      <c r="B24" s="2">
        <f t="shared" si="7"/>
        <v>95</v>
      </c>
      <c r="C24" s="3">
        <v>100</v>
      </c>
      <c r="D24" s="3">
        <v>5</v>
      </c>
      <c r="E24" s="4">
        <f t="shared" si="8"/>
        <v>-66.944611963404839</v>
      </c>
      <c r="F24" s="4">
        <f t="shared" si="9"/>
        <v>-52.104958590976779</v>
      </c>
      <c r="G24" s="7">
        <f t="shared" si="10"/>
        <v>4.747281746031744</v>
      </c>
      <c r="H24" s="2">
        <f t="shared" si="11"/>
        <v>0.05</v>
      </c>
      <c r="I24" s="7">
        <f t="shared" si="12"/>
        <v>4.7477817460317437</v>
      </c>
      <c r="J24" s="4">
        <f t="shared" si="13"/>
        <v>-4.9963482163459005</v>
      </c>
      <c r="K24" s="4">
        <f t="shared" si="14"/>
        <v>0.17690845568113192</v>
      </c>
    </row>
    <row r="25" spans="2:11" x14ac:dyDescent="0.2">
      <c r="B25" s="2">
        <f t="shared" si="7"/>
        <v>100</v>
      </c>
      <c r="C25" s="3">
        <v>100</v>
      </c>
      <c r="D25" s="3">
        <v>5</v>
      </c>
      <c r="E25" s="4">
        <f t="shared" si="8"/>
        <v>-71.925874307852325</v>
      </c>
      <c r="F25" s="4">
        <f t="shared" si="9"/>
        <v>-51.678557891559173</v>
      </c>
      <c r="G25" s="7">
        <f t="shared" si="10"/>
        <v>4.7972817460317438</v>
      </c>
      <c r="H25" s="2">
        <f t="shared" si="11"/>
        <v>0.05</v>
      </c>
      <c r="I25" s="7">
        <f t="shared" si="12"/>
        <v>4.7977817460317436</v>
      </c>
      <c r="J25" s="4">
        <f t="shared" si="13"/>
        <v>-4.9812623444474919</v>
      </c>
      <c r="K25" s="4">
        <f t="shared" si="14"/>
        <v>0.42640069941760445</v>
      </c>
    </row>
    <row r="26" spans="2:11" x14ac:dyDescent="0.2">
      <c r="B26" s="2">
        <f t="shared" ref="B26:B85" si="15">B25+D26</f>
        <v>105</v>
      </c>
      <c r="C26" s="3">
        <v>100</v>
      </c>
      <c r="D26" s="3">
        <v>5</v>
      </c>
      <c r="E26" s="4">
        <f t="shared" ref="E26:E85" si="16">E25+J26</f>
        <v>-76.879600218731568</v>
      </c>
      <c r="F26" s="4">
        <f t="shared" ref="F26:F85" si="17">F25+K26</f>
        <v>-51.003730728088449</v>
      </c>
      <c r="G26" s="7">
        <f t="shared" ref="G26:G85" si="18">G25+H26</f>
        <v>4.8472817460317437</v>
      </c>
      <c r="H26" s="2">
        <f t="shared" ref="H26:H85" si="19">D26/C26</f>
        <v>0.05</v>
      </c>
      <c r="I26" s="7">
        <f t="shared" ref="I26:I85" si="20">G26+H26/C26</f>
        <v>4.8477817460317434</v>
      </c>
      <c r="J26" s="4">
        <f t="shared" ref="J26:J85" si="21">ABS(C26)*(2*(1-COS(H26)))^0.5*SIN(I26)</f>
        <v>-4.9537259108792444</v>
      </c>
      <c r="K26" s="4">
        <f t="shared" ref="K26:K85" si="22">ABS(C26)*(2*(1-COS(H26)))^0.5*COS(I26)</f>
        <v>0.67482716347072436</v>
      </c>
    </row>
    <row r="27" spans="2:11" x14ac:dyDescent="0.2">
      <c r="B27" s="2">
        <f t="shared" si="15"/>
        <v>110</v>
      </c>
      <c r="C27" s="3">
        <v>100</v>
      </c>
      <c r="D27" s="3">
        <v>5</v>
      </c>
      <c r="E27" s="4">
        <f t="shared" si="16"/>
        <v>-81.793407961115946</v>
      </c>
      <c r="F27" s="4">
        <f t="shared" si="17"/>
        <v>-50.082163817030086</v>
      </c>
      <c r="G27" s="7">
        <f t="shared" si="18"/>
        <v>4.8972817460317435</v>
      </c>
      <c r="H27" s="2">
        <f t="shared" si="19"/>
        <v>0.05</v>
      </c>
      <c r="I27" s="7">
        <f t="shared" si="20"/>
        <v>4.8977817460317432</v>
      </c>
      <c r="J27" s="4">
        <f t="shared" si="21"/>
        <v>-4.9138077423843818</v>
      </c>
      <c r="K27" s="4">
        <f t="shared" si="22"/>
        <v>0.92156691105836064</v>
      </c>
    </row>
    <row r="28" spans="2:11" x14ac:dyDescent="0.2">
      <c r="B28" s="2">
        <f t="shared" si="15"/>
        <v>115</v>
      </c>
      <c r="C28" s="3">
        <v>100</v>
      </c>
      <c r="D28" s="3">
        <v>5</v>
      </c>
      <c r="E28" s="4">
        <f t="shared" si="16"/>
        <v>-86.655015574711101</v>
      </c>
      <c r="F28" s="4">
        <f t="shared" si="17"/>
        <v>-48.916160595718964</v>
      </c>
      <c r="G28" s="7">
        <f t="shared" si="18"/>
        <v>4.9472817460317433</v>
      </c>
      <c r="H28" s="2">
        <f t="shared" si="19"/>
        <v>0.05</v>
      </c>
      <c r="I28" s="7">
        <f t="shared" si="20"/>
        <v>4.947781746031743</v>
      </c>
      <c r="J28" s="4">
        <f t="shared" si="21"/>
        <v>-4.8616076135951607</v>
      </c>
      <c r="K28" s="4">
        <f t="shared" si="22"/>
        <v>1.1660032213111202</v>
      </c>
    </row>
    <row r="29" spans="2:11" x14ac:dyDescent="0.2">
      <c r="B29" s="2">
        <f t="shared" si="15"/>
        <v>120</v>
      </c>
      <c r="C29" s="3">
        <v>100</v>
      </c>
      <c r="D29" s="3">
        <v>5</v>
      </c>
      <c r="E29" s="4">
        <f t="shared" si="16"/>
        <v>-91.452271572359351</v>
      </c>
      <c r="F29" s="4">
        <f t="shared" si="17"/>
        <v>-47.508635464965622</v>
      </c>
      <c r="G29" s="7">
        <f t="shared" si="18"/>
        <v>4.9972817460317431</v>
      </c>
      <c r="H29" s="2">
        <f t="shared" si="19"/>
        <v>0.05</v>
      </c>
      <c r="I29" s="7">
        <f t="shared" si="20"/>
        <v>4.9977817460317429</v>
      </c>
      <c r="J29" s="4">
        <f t="shared" si="21"/>
        <v>-4.7972559976482527</v>
      </c>
      <c r="K29" s="4">
        <f t="shared" si="22"/>
        <v>1.4075251307533412</v>
      </c>
    </row>
    <row r="30" spans="2:11" x14ac:dyDescent="0.2">
      <c r="B30" s="2">
        <f t="shared" si="15"/>
        <v>125</v>
      </c>
      <c r="C30" s="3">
        <v>100</v>
      </c>
      <c r="D30" s="3">
        <v>5</v>
      </c>
      <c r="E30" s="4">
        <f t="shared" si="16"/>
        <v>-96.173185312429197</v>
      </c>
      <c r="F30" s="4">
        <f t="shared" si="17"/>
        <v>-45.863106504572023</v>
      </c>
      <c r="G30" s="7">
        <f t="shared" si="18"/>
        <v>5.047281746031743</v>
      </c>
      <c r="H30" s="2">
        <f t="shared" si="19"/>
        <v>0.05</v>
      </c>
      <c r="I30" s="7">
        <f t="shared" si="20"/>
        <v>5.0477817460317427</v>
      </c>
      <c r="J30" s="4">
        <f t="shared" si="21"/>
        <v>-4.720913740069852</v>
      </c>
      <c r="K30" s="4">
        <f t="shared" si="22"/>
        <v>1.6455289603935961</v>
      </c>
    </row>
    <row r="31" spans="2:11" x14ac:dyDescent="0.2">
      <c r="B31" s="2">
        <f t="shared" si="15"/>
        <v>130</v>
      </c>
      <c r="C31" s="3">
        <v>100</v>
      </c>
      <c r="D31" s="3">
        <v>5</v>
      </c>
      <c r="E31" s="4">
        <f t="shared" si="16"/>
        <v>-100.80595696917482</v>
      </c>
      <c r="F31" s="4">
        <f t="shared" si="17"/>
        <v>-43.983686679964237</v>
      </c>
      <c r="G31" s="7">
        <f t="shared" si="18"/>
        <v>5.0972817460317428</v>
      </c>
      <c r="H31" s="2">
        <f t="shared" si="19"/>
        <v>0.05</v>
      </c>
      <c r="I31" s="7">
        <f t="shared" si="20"/>
        <v>5.0977817460317425</v>
      </c>
      <c r="J31" s="4">
        <f t="shared" si="21"/>
        <v>-4.6327716567456241</v>
      </c>
      <c r="K31" s="4">
        <f t="shared" si="22"/>
        <v>1.8794198246077838</v>
      </c>
    </row>
    <row r="32" spans="2:11" x14ac:dyDescent="0.2">
      <c r="B32" s="2">
        <f t="shared" si="15"/>
        <v>135</v>
      </c>
      <c r="C32" s="3">
        <v>100</v>
      </c>
      <c r="D32" s="3">
        <v>5</v>
      </c>
      <c r="E32" s="4">
        <f t="shared" si="16"/>
        <v>-105.33900702615519</v>
      </c>
      <c r="F32" s="4">
        <f t="shared" si="17"/>
        <v>-41.875073561920864</v>
      </c>
      <c r="G32" s="7">
        <f t="shared" si="18"/>
        <v>5.1472817460317426</v>
      </c>
      <c r="H32" s="2">
        <f t="shared" si="19"/>
        <v>0.05</v>
      </c>
      <c r="I32" s="7">
        <f t="shared" si="20"/>
        <v>5.1477817460317423</v>
      </c>
      <c r="J32" s="4">
        <f t="shared" si="21"/>
        <v>-4.5330500569803709</v>
      </c>
      <c r="K32" s="4">
        <f t="shared" si="22"/>
        <v>2.1086131180433756</v>
      </c>
    </row>
    <row r="33" spans="2:11" x14ac:dyDescent="0.2">
      <c r="B33" s="2">
        <f t="shared" si="15"/>
        <v>140</v>
      </c>
      <c r="C33" s="3">
        <v>100</v>
      </c>
      <c r="D33" s="3">
        <v>5</v>
      </c>
      <c r="E33" s="4">
        <f t="shared" si="16"/>
        <v>-109.76100521899468</v>
      </c>
      <c r="F33" s="4">
        <f t="shared" si="17"/>
        <v>-39.542537585092525</v>
      </c>
      <c r="G33" s="7">
        <f t="shared" si="18"/>
        <v>5.1972817460317424</v>
      </c>
      <c r="H33" s="2">
        <f t="shared" si="19"/>
        <v>0.05</v>
      </c>
      <c r="I33" s="7">
        <f t="shared" si="20"/>
        <v>5.1977817460317421</v>
      </c>
      <c r="J33" s="4">
        <f t="shared" si="21"/>
        <v>-4.4219981928394994</v>
      </c>
      <c r="K33" s="4">
        <f t="shared" si="22"/>
        <v>2.3325359768283422</v>
      </c>
    </row>
    <row r="34" spans="2:11" x14ac:dyDescent="0.2">
      <c r="B34" s="2">
        <f t="shared" si="15"/>
        <v>145</v>
      </c>
      <c r="C34" s="3">
        <v>100</v>
      </c>
      <c r="D34" s="3">
        <v>5</v>
      </c>
      <c r="E34" s="4">
        <f t="shared" si="16"/>
        <v>-114.06089885514335</v>
      </c>
      <c r="F34" s="4">
        <f t="shared" si="17"/>
        <v>-36.991908874660034</v>
      </c>
      <c r="G34" s="7">
        <f t="shared" si="18"/>
        <v>5.2472817460317422</v>
      </c>
      <c r="H34" s="2">
        <f t="shared" si="19"/>
        <v>0.05</v>
      </c>
      <c r="I34" s="7">
        <f t="shared" si="20"/>
        <v>5.247781746031742</v>
      </c>
      <c r="J34" s="4">
        <f t="shared" si="21"/>
        <v>-4.2998936361486697</v>
      </c>
      <c r="K34" s="4">
        <f t="shared" si="22"/>
        <v>2.5506287104324921</v>
      </c>
    </row>
    <row r="35" spans="2:11" x14ac:dyDescent="0.2">
      <c r="B35" s="2">
        <f t="shared" si="15"/>
        <v>150</v>
      </c>
      <c r="C35" s="3">
        <v>100</v>
      </c>
      <c r="D35" s="3">
        <v>5</v>
      </c>
      <c r="E35" s="4">
        <f t="shared" si="16"/>
        <v>-118.22794043985213</v>
      </c>
      <c r="F35" s="4">
        <f t="shared" si="17"/>
        <v>-34.229562674057718</v>
      </c>
      <c r="G35" s="7">
        <f t="shared" si="18"/>
        <v>5.2972817460317421</v>
      </c>
      <c r="H35" s="2">
        <f t="shared" si="19"/>
        <v>0.05</v>
      </c>
      <c r="I35" s="7">
        <f t="shared" si="20"/>
        <v>5.2977817460317418</v>
      </c>
      <c r="J35" s="4">
        <f t="shared" si="21"/>
        <v>-4.1670415847087847</v>
      </c>
      <c r="K35" s="4">
        <f t="shared" si="22"/>
        <v>2.7623462006023147</v>
      </c>
    </row>
    <row r="36" spans="2:11" x14ac:dyDescent="0.2">
      <c r="B36" s="2">
        <f t="shared" si="15"/>
        <v>155</v>
      </c>
      <c r="C36" s="3">
        <v>200</v>
      </c>
      <c r="D36" s="3">
        <v>5</v>
      </c>
      <c r="E36" s="4">
        <f t="shared" si="16"/>
        <v>-122.32602291878366</v>
      </c>
      <c r="F36" s="4">
        <f t="shared" si="17"/>
        <v>-31.365227159551019</v>
      </c>
      <c r="G36" s="7">
        <f t="shared" si="18"/>
        <v>5.3222817460317424</v>
      </c>
      <c r="H36" s="2">
        <f t="shared" si="19"/>
        <v>2.5000000000000001E-2</v>
      </c>
      <c r="I36" s="7">
        <f t="shared" si="20"/>
        <v>5.3224067460317421</v>
      </c>
      <c r="J36" s="4">
        <f t="shared" si="21"/>
        <v>-4.0980824789315298</v>
      </c>
      <c r="K36" s="4">
        <f t="shared" si="22"/>
        <v>2.8643355145067004</v>
      </c>
    </row>
    <row r="37" spans="2:11" x14ac:dyDescent="0.2">
      <c r="B37" s="2">
        <f t="shared" si="15"/>
        <v>160</v>
      </c>
      <c r="C37" s="3">
        <v>200</v>
      </c>
      <c r="D37" s="3">
        <v>5</v>
      </c>
      <c r="E37" s="4">
        <f t="shared" si="16"/>
        <v>-126.35122388475101</v>
      </c>
      <c r="F37" s="4">
        <f t="shared" si="17"/>
        <v>-28.399345313056529</v>
      </c>
      <c r="G37" s="7">
        <f t="shared" si="18"/>
        <v>5.3472817460317428</v>
      </c>
      <c r="H37" s="2">
        <f t="shared" si="19"/>
        <v>2.5000000000000001E-2</v>
      </c>
      <c r="I37" s="7">
        <f t="shared" si="20"/>
        <v>5.3474067460317425</v>
      </c>
      <c r="J37" s="4">
        <f t="shared" si="21"/>
        <v>-4.0252009659673389</v>
      </c>
      <c r="K37" s="4">
        <f t="shared" si="22"/>
        <v>2.9658818464944887</v>
      </c>
    </row>
    <row r="38" spans="2:11" x14ac:dyDescent="0.2">
      <c r="B38" s="2">
        <f t="shared" si="15"/>
        <v>165</v>
      </c>
      <c r="C38" s="3">
        <v>200</v>
      </c>
      <c r="D38" s="3">
        <v>5</v>
      </c>
      <c r="E38" s="4">
        <f t="shared" si="16"/>
        <v>-130.30102771817639</v>
      </c>
      <c r="F38" s="4">
        <f t="shared" si="17"/>
        <v>-25.333770714184688</v>
      </c>
      <c r="G38" s="7">
        <f t="shared" si="18"/>
        <v>5.3722817460317431</v>
      </c>
      <c r="H38" s="2">
        <f t="shared" si="19"/>
        <v>2.5000000000000001E-2</v>
      </c>
      <c r="I38" s="7">
        <f t="shared" si="20"/>
        <v>5.3724067460317428</v>
      </c>
      <c r="J38" s="4">
        <f t="shared" si="21"/>
        <v>-3.9498038334253653</v>
      </c>
      <c r="K38" s="4">
        <f t="shared" si="22"/>
        <v>3.0655745988718399</v>
      </c>
    </row>
    <row r="39" spans="2:11" x14ac:dyDescent="0.2">
      <c r="B39" s="2">
        <f t="shared" si="15"/>
        <v>170</v>
      </c>
      <c r="C39" s="3">
        <v>200</v>
      </c>
      <c r="D39" s="3">
        <v>5</v>
      </c>
      <c r="E39" s="4">
        <f t="shared" si="16"/>
        <v>-134.17296592023555</v>
      </c>
      <c r="F39" s="4">
        <f t="shared" si="17"/>
        <v>-22.170419247271031</v>
      </c>
      <c r="G39" s="7">
        <f t="shared" si="18"/>
        <v>5.3972817460317435</v>
      </c>
      <c r="H39" s="2">
        <f t="shared" si="19"/>
        <v>2.5000000000000001E-2</v>
      </c>
      <c r="I39" s="7">
        <f t="shared" si="20"/>
        <v>5.3974067460317432</v>
      </c>
      <c r="J39" s="4">
        <f t="shared" si="21"/>
        <v>-3.8719382020591668</v>
      </c>
      <c r="K39" s="4">
        <f t="shared" si="22"/>
        <v>3.1633514669136562</v>
      </c>
    </row>
    <row r="40" spans="2:11" x14ac:dyDescent="0.2">
      <c r="B40" s="2">
        <f t="shared" si="15"/>
        <v>175</v>
      </c>
      <c r="C40" s="3">
        <v>50</v>
      </c>
      <c r="D40" s="3">
        <v>5</v>
      </c>
      <c r="E40" s="4">
        <f t="shared" si="16"/>
        <v>-137.70174091043589</v>
      </c>
      <c r="F40" s="4">
        <f t="shared" si="17"/>
        <v>-18.631080230108719</v>
      </c>
      <c r="G40" s="7">
        <f t="shared" si="18"/>
        <v>5.4972817460317431</v>
      </c>
      <c r="H40" s="2">
        <f t="shared" si="19"/>
        <v>0.1</v>
      </c>
      <c r="I40" s="7">
        <f t="shared" si="20"/>
        <v>5.4992817460317429</v>
      </c>
      <c r="J40" s="4">
        <f t="shared" si="21"/>
        <v>-3.528774990200342</v>
      </c>
      <c r="K40" s="4">
        <f t="shared" si="22"/>
        <v>3.5393390171623111</v>
      </c>
    </row>
    <row r="41" spans="2:11" x14ac:dyDescent="0.2">
      <c r="B41" s="2">
        <f t="shared" si="15"/>
        <v>180</v>
      </c>
      <c r="C41" s="3">
        <v>50</v>
      </c>
      <c r="D41" s="3">
        <v>5</v>
      </c>
      <c r="E41" s="4">
        <f t="shared" si="16"/>
        <v>-140.85954241725941</v>
      </c>
      <c r="F41" s="4">
        <f t="shared" si="17"/>
        <v>-14.757133501851609</v>
      </c>
      <c r="G41" s="7">
        <f t="shared" si="18"/>
        <v>5.5972817460317428</v>
      </c>
      <c r="H41" s="2">
        <f t="shared" si="19"/>
        <v>0.1</v>
      </c>
      <c r="I41" s="7">
        <f t="shared" si="20"/>
        <v>5.5992817460317426</v>
      </c>
      <c r="J41" s="4">
        <f t="shared" si="21"/>
        <v>-3.1578015068235259</v>
      </c>
      <c r="K41" s="4">
        <f t="shared" si="22"/>
        <v>3.8739467282571098</v>
      </c>
    </row>
    <row r="42" spans="2:11" x14ac:dyDescent="0.2">
      <c r="B42" s="2">
        <f t="shared" si="15"/>
        <v>185</v>
      </c>
      <c r="C42" s="3">
        <v>50</v>
      </c>
      <c r="D42" s="3">
        <v>5</v>
      </c>
      <c r="E42" s="4">
        <f t="shared" si="16"/>
        <v>-143.61481873188032</v>
      </c>
      <c r="F42" s="4">
        <f t="shared" si="17"/>
        <v>-10.587286257651911</v>
      </c>
      <c r="G42" s="7">
        <f t="shared" si="18"/>
        <v>5.6972817460317424</v>
      </c>
      <c r="H42" s="2">
        <f t="shared" si="19"/>
        <v>0.1</v>
      </c>
      <c r="I42" s="7">
        <f t="shared" si="20"/>
        <v>5.6992817460317422</v>
      </c>
      <c r="J42" s="4">
        <f t="shared" si="21"/>
        <v>-2.7552763146209269</v>
      </c>
      <c r="K42" s="4">
        <f t="shared" si="22"/>
        <v>4.1698472441996985</v>
      </c>
    </row>
    <row r="43" spans="2:11" x14ac:dyDescent="0.2">
      <c r="B43" s="2">
        <f t="shared" si="15"/>
        <v>190</v>
      </c>
      <c r="C43" s="3">
        <v>50</v>
      </c>
      <c r="D43" s="3">
        <v>5</v>
      </c>
      <c r="E43" s="4">
        <f t="shared" si="16"/>
        <v>-145.94004004413623</v>
      </c>
      <c r="F43" s="4">
        <f t="shared" si="17"/>
        <v>-6.1632022328054266</v>
      </c>
      <c r="G43" s="7">
        <f t="shared" si="18"/>
        <v>5.7972817460317421</v>
      </c>
      <c r="H43" s="2">
        <f t="shared" si="19"/>
        <v>0.1</v>
      </c>
      <c r="I43" s="7">
        <f t="shared" si="20"/>
        <v>5.7992817460317418</v>
      </c>
      <c r="J43" s="4">
        <f t="shared" si="21"/>
        <v>-2.3252213122558958</v>
      </c>
      <c r="K43" s="4">
        <f t="shared" si="22"/>
        <v>4.4240840248464846</v>
      </c>
    </row>
    <row r="44" spans="2:11" x14ac:dyDescent="0.2">
      <c r="B44" s="2">
        <f t="shared" si="15"/>
        <v>195</v>
      </c>
      <c r="C44" s="3">
        <v>50</v>
      </c>
      <c r="D44" s="3">
        <v>5</v>
      </c>
      <c r="E44" s="4">
        <f t="shared" si="16"/>
        <v>-147.811973511291</v>
      </c>
      <c r="F44" s="4">
        <f t="shared" si="17"/>
        <v>-1.5290854124806748</v>
      </c>
      <c r="G44" s="7">
        <f t="shared" si="18"/>
        <v>5.8972817460317417</v>
      </c>
      <c r="H44" s="2">
        <f t="shared" si="19"/>
        <v>0.1</v>
      </c>
      <c r="I44" s="7">
        <f t="shared" si="20"/>
        <v>5.8992817460317415</v>
      </c>
      <c r="J44" s="4">
        <f t="shared" si="21"/>
        <v>-1.8719334671547792</v>
      </c>
      <c r="K44" s="4">
        <f t="shared" si="22"/>
        <v>4.6341168203247518</v>
      </c>
    </row>
    <row r="45" spans="2:11" x14ac:dyDescent="0.2">
      <c r="B45" s="2">
        <f t="shared" si="15"/>
        <v>200</v>
      </c>
      <c r="C45" s="3">
        <v>50</v>
      </c>
      <c r="D45" s="3">
        <v>5</v>
      </c>
      <c r="E45" s="4">
        <f t="shared" si="16"/>
        <v>-149.21191539291979</v>
      </c>
      <c r="F45" s="4">
        <f t="shared" si="17"/>
        <v>3.2687616398890178</v>
      </c>
      <c r="G45" s="7">
        <f t="shared" si="18"/>
        <v>5.9972817460317414</v>
      </c>
      <c r="H45" s="2">
        <f t="shared" si="19"/>
        <v>0.1</v>
      </c>
      <c r="I45" s="7">
        <f t="shared" si="20"/>
        <v>5.9992817460317411</v>
      </c>
      <c r="J45" s="4">
        <f t="shared" si="21"/>
        <v>-1.3999418816287881</v>
      </c>
      <c r="K45" s="4">
        <f t="shared" si="22"/>
        <v>4.7978470523696926</v>
      </c>
    </row>
    <row r="46" spans="2:11" x14ac:dyDescent="0.2">
      <c r="B46" s="2">
        <f t="shared" si="15"/>
        <v>205</v>
      </c>
      <c r="C46" s="3">
        <v>50</v>
      </c>
      <c r="D46" s="3">
        <v>5</v>
      </c>
      <c r="E46" s="4">
        <f t="shared" si="16"/>
        <v>-150.12587793250063</v>
      </c>
      <c r="F46" s="4">
        <f t="shared" si="17"/>
        <v>8.1824004225137514</v>
      </c>
      <c r="G46" s="7">
        <f t="shared" si="18"/>
        <v>6.097281746031741</v>
      </c>
      <c r="H46" s="2">
        <f t="shared" si="19"/>
        <v>0.1</v>
      </c>
      <c r="I46" s="7">
        <f t="shared" si="20"/>
        <v>6.0992817460317408</v>
      </c>
      <c r="J46" s="4">
        <f t="shared" si="21"/>
        <v>-0.91396253958082285</v>
      </c>
      <c r="K46" s="4">
        <f t="shared" si="22"/>
        <v>4.9136387826247336</v>
      </c>
    </row>
    <row r="47" spans="2:11" x14ac:dyDescent="0.2">
      <c r="B47" s="2">
        <f t="shared" si="15"/>
        <v>210</v>
      </c>
      <c r="C47" s="3">
        <v>50</v>
      </c>
      <c r="D47" s="3">
        <v>5</v>
      </c>
      <c r="E47" s="4">
        <f t="shared" si="16"/>
        <v>-150.54472911845383</v>
      </c>
      <c r="F47" s="4">
        <f t="shared" si="17"/>
        <v>13.162735480910573</v>
      </c>
      <c r="G47" s="7">
        <f t="shared" si="18"/>
        <v>6.1972817460317406</v>
      </c>
      <c r="H47" s="2">
        <f t="shared" si="19"/>
        <v>0.1</v>
      </c>
      <c r="I47" s="7">
        <f t="shared" si="20"/>
        <v>6.1992817460317404</v>
      </c>
      <c r="J47" s="4">
        <f t="shared" si="21"/>
        <v>-0.41885118595321463</v>
      </c>
      <c r="K47" s="4">
        <f t="shared" si="22"/>
        <v>4.9803350583968227</v>
      </c>
    </row>
    <row r="48" spans="2:11" x14ac:dyDescent="0.2">
      <c r="B48" s="2">
        <f t="shared" si="15"/>
        <v>215</v>
      </c>
      <c r="C48" s="3">
        <v>50</v>
      </c>
      <c r="D48" s="3">
        <v>5</v>
      </c>
      <c r="E48" s="4">
        <f t="shared" si="16"/>
        <v>-150.46428392818319</v>
      </c>
      <c r="F48" s="4">
        <f t="shared" si="17"/>
        <v>18.160004953455875</v>
      </c>
      <c r="G48" s="7">
        <f t="shared" si="18"/>
        <v>6.2972817460317403</v>
      </c>
      <c r="H48" s="2">
        <f t="shared" si="19"/>
        <v>0.1</v>
      </c>
      <c r="I48" s="7">
        <f t="shared" si="20"/>
        <v>6.2992817460317401</v>
      </c>
      <c r="J48" s="4">
        <f t="shared" si="21"/>
        <v>8.0445190270643965E-2</v>
      </c>
      <c r="K48" s="4">
        <f t="shared" si="22"/>
        <v>4.9972694725453035</v>
      </c>
    </row>
    <row r="49" spans="2:11" x14ac:dyDescent="0.2">
      <c r="B49" s="2">
        <f t="shared" si="15"/>
        <v>220</v>
      </c>
      <c r="C49" s="3">
        <v>50</v>
      </c>
      <c r="D49" s="3">
        <v>5</v>
      </c>
      <c r="E49" s="4">
        <f t="shared" si="16"/>
        <v>-149.88534614343823</v>
      </c>
      <c r="F49" s="4">
        <f t="shared" si="17"/>
        <v>23.124277775457653</v>
      </c>
      <c r="G49" s="7">
        <f t="shared" si="18"/>
        <v>6.3972817460317399</v>
      </c>
      <c r="H49" s="2">
        <f t="shared" si="19"/>
        <v>0.1</v>
      </c>
      <c r="I49" s="7">
        <f t="shared" si="20"/>
        <v>6.3992817460317397</v>
      </c>
      <c r="J49" s="4">
        <f t="shared" si="21"/>
        <v>0.57893778474496271</v>
      </c>
      <c r="K49" s="4">
        <f t="shared" si="22"/>
        <v>4.9642728220017771</v>
      </c>
    </row>
    <row r="50" spans="2:11" x14ac:dyDescent="0.2">
      <c r="B50" s="2">
        <f t="shared" si="15"/>
        <v>225</v>
      </c>
      <c r="C50" s="3">
        <v>50</v>
      </c>
      <c r="D50" s="3">
        <v>5</v>
      </c>
      <c r="E50" s="4">
        <f t="shared" si="16"/>
        <v>-148.81370031919272</v>
      </c>
      <c r="F50" s="4">
        <f t="shared" si="17"/>
        <v>28.005952573848887</v>
      </c>
      <c r="G50" s="7">
        <f t="shared" si="18"/>
        <v>6.4972817460317396</v>
      </c>
      <c r="H50" s="2">
        <f t="shared" si="19"/>
        <v>0.1</v>
      </c>
      <c r="I50" s="7">
        <f t="shared" si="20"/>
        <v>6.4992817460317394</v>
      </c>
      <c r="J50" s="4">
        <f t="shared" si="21"/>
        <v>1.071645824245498</v>
      </c>
      <c r="K50" s="4">
        <f t="shared" si="22"/>
        <v>4.8816747983912325</v>
      </c>
    </row>
    <row r="51" spans="2:11" x14ac:dyDescent="0.2">
      <c r="B51" s="2">
        <f t="shared" si="15"/>
        <v>230</v>
      </c>
      <c r="C51" s="3">
        <v>50</v>
      </c>
      <c r="D51" s="3">
        <v>5</v>
      </c>
      <c r="E51" s="4">
        <f t="shared" si="16"/>
        <v>-147.26005398628354</v>
      </c>
      <c r="F51" s="4">
        <f t="shared" si="17"/>
        <v>32.756253267711195</v>
      </c>
      <c r="G51" s="7">
        <f t="shared" si="18"/>
        <v>6.5972817460317392</v>
      </c>
      <c r="H51" s="2">
        <f t="shared" si="19"/>
        <v>0.1</v>
      </c>
      <c r="I51" s="7">
        <f t="shared" si="20"/>
        <v>6.599281746031739</v>
      </c>
      <c r="J51" s="4">
        <f t="shared" si="21"/>
        <v>1.5536463329091847</v>
      </c>
      <c r="K51" s="4">
        <f t="shared" si="22"/>
        <v>4.75030069386231</v>
      </c>
    </row>
    <row r="52" spans="2:11" x14ac:dyDescent="0.2">
      <c r="B52" s="2">
        <f t="shared" si="15"/>
        <v>235</v>
      </c>
      <c r="C52" s="3">
        <v>50</v>
      </c>
      <c r="D52" s="3">
        <v>5</v>
      </c>
      <c r="E52" s="4">
        <f t="shared" si="16"/>
        <v>-145.2399306653019</v>
      </c>
      <c r="F52" s="4">
        <f t="shared" si="17"/>
        <v>37.327716422752147</v>
      </c>
      <c r="G52" s="7">
        <f t="shared" si="18"/>
        <v>6.6972817460317389</v>
      </c>
      <c r="H52" s="2">
        <f t="shared" si="19"/>
        <v>0.1</v>
      </c>
      <c r="I52" s="7">
        <f t="shared" si="20"/>
        <v>6.6992817460317386</v>
      </c>
      <c r="J52" s="4">
        <f t="shared" si="21"/>
        <v>2.0201233209816403</v>
      </c>
      <c r="K52" s="4">
        <f t="shared" si="22"/>
        <v>4.5714631550409557</v>
      </c>
    </row>
    <row r="53" spans="2:11" x14ac:dyDescent="0.2">
      <c r="B53" s="2">
        <f t="shared" si="15"/>
        <v>240</v>
      </c>
      <c r="C53" s="3">
        <v>50</v>
      </c>
      <c r="D53" s="3">
        <v>5</v>
      </c>
      <c r="E53" s="4">
        <f t="shared" si="16"/>
        <v>-142.77351476070706</v>
      </c>
      <c r="F53" s="4">
        <f t="shared" si="17"/>
        <v>41.674665490251385</v>
      </c>
      <c r="G53" s="7">
        <f t="shared" si="18"/>
        <v>6.7972817460317385</v>
      </c>
      <c r="H53" s="2">
        <f t="shared" si="19"/>
        <v>0.1</v>
      </c>
      <c r="I53" s="7">
        <f t="shared" si="20"/>
        <v>6.7992817460317383</v>
      </c>
      <c r="J53" s="4">
        <f t="shared" si="21"/>
        <v>2.466415904594836</v>
      </c>
      <c r="K53" s="4">
        <f t="shared" si="22"/>
        <v>4.3469490674992421</v>
      </c>
    </row>
    <row r="54" spans="2:11" x14ac:dyDescent="0.2">
      <c r="B54" s="2">
        <f t="shared" si="15"/>
        <v>245</v>
      </c>
      <c r="C54" s="3">
        <v>50</v>
      </c>
      <c r="D54" s="3">
        <v>5</v>
      </c>
      <c r="E54" s="4">
        <f t="shared" si="16"/>
        <v>-139.88544988492905</v>
      </c>
      <c r="F54" s="4">
        <f t="shared" si="17"/>
        <v>45.753667192036779</v>
      </c>
      <c r="G54" s="7">
        <f t="shared" si="18"/>
        <v>6.8972817460317382</v>
      </c>
      <c r="H54" s="2">
        <f t="shared" si="19"/>
        <v>0.1</v>
      </c>
      <c r="I54" s="7">
        <f t="shared" si="20"/>
        <v>6.8992817460317379</v>
      </c>
      <c r="J54" s="4">
        <f t="shared" si="21"/>
        <v>2.8880648757780234</v>
      </c>
      <c r="K54" s="4">
        <f t="shared" si="22"/>
        <v>4.0790017017853968</v>
      </c>
    </row>
    <row r="55" spans="2:11" x14ac:dyDescent="0.2">
      <c r="B55" s="2">
        <f t="shared" si="15"/>
        <v>250</v>
      </c>
      <c r="C55" s="3">
        <v>50</v>
      </c>
      <c r="D55" s="3">
        <v>5</v>
      </c>
      <c r="E55" s="4">
        <f t="shared" si="16"/>
        <v>-136.60459262753929</v>
      </c>
      <c r="F55" s="4">
        <f t="shared" si="17"/>
        <v>49.523965491442787</v>
      </c>
      <c r="G55" s="7">
        <f t="shared" si="18"/>
        <v>6.9972817460317378</v>
      </c>
      <c r="H55" s="2">
        <f t="shared" si="19"/>
        <v>0.1</v>
      </c>
      <c r="I55" s="7">
        <f t="shared" si="20"/>
        <v>6.9992817460317376</v>
      </c>
      <c r="J55" s="4">
        <f t="shared" si="21"/>
        <v>3.2808572573897585</v>
      </c>
      <c r="K55" s="4">
        <f t="shared" si="22"/>
        <v>3.7702982994060097</v>
      </c>
    </row>
    <row r="56" spans="2:11" x14ac:dyDescent="0.2">
      <c r="B56" s="2">
        <f t="shared" si="15"/>
        <v>255</v>
      </c>
      <c r="C56" s="3">
        <v>50</v>
      </c>
      <c r="D56" s="3">
        <v>5</v>
      </c>
      <c r="E56" s="4">
        <f t="shared" si="16"/>
        <v>-132.96372422974642</v>
      </c>
      <c r="F56" s="4">
        <f t="shared" si="17"/>
        <v>52.947888814156663</v>
      </c>
      <c r="G56" s="7">
        <f t="shared" si="18"/>
        <v>7.0972817460317374</v>
      </c>
      <c r="H56" s="2">
        <f t="shared" si="19"/>
        <v>0.1</v>
      </c>
      <c r="I56" s="7">
        <f t="shared" si="20"/>
        <v>7.0992817460317372</v>
      </c>
      <c r="J56" s="4">
        <f t="shared" si="21"/>
        <v>3.6408683977928762</v>
      </c>
      <c r="K56" s="4">
        <f t="shared" si="22"/>
        <v>3.4239233227138763</v>
      </c>
    </row>
    <row r="57" spans="2:11" x14ac:dyDescent="0.2">
      <c r="B57" s="2">
        <f t="shared" si="15"/>
        <v>260</v>
      </c>
      <c r="C57" s="3">
        <v>50</v>
      </c>
      <c r="D57" s="3">
        <v>5</v>
      </c>
      <c r="E57" s="4">
        <f t="shared" si="16"/>
        <v>-128.9992230450701</v>
      </c>
      <c r="F57" s="4">
        <f t="shared" si="17"/>
        <v>55.991226450136423</v>
      </c>
      <c r="G57" s="7">
        <f t="shared" si="18"/>
        <v>7.1972817460317371</v>
      </c>
      <c r="H57" s="2">
        <f t="shared" si="19"/>
        <v>0.1</v>
      </c>
      <c r="I57" s="7">
        <f t="shared" si="20"/>
        <v>7.1992817460317369</v>
      </c>
      <c r="J57" s="4">
        <f t="shared" si="21"/>
        <v>3.9645011846763292</v>
      </c>
      <c r="K57" s="4">
        <f t="shared" si="22"/>
        <v>3.0433376359797606</v>
      </c>
    </row>
    <row r="58" spans="2:11" x14ac:dyDescent="0.2">
      <c r="B58" s="2">
        <f t="shared" si="15"/>
        <v>265</v>
      </c>
      <c r="C58" s="3">
        <v>50</v>
      </c>
      <c r="D58" s="3">
        <v>5</v>
      </c>
      <c r="E58" s="4">
        <f t="shared" si="16"/>
        <v>-124.75070105885774</v>
      </c>
      <c r="F58" s="4">
        <f t="shared" si="17"/>
        <v>58.62357037571703</v>
      </c>
      <c r="G58" s="7">
        <f t="shared" si="18"/>
        <v>7.2972817460317367</v>
      </c>
      <c r="H58" s="2">
        <f t="shared" si="19"/>
        <v>0.1</v>
      </c>
      <c r="I58" s="7">
        <f t="shared" si="20"/>
        <v>7.2992817460317365</v>
      </c>
      <c r="J58" s="4">
        <f t="shared" si="21"/>
        <v>4.2485219862123547</v>
      </c>
      <c r="K58" s="4">
        <f t="shared" si="22"/>
        <v>2.6323439255806078</v>
      </c>
    </row>
    <row r="59" spans="2:11" x14ac:dyDescent="0.2">
      <c r="B59" s="2">
        <f t="shared" si="15"/>
        <v>270</v>
      </c>
      <c r="C59" s="3">
        <v>50</v>
      </c>
      <c r="D59" s="3">
        <v>5</v>
      </c>
      <c r="E59" s="4">
        <f t="shared" si="16"/>
        <v>-120.26060809842095</v>
      </c>
      <c r="F59" s="4">
        <f t="shared" si="17"/>
        <v>60.818619080531299</v>
      </c>
      <c r="G59" s="7">
        <f t="shared" si="18"/>
        <v>7.3972817460317364</v>
      </c>
      <c r="H59" s="2">
        <f t="shared" si="19"/>
        <v>0.1</v>
      </c>
      <c r="I59" s="7">
        <f t="shared" si="20"/>
        <v>7.3992817460317362</v>
      </c>
      <c r="J59" s="4">
        <f t="shared" si="21"/>
        <v>4.4900929604367992</v>
      </c>
      <c r="K59" s="4">
        <f t="shared" si="22"/>
        <v>2.1950487048142677</v>
      </c>
    </row>
    <row r="60" spans="2:11" x14ac:dyDescent="0.2">
      <c r="B60" s="2">
        <f t="shared" si="15"/>
        <v>275</v>
      </c>
      <c r="C60" s="3">
        <v>50</v>
      </c>
      <c r="D60" s="3">
        <v>5</v>
      </c>
      <c r="E60" s="4">
        <f t="shared" si="16"/>
        <v>-115.57380768839299</v>
      </c>
      <c r="F60" s="4">
        <f t="shared" si="17"/>
        <v>62.554440363507354</v>
      </c>
      <c r="G60" s="7">
        <f t="shared" si="18"/>
        <v>7.497281746031736</v>
      </c>
      <c r="H60" s="2">
        <f t="shared" si="19"/>
        <v>0.1</v>
      </c>
      <c r="I60" s="7">
        <f t="shared" si="20"/>
        <v>7.4992817460317358</v>
      </c>
      <c r="J60" s="4">
        <f t="shared" si="21"/>
        <v>4.6868004100279599</v>
      </c>
      <c r="K60" s="4">
        <f t="shared" si="22"/>
        <v>1.7358212829760564</v>
      </c>
    </row>
    <row r="61" spans="2:11" x14ac:dyDescent="0.2">
      <c r="B61" s="2">
        <f t="shared" si="15"/>
        <v>280</v>
      </c>
      <c r="C61" s="3">
        <v>50</v>
      </c>
      <c r="D61" s="3">
        <v>5</v>
      </c>
      <c r="E61" s="4">
        <f t="shared" si="16"/>
        <v>-110.73712878922063</v>
      </c>
      <c r="F61" s="4">
        <f t="shared" si="17"/>
        <v>63.813690472171935</v>
      </c>
      <c r="G61" s="7">
        <f t="shared" si="18"/>
        <v>7.5972817460317357</v>
      </c>
      <c r="H61" s="2">
        <f t="shared" si="19"/>
        <v>0.1</v>
      </c>
      <c r="I61" s="7">
        <f t="shared" si="20"/>
        <v>7.5992817460317355</v>
      </c>
      <c r="J61" s="4">
        <f t="shared" si="21"/>
        <v>4.8366788991723597</v>
      </c>
      <c r="K61" s="4">
        <f t="shared" si="22"/>
        <v>1.2592501086645784</v>
      </c>
    </row>
    <row r="62" spans="2:11" x14ac:dyDescent="0.2">
      <c r="B62" s="2">
        <f t="shared" si="15"/>
        <v>285</v>
      </c>
      <c r="C62" s="3">
        <v>50</v>
      </c>
      <c r="D62" s="3">
        <v>5</v>
      </c>
      <c r="E62" s="4">
        <f t="shared" si="16"/>
        <v>-105.79889789767093</v>
      </c>
      <c r="F62" s="4">
        <f t="shared" si="17"/>
        <v>64.583787395691999</v>
      </c>
      <c r="G62" s="7">
        <f t="shared" si="18"/>
        <v>7.6972817460317353</v>
      </c>
      <c r="H62" s="2">
        <f t="shared" si="19"/>
        <v>0.1</v>
      </c>
      <c r="I62" s="7">
        <f t="shared" si="20"/>
        <v>7.6992817460317351</v>
      </c>
      <c r="J62" s="4">
        <f t="shared" si="21"/>
        <v>4.9382308915497077</v>
      </c>
      <c r="K62" s="4">
        <f t="shared" si="22"/>
        <v>0.77009692352006753</v>
      </c>
    </row>
    <row r="63" spans="2:11" x14ac:dyDescent="0.2">
      <c r="B63" s="2">
        <f t="shared" si="15"/>
        <v>290</v>
      </c>
      <c r="C63" s="3">
        <v>50</v>
      </c>
      <c r="D63" s="3">
        <v>5</v>
      </c>
      <c r="E63" s="4">
        <f t="shared" si="16"/>
        <v>-100.80845618445012</v>
      </c>
      <c r="F63" s="4">
        <f t="shared" si="17"/>
        <v>64.857036580167943</v>
      </c>
      <c r="G63" s="7">
        <f t="shared" si="18"/>
        <v>7.797281746031735</v>
      </c>
      <c r="H63" s="2">
        <f t="shared" si="19"/>
        <v>0.1</v>
      </c>
      <c r="I63" s="7">
        <f t="shared" si="20"/>
        <v>7.7992817460317347</v>
      </c>
      <c r="J63" s="4">
        <f t="shared" si="21"/>
        <v>4.9904417132207977</v>
      </c>
      <c r="K63" s="4">
        <f t="shared" si="22"/>
        <v>0.27324918447594249</v>
      </c>
    </row>
    <row r="64" spans="2:11" x14ac:dyDescent="0.2">
      <c r="B64" s="2">
        <f t="shared" si="15"/>
        <v>295</v>
      </c>
      <c r="C64" s="3">
        <v>50</v>
      </c>
      <c r="D64" s="3">
        <v>5</v>
      </c>
      <c r="E64" s="4">
        <f t="shared" si="16"/>
        <v>-95.815666493536028</v>
      </c>
      <c r="F64" s="4">
        <f t="shared" si="17"/>
        <v>64.63070781007265</v>
      </c>
      <c r="G64" s="7">
        <f t="shared" si="18"/>
        <v>7.8972817460317346</v>
      </c>
      <c r="H64" s="2">
        <f t="shared" si="19"/>
        <v>0.1</v>
      </c>
      <c r="I64" s="7">
        <f t="shared" si="20"/>
        <v>7.8992817460317344</v>
      </c>
      <c r="J64" s="4">
        <f t="shared" si="21"/>
        <v>4.9927896909140932</v>
      </c>
      <c r="K64" s="4">
        <f t="shared" si="22"/>
        <v>-0.22632877009529459</v>
      </c>
    </row>
    <row r="65" spans="2:11" x14ac:dyDescent="0.2">
      <c r="B65" s="2">
        <f t="shared" si="15"/>
        <v>300</v>
      </c>
      <c r="C65" s="3">
        <v>50</v>
      </c>
      <c r="D65" s="3">
        <v>5</v>
      </c>
      <c r="E65" s="4">
        <f t="shared" si="16"/>
        <v>-90.870415129123401</v>
      </c>
      <c r="F65" s="4">
        <f t="shared" si="17"/>
        <v>63.907062487662564</v>
      </c>
      <c r="G65" s="7">
        <f t="shared" si="18"/>
        <v>7.9972817460317343</v>
      </c>
      <c r="H65" s="2">
        <f t="shared" si="19"/>
        <v>0.1</v>
      </c>
      <c r="I65" s="7">
        <f t="shared" si="20"/>
        <v>7.999281746031734</v>
      </c>
      <c r="J65" s="4">
        <f t="shared" si="21"/>
        <v>4.9452513644126217</v>
      </c>
      <c r="K65" s="4">
        <f t="shared" si="22"/>
        <v>-0.72364532241008406</v>
      </c>
    </row>
    <row r="66" spans="2:11" x14ac:dyDescent="0.2">
      <c r="B66" s="2">
        <f t="shared" si="15"/>
        <v>305</v>
      </c>
      <c r="C66" s="3">
        <v>50</v>
      </c>
      <c r="D66" s="3">
        <v>5</v>
      </c>
      <c r="E66" s="4">
        <f t="shared" si="16"/>
        <v>-86.022113408162696</v>
      </c>
      <c r="F66" s="4">
        <f t="shared" si="17"/>
        <v>62.693331037793861</v>
      </c>
      <c r="G66" s="7">
        <f t="shared" si="18"/>
        <v>8.0972817460317348</v>
      </c>
      <c r="H66" s="2">
        <f t="shared" si="19"/>
        <v>0.1</v>
      </c>
      <c r="I66" s="7">
        <f t="shared" si="20"/>
        <v>8.0992817460317355</v>
      </c>
      <c r="J66" s="4">
        <f t="shared" si="21"/>
        <v>4.8483017209607029</v>
      </c>
      <c r="K66" s="4">
        <f t="shared" si="22"/>
        <v>-1.2137314498687011</v>
      </c>
    </row>
    <row r="67" spans="2:11" x14ac:dyDescent="0.2">
      <c r="B67" s="2">
        <f t="shared" si="15"/>
        <v>310</v>
      </c>
      <c r="C67" s="3">
        <v>50</v>
      </c>
      <c r="D67" s="3">
        <v>5</v>
      </c>
      <c r="E67" s="4">
        <f t="shared" si="16"/>
        <v>-81.319203958814271</v>
      </c>
      <c r="F67" s="4">
        <f t="shared" si="17"/>
        <v>61.001640663907367</v>
      </c>
      <c r="G67" s="7">
        <f t="shared" si="18"/>
        <v>8.1972817460317344</v>
      </c>
      <c r="H67" s="2">
        <f t="shared" si="19"/>
        <v>0.1</v>
      </c>
      <c r="I67" s="7">
        <f t="shared" si="20"/>
        <v>8.1992817460317351</v>
      </c>
      <c r="J67" s="4">
        <f t="shared" si="21"/>
        <v>4.7029094493484207</v>
      </c>
      <c r="K67" s="4">
        <f t="shared" si="22"/>
        <v>-1.691690373886497</v>
      </c>
    </row>
    <row r="68" spans="2:11" x14ac:dyDescent="0.2">
      <c r="B68" s="2">
        <f t="shared" si="15"/>
        <v>315</v>
      </c>
      <c r="C68" s="3">
        <v>50</v>
      </c>
      <c r="D68" s="3">
        <v>5</v>
      </c>
      <c r="E68" s="4">
        <f t="shared" si="16"/>
        <v>-76.808676697720841</v>
      </c>
      <c r="F68" s="4">
        <f t="shared" si="17"/>
        <v>58.848894177020455</v>
      </c>
      <c r="G68" s="7">
        <f t="shared" si="18"/>
        <v>8.2972817460317341</v>
      </c>
      <c r="H68" s="2">
        <f t="shared" si="19"/>
        <v>0.1</v>
      </c>
      <c r="I68" s="7">
        <f t="shared" si="20"/>
        <v>8.2992817460317347</v>
      </c>
      <c r="J68" s="4">
        <f t="shared" si="21"/>
        <v>4.5105272610934266</v>
      </c>
      <c r="K68" s="4">
        <f t="shared" si="22"/>
        <v>-2.1527464868869099</v>
      </c>
    </row>
    <row r="69" spans="2:11" x14ac:dyDescent="0.2">
      <c r="B69" s="2">
        <f t="shared" si="15"/>
        <v>320</v>
      </c>
      <c r="C69" s="3">
        <v>50</v>
      </c>
      <c r="D69" s="3">
        <v>5</v>
      </c>
      <c r="E69" s="4">
        <f t="shared" si="16"/>
        <v>-72.535599322293166</v>
      </c>
      <c r="F69" s="4">
        <f t="shared" si="17"/>
        <v>56.256601108426729</v>
      </c>
      <c r="G69" s="7">
        <f t="shared" si="18"/>
        <v>8.3972817460317337</v>
      </c>
      <c r="H69" s="2">
        <f t="shared" si="19"/>
        <v>0.1</v>
      </c>
      <c r="I69" s="7">
        <f t="shared" si="20"/>
        <v>8.3992817460317344</v>
      </c>
      <c r="J69" s="4">
        <f t="shared" si="21"/>
        <v>4.2730773754276692</v>
      </c>
      <c r="K69" s="4">
        <f t="shared" si="22"/>
        <v>-2.5922930685937273</v>
      </c>
    </row>
    <row r="70" spans="2:11" x14ac:dyDescent="0.2">
      <c r="B70" s="2">
        <f t="shared" si="15"/>
        <v>325</v>
      </c>
      <c r="C70" s="3">
        <v>50</v>
      </c>
      <c r="D70" s="3">
        <v>5</v>
      </c>
      <c r="E70" s="4">
        <f t="shared" si="16"/>
        <v>-68.542667009174949</v>
      </c>
      <c r="F70" s="4">
        <f t="shared" si="17"/>
        <v>53.250662793569411</v>
      </c>
      <c r="G70" s="7">
        <f t="shared" si="18"/>
        <v>8.4972817460317334</v>
      </c>
      <c r="H70" s="2">
        <f t="shared" si="19"/>
        <v>0.1</v>
      </c>
      <c r="I70" s="7">
        <f t="shared" si="20"/>
        <v>8.499281746031734</v>
      </c>
      <c r="J70" s="4">
        <f t="shared" si="21"/>
        <v>3.9929323131182235</v>
      </c>
      <c r="K70" s="4">
        <f t="shared" si="22"/>
        <v>-3.0059383148573176</v>
      </c>
    </row>
    <row r="71" spans="2:11" x14ac:dyDescent="0.2">
      <c r="B71" s="2">
        <f t="shared" si="15"/>
        <v>330</v>
      </c>
      <c r="C71" s="3">
        <v>10</v>
      </c>
      <c r="D71" s="3">
        <v>5</v>
      </c>
      <c r="E71" s="4">
        <f t="shared" si="16"/>
        <v>-66.718834055020963</v>
      </c>
      <c r="F71" s="4">
        <f t="shared" si="17"/>
        <v>48.650975741468216</v>
      </c>
      <c r="G71" s="7">
        <f t="shared" si="18"/>
        <v>8.9972817460317334</v>
      </c>
      <c r="H71" s="2">
        <f t="shared" si="19"/>
        <v>0.5</v>
      </c>
      <c r="I71" s="7">
        <f t="shared" si="20"/>
        <v>9.0472817460317341</v>
      </c>
      <c r="J71" s="4">
        <f t="shared" si="21"/>
        <v>1.8238329541539848</v>
      </c>
      <c r="K71" s="4">
        <f t="shared" si="22"/>
        <v>-4.5996870521011965</v>
      </c>
    </row>
    <row r="72" spans="2:11" x14ac:dyDescent="0.2">
      <c r="B72" s="2">
        <f t="shared" si="15"/>
        <v>335</v>
      </c>
      <c r="C72" s="3">
        <v>-50</v>
      </c>
      <c r="D72" s="3">
        <v>5</v>
      </c>
      <c r="E72" s="4">
        <f t="shared" si="16"/>
        <v>-64.211667365367845</v>
      </c>
      <c r="F72" s="4">
        <f t="shared" si="17"/>
        <v>44.327402126949231</v>
      </c>
      <c r="G72" s="7">
        <f t="shared" si="18"/>
        <v>8.8972817460317337</v>
      </c>
      <c r="H72" s="2">
        <f t="shared" si="19"/>
        <v>-0.1</v>
      </c>
      <c r="I72" s="7">
        <f t="shared" si="20"/>
        <v>8.8992817460317344</v>
      </c>
      <c r="J72" s="4">
        <f t="shared" si="21"/>
        <v>2.5071666896531135</v>
      </c>
      <c r="K72" s="4">
        <f t="shared" si="22"/>
        <v>-4.3235736145189829</v>
      </c>
    </row>
    <row r="73" spans="2:11" x14ac:dyDescent="0.2">
      <c r="B73" s="2">
        <f t="shared" si="15"/>
        <v>340</v>
      </c>
      <c r="C73" s="3">
        <v>-50</v>
      </c>
      <c r="D73" s="3">
        <v>5</v>
      </c>
      <c r="E73" s="4">
        <f t="shared" si="16"/>
        <v>-61.285388940055171</v>
      </c>
      <c r="F73" s="4">
        <f t="shared" si="17"/>
        <v>40.27572738834786</v>
      </c>
      <c r="G73" s="7">
        <f t="shared" si="18"/>
        <v>8.7972817460317341</v>
      </c>
      <c r="H73" s="2">
        <f t="shared" si="19"/>
        <v>-0.1</v>
      </c>
      <c r="I73" s="7">
        <f t="shared" si="20"/>
        <v>8.7992817460317347</v>
      </c>
      <c r="J73" s="4">
        <f t="shared" si="21"/>
        <v>2.9262784253126726</v>
      </c>
      <c r="K73" s="4">
        <f t="shared" si="22"/>
        <v>-4.0516747386013705</v>
      </c>
    </row>
    <row r="74" spans="2:11" x14ac:dyDescent="0.2">
      <c r="B74" s="2">
        <f t="shared" si="15"/>
        <v>345</v>
      </c>
      <c r="C74" s="3">
        <v>-50</v>
      </c>
      <c r="D74" s="3">
        <v>5</v>
      </c>
      <c r="E74" s="4">
        <f t="shared" si="16"/>
        <v>-57.969237185809618</v>
      </c>
      <c r="F74" s="4">
        <f t="shared" si="17"/>
        <v>36.536434520346603</v>
      </c>
      <c r="G74" s="7">
        <f t="shared" si="18"/>
        <v>8.6972817460317344</v>
      </c>
      <c r="H74" s="2">
        <f t="shared" si="19"/>
        <v>-0.1</v>
      </c>
      <c r="I74" s="7">
        <f t="shared" si="20"/>
        <v>8.6992817460317351</v>
      </c>
      <c r="J74" s="4">
        <f t="shared" si="21"/>
        <v>3.3161517542455492</v>
      </c>
      <c r="K74" s="4">
        <f t="shared" si="22"/>
        <v>-3.7392928680012569</v>
      </c>
    </row>
    <row r="75" spans="2:11" x14ac:dyDescent="0.2">
      <c r="B75" s="2">
        <f t="shared" si="15"/>
        <v>350</v>
      </c>
      <c r="C75" s="3">
        <v>-50</v>
      </c>
      <c r="D75" s="3">
        <v>5</v>
      </c>
      <c r="E75" s="4">
        <f t="shared" si="16"/>
        <v>-54.296345994785582</v>
      </c>
      <c r="F75" s="4">
        <f t="shared" si="17"/>
        <v>33.146885301236644</v>
      </c>
      <c r="G75" s="7">
        <f t="shared" si="18"/>
        <v>8.5972817460317348</v>
      </c>
      <c r="H75" s="2">
        <f t="shared" si="19"/>
        <v>-0.1</v>
      </c>
      <c r="I75" s="7">
        <f t="shared" si="20"/>
        <v>8.5992817460317355</v>
      </c>
      <c r="J75" s="4">
        <f t="shared" si="21"/>
        <v>3.6728911910240347</v>
      </c>
      <c r="K75" s="4">
        <f t="shared" si="22"/>
        <v>-3.3895492191099605</v>
      </c>
    </row>
    <row r="76" spans="2:11" x14ac:dyDescent="0.2">
      <c r="B76" s="2">
        <f t="shared" si="15"/>
        <v>355</v>
      </c>
      <c r="C76" s="3">
        <v>-50</v>
      </c>
      <c r="D76" s="3">
        <v>5</v>
      </c>
      <c r="E76" s="4">
        <f t="shared" si="16"/>
        <v>-50.303413681667365</v>
      </c>
      <c r="F76" s="4">
        <f t="shared" si="17"/>
        <v>30.140946986379319</v>
      </c>
      <c r="G76" s="7">
        <f t="shared" si="18"/>
        <v>8.4972817460317351</v>
      </c>
      <c r="H76" s="2">
        <f t="shared" si="19"/>
        <v>-0.1</v>
      </c>
      <c r="I76" s="7">
        <f t="shared" si="20"/>
        <v>8.4992817460317358</v>
      </c>
      <c r="J76" s="4">
        <f t="shared" si="21"/>
        <v>3.9929323131182182</v>
      </c>
      <c r="K76" s="4">
        <f t="shared" si="22"/>
        <v>-3.0059383148573247</v>
      </c>
    </row>
    <row r="77" spans="2:11" x14ac:dyDescent="0.2">
      <c r="B77" s="2">
        <f t="shared" si="15"/>
        <v>360</v>
      </c>
      <c r="C77" s="3">
        <v>-50</v>
      </c>
      <c r="D77" s="3">
        <v>5</v>
      </c>
      <c r="E77" s="4">
        <f t="shared" si="16"/>
        <v>-46.030336306239704</v>
      </c>
      <c r="F77" s="4">
        <f t="shared" si="17"/>
        <v>27.548653917785586</v>
      </c>
      <c r="G77" s="7">
        <f t="shared" si="18"/>
        <v>8.3972817460317355</v>
      </c>
      <c r="H77" s="2">
        <f t="shared" si="19"/>
        <v>-0.1</v>
      </c>
      <c r="I77" s="7">
        <f t="shared" si="20"/>
        <v>8.3992817460317362</v>
      </c>
      <c r="J77" s="4">
        <f t="shared" si="21"/>
        <v>4.2730773754276647</v>
      </c>
      <c r="K77" s="4">
        <f t="shared" si="22"/>
        <v>-2.5922930685937344</v>
      </c>
    </row>
    <row r="78" spans="2:11" x14ac:dyDescent="0.2">
      <c r="B78" s="2">
        <f t="shared" si="15"/>
        <v>365</v>
      </c>
      <c r="C78" s="3">
        <v>-50</v>
      </c>
      <c r="D78" s="3">
        <v>5</v>
      </c>
      <c r="E78" s="4">
        <f t="shared" si="16"/>
        <v>-41.519809045146282</v>
      </c>
      <c r="F78" s="4">
        <f t="shared" si="17"/>
        <v>25.395907430898667</v>
      </c>
      <c r="G78" s="7">
        <f t="shared" si="18"/>
        <v>8.2972817460317358</v>
      </c>
      <c r="H78" s="2">
        <f t="shared" si="19"/>
        <v>-0.1</v>
      </c>
      <c r="I78" s="7">
        <f t="shared" si="20"/>
        <v>8.2992817460317365</v>
      </c>
      <c r="J78" s="4">
        <f t="shared" si="21"/>
        <v>4.5105272610934222</v>
      </c>
      <c r="K78" s="4">
        <f t="shared" si="22"/>
        <v>-2.1527464868869179</v>
      </c>
    </row>
    <row r="79" spans="2:11" x14ac:dyDescent="0.2">
      <c r="B79" s="2">
        <f t="shared" si="15"/>
        <v>370</v>
      </c>
      <c r="C79" s="3">
        <v>-50</v>
      </c>
      <c r="D79" s="3">
        <v>5</v>
      </c>
      <c r="E79" s="4">
        <f t="shared" si="16"/>
        <v>-36.816899595797864</v>
      </c>
      <c r="F79" s="4">
        <f t="shared" si="17"/>
        <v>23.704217057012162</v>
      </c>
      <c r="G79" s="7">
        <f t="shared" si="18"/>
        <v>8.1972817460317362</v>
      </c>
      <c r="H79" s="2">
        <f t="shared" si="19"/>
        <v>-0.1</v>
      </c>
      <c r="I79" s="7">
        <f t="shared" si="20"/>
        <v>8.1992817460317369</v>
      </c>
      <c r="J79" s="4">
        <f t="shared" si="21"/>
        <v>4.7029094493484171</v>
      </c>
      <c r="K79" s="4">
        <f t="shared" si="22"/>
        <v>-1.6916903738865054</v>
      </c>
    </row>
    <row r="80" spans="2:11" x14ac:dyDescent="0.2">
      <c r="B80" s="2">
        <f t="shared" si="15"/>
        <v>375</v>
      </c>
      <c r="C80" s="3">
        <v>-50</v>
      </c>
      <c r="D80" s="3">
        <v>5</v>
      </c>
      <c r="E80" s="4">
        <f t="shared" si="16"/>
        <v>-31.968597874837162</v>
      </c>
      <c r="F80" s="4">
        <f t="shared" si="17"/>
        <v>22.490485607143452</v>
      </c>
      <c r="G80" s="7">
        <f t="shared" si="18"/>
        <v>8.0972817460317366</v>
      </c>
      <c r="H80" s="2">
        <f t="shared" si="19"/>
        <v>-0.1</v>
      </c>
      <c r="I80" s="7">
        <f t="shared" si="20"/>
        <v>8.0992817460317372</v>
      </c>
      <c r="J80" s="4">
        <f t="shared" si="21"/>
        <v>4.8483017209607011</v>
      </c>
      <c r="K80" s="4">
        <f t="shared" si="22"/>
        <v>-1.2137314498687097</v>
      </c>
    </row>
    <row r="81" spans="2:11" x14ac:dyDescent="0.2">
      <c r="B81" s="2">
        <f t="shared" si="15"/>
        <v>380</v>
      </c>
      <c r="C81" s="3">
        <v>1000</v>
      </c>
      <c r="D81" s="3">
        <v>5</v>
      </c>
      <c r="E81" s="4">
        <f t="shared" si="16"/>
        <v>-27.121951164295844</v>
      </c>
      <c r="F81" s="4">
        <f t="shared" si="17"/>
        <v>21.261679853611128</v>
      </c>
      <c r="G81" s="7">
        <f t="shared" si="18"/>
        <v>8.1022817460317373</v>
      </c>
      <c r="H81" s="2">
        <f t="shared" si="19"/>
        <v>5.0000000000000001E-3</v>
      </c>
      <c r="I81" s="7">
        <f t="shared" si="20"/>
        <v>8.1022867460317372</v>
      </c>
      <c r="J81" s="4">
        <f t="shared" si="21"/>
        <v>4.8466467105413171</v>
      </c>
      <c r="K81" s="4">
        <f t="shared" si="22"/>
        <v>-1.2288057535323242</v>
      </c>
    </row>
    <row r="82" spans="2:11" x14ac:dyDescent="0.2">
      <c r="B82" s="2">
        <f t="shared" si="15"/>
        <v>385</v>
      </c>
      <c r="C82" s="3">
        <v>900</v>
      </c>
      <c r="D82" s="3">
        <v>5</v>
      </c>
      <c r="E82" s="4">
        <f t="shared" si="16"/>
        <v>-22.282208566314338</v>
      </c>
      <c r="F82" s="4">
        <f t="shared" si="17"/>
        <v>20.00596201711198</v>
      </c>
      <c r="G82" s="7">
        <f t="shared" si="18"/>
        <v>8.1078373015872938</v>
      </c>
      <c r="H82" s="2">
        <f t="shared" si="19"/>
        <v>5.5555555555555558E-3</v>
      </c>
      <c r="I82" s="7">
        <f t="shared" si="20"/>
        <v>8.1078434744267991</v>
      </c>
      <c r="J82" s="4">
        <f t="shared" si="21"/>
        <v>4.8397425979815072</v>
      </c>
      <c r="K82" s="4">
        <f t="shared" si="22"/>
        <v>-1.2557178364991486</v>
      </c>
    </row>
    <row r="83" spans="2:11" x14ac:dyDescent="0.2">
      <c r="B83" s="2">
        <f t="shared" si="15"/>
        <v>390</v>
      </c>
      <c r="C83" s="3">
        <v>800</v>
      </c>
      <c r="D83" s="3">
        <v>5</v>
      </c>
      <c r="E83" s="4">
        <f t="shared" si="16"/>
        <v>-17.450412438658866</v>
      </c>
      <c r="F83" s="4">
        <f t="shared" si="17"/>
        <v>18.720013028727085</v>
      </c>
      <c r="G83" s="7">
        <f t="shared" si="18"/>
        <v>8.1140873015872934</v>
      </c>
      <c r="H83" s="2">
        <f t="shared" si="19"/>
        <v>6.2500000000000003E-3</v>
      </c>
      <c r="I83" s="7">
        <f t="shared" si="20"/>
        <v>8.1140951140872932</v>
      </c>
      <c r="J83" s="4">
        <f t="shared" si="21"/>
        <v>4.8317961276554708</v>
      </c>
      <c r="K83" s="4">
        <f t="shared" si="22"/>
        <v>-1.2859489883848938</v>
      </c>
    </row>
    <row r="84" spans="2:11" x14ac:dyDescent="0.2">
      <c r="B84" s="2">
        <f t="shared" si="15"/>
        <v>395</v>
      </c>
      <c r="C84" s="3">
        <v>700</v>
      </c>
      <c r="D84" s="3">
        <v>5</v>
      </c>
      <c r="E84" s="4">
        <f t="shared" si="16"/>
        <v>-12.627930403117546</v>
      </c>
      <c r="F84" s="4">
        <f t="shared" si="17"/>
        <v>17.399573433554643</v>
      </c>
      <c r="G84" s="7">
        <f t="shared" si="18"/>
        <v>8.1212301587301514</v>
      </c>
      <c r="H84" s="2">
        <f t="shared" si="19"/>
        <v>7.1428571428571426E-3</v>
      </c>
      <c r="I84" s="7">
        <f t="shared" si="20"/>
        <v>8.1212403628117844</v>
      </c>
      <c r="J84" s="4">
        <f t="shared" si="21"/>
        <v>4.8224820355413192</v>
      </c>
      <c r="K84" s="4">
        <f t="shared" si="22"/>
        <v>-1.3204395951724404</v>
      </c>
    </row>
    <row r="85" spans="2:11" x14ac:dyDescent="0.2">
      <c r="B85" s="2">
        <f t="shared" si="15"/>
        <v>400</v>
      </c>
      <c r="C85" s="3">
        <v>600</v>
      </c>
      <c r="D85" s="3">
        <v>5</v>
      </c>
      <c r="E85" s="4">
        <f t="shared" si="16"/>
        <v>-7.8166280568344213</v>
      </c>
      <c r="F85" s="4">
        <f t="shared" si="17"/>
        <v>16.038976117291327</v>
      </c>
      <c r="G85" s="7">
        <f t="shared" si="18"/>
        <v>8.1295634920634843</v>
      </c>
      <c r="H85" s="2">
        <f t="shared" si="19"/>
        <v>8.3333333333333332E-3</v>
      </c>
      <c r="I85" s="7">
        <f t="shared" si="20"/>
        <v>8.129577380952373</v>
      </c>
      <c r="J85" s="4">
        <f t="shared" si="21"/>
        <v>4.8113023462831244</v>
      </c>
      <c r="K85" s="4">
        <f t="shared" si="22"/>
        <v>-1.3605973162633169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2236"/>
  <sheetViews>
    <sheetView tabSelected="1" zoomScaleNormal="100" workbookViewId="0">
      <selection activeCell="N2234" sqref="N2234"/>
    </sheetView>
  </sheetViews>
  <sheetFormatPr defaultRowHeight="13" x14ac:dyDescent="0.2"/>
  <cols>
    <col min="3" max="3" width="12.81640625" bestFit="1" customWidth="1"/>
    <col min="4" max="4" width="11.81640625" bestFit="1" customWidth="1"/>
    <col min="5" max="5" width="9.6328125" bestFit="1" customWidth="1"/>
    <col min="6" max="6" width="11.36328125" bestFit="1" customWidth="1"/>
  </cols>
  <sheetData>
    <row r="2" spans="1:4" x14ac:dyDescent="0.2">
      <c r="A2" s="13" t="s">
        <v>82</v>
      </c>
      <c r="B2" s="13" t="s">
        <v>83</v>
      </c>
      <c r="C2" s="13" t="s">
        <v>84</v>
      </c>
      <c r="D2" s="13" t="s">
        <v>85</v>
      </c>
    </row>
    <row r="3" spans="1:4" x14ac:dyDescent="0.2">
      <c r="A3" s="14">
        <v>0</v>
      </c>
      <c r="B3" s="14">
        <v>0</v>
      </c>
      <c r="C3" s="14"/>
      <c r="D3" s="11">
        <f xml:space="preserve"> -0.00000000000000005*A3^5 + 0.0000000000009*A3^4 - 0.000000006*A3^3 + 0.00002*A3^2 + 0.0062*A3 + 0.4296</f>
        <v>0.42959999999999998</v>
      </c>
    </row>
    <row r="4" spans="1:4" x14ac:dyDescent="0.2">
      <c r="A4" s="14">
        <v>500</v>
      </c>
      <c r="B4" s="14">
        <v>8</v>
      </c>
      <c r="C4" s="11">
        <v>11.5</v>
      </c>
      <c r="D4" s="11">
        <f xml:space="preserve"> -0.00000000000000005*A4^5 + 0.0000000000009*A4^4 - 0.000000006*A4^3 + 0.00002*A4^2 + 0.0062*A4 + 0.4296</f>
        <v>7.8342874999999994</v>
      </c>
    </row>
    <row r="5" spans="1:4" x14ac:dyDescent="0.2">
      <c r="A5" s="14">
        <v>1000</v>
      </c>
      <c r="B5" s="14">
        <v>20</v>
      </c>
      <c r="C5" s="11">
        <v>14.3</v>
      </c>
      <c r="D5" s="11">
        <f t="shared" ref="D5:D21" si="0" xml:space="preserve"> -0.00000000000000005*A5^5 + 0.0000000000009*A5^4 - 0.000000006*A5^3 + 0.00002*A5^2 + 0.0062*A5 + 0.4296</f>
        <v>21.479600000000001</v>
      </c>
    </row>
    <row r="6" spans="1:4" x14ac:dyDescent="0.2">
      <c r="A6" s="14">
        <v>1500</v>
      </c>
      <c r="B6" s="14">
        <v>33</v>
      </c>
      <c r="C6" s="11">
        <v>15.8</v>
      </c>
      <c r="D6" s="11">
        <f t="shared" si="0"/>
        <v>38.656162500000008</v>
      </c>
    </row>
    <row r="7" spans="1:4" x14ac:dyDescent="0.2">
      <c r="A7" s="14">
        <v>2000</v>
      </c>
      <c r="B7" s="14">
        <v>47</v>
      </c>
      <c r="C7" s="11">
        <v>16.8</v>
      </c>
      <c r="D7" s="11">
        <f t="shared" si="0"/>
        <v>57.629599999999996</v>
      </c>
    </row>
    <row r="8" spans="1:4" x14ac:dyDescent="0.2">
      <c r="A8" s="14">
        <v>2500</v>
      </c>
      <c r="B8" s="14">
        <v>63</v>
      </c>
      <c r="C8" s="11">
        <v>18</v>
      </c>
      <c r="D8" s="11">
        <f t="shared" si="0"/>
        <v>77.453037500000008</v>
      </c>
    </row>
    <row r="9" spans="1:4" x14ac:dyDescent="0.2">
      <c r="A9" s="14">
        <v>3000</v>
      </c>
      <c r="B9" s="14">
        <v>78</v>
      </c>
      <c r="C9" s="11">
        <v>18.600000000000001</v>
      </c>
      <c r="D9" s="11">
        <f t="shared" si="0"/>
        <v>97.779600000000016</v>
      </c>
    </row>
    <row r="10" spans="1:4" x14ac:dyDescent="0.2">
      <c r="A10" s="14">
        <v>3500</v>
      </c>
      <c r="B10" s="14">
        <v>92</v>
      </c>
      <c r="C10" s="11">
        <v>18.8</v>
      </c>
      <c r="D10" s="11">
        <f t="shared" si="0"/>
        <v>118.67491250000005</v>
      </c>
    </row>
    <row r="11" spans="1:4" x14ac:dyDescent="0.2">
      <c r="A11" s="14">
        <v>4000</v>
      </c>
      <c r="B11" s="14">
        <v>105</v>
      </c>
      <c r="C11" s="11">
        <v>18.8</v>
      </c>
      <c r="D11" s="11">
        <f t="shared" si="0"/>
        <v>140.42960000000002</v>
      </c>
    </row>
    <row r="12" spans="1:4" x14ac:dyDescent="0.2">
      <c r="A12" s="14">
        <v>4500</v>
      </c>
      <c r="B12" s="14">
        <v>118</v>
      </c>
      <c r="C12" s="11">
        <v>18.8</v>
      </c>
      <c r="D12" s="11">
        <f t="shared" si="0"/>
        <v>163.37178750000001</v>
      </c>
    </row>
    <row r="13" spans="1:4" x14ac:dyDescent="0.2">
      <c r="A13" s="14">
        <v>5000</v>
      </c>
      <c r="B13" s="14">
        <v>132</v>
      </c>
      <c r="C13" s="11">
        <v>18.899999999999999</v>
      </c>
      <c r="D13" s="11">
        <f t="shared" si="0"/>
        <v>187.67960000000005</v>
      </c>
    </row>
    <row r="14" spans="1:4" x14ac:dyDescent="0.2">
      <c r="A14" s="14">
        <v>5500</v>
      </c>
      <c r="B14" s="14">
        <v>152</v>
      </c>
      <c r="C14" s="11">
        <v>19.8</v>
      </c>
      <c r="D14" s="11">
        <f t="shared" si="0"/>
        <v>213.19366249999999</v>
      </c>
    </row>
    <row r="15" spans="1:4" x14ac:dyDescent="0.2">
      <c r="A15" s="14">
        <v>6000</v>
      </c>
      <c r="B15" s="14">
        <v>173</v>
      </c>
      <c r="C15" s="11">
        <v>20.7</v>
      </c>
      <c r="D15" s="11">
        <f t="shared" si="0"/>
        <v>239.22960000000023</v>
      </c>
    </row>
    <row r="16" spans="1:4" x14ac:dyDescent="0.2">
      <c r="A16" s="14">
        <v>6500</v>
      </c>
      <c r="B16" s="14">
        <v>192</v>
      </c>
      <c r="C16" s="11">
        <v>21.2</v>
      </c>
      <c r="D16" s="11">
        <f t="shared" si="0"/>
        <v>264.39053750000039</v>
      </c>
    </row>
    <row r="17" spans="1:4" x14ac:dyDescent="0.2">
      <c r="A17" s="14">
        <v>7000</v>
      </c>
      <c r="B17" s="14">
        <v>212</v>
      </c>
      <c r="C17" s="11">
        <v>21.7</v>
      </c>
      <c r="D17" s="11">
        <f t="shared" si="0"/>
        <v>286.37960000000027</v>
      </c>
    </row>
    <row r="18" spans="1:4" x14ac:dyDescent="0.2">
      <c r="A18" s="14">
        <v>7500</v>
      </c>
      <c r="B18" s="14">
        <v>231</v>
      </c>
      <c r="C18" s="11">
        <v>22.1</v>
      </c>
      <c r="D18" s="11">
        <f t="shared" si="0"/>
        <v>301.81241249999999</v>
      </c>
    </row>
    <row r="19" spans="1:4" x14ac:dyDescent="0.2">
      <c r="A19" s="14">
        <v>8000</v>
      </c>
      <c r="B19" s="14">
        <v>244</v>
      </c>
      <c r="C19" s="11">
        <v>21.8</v>
      </c>
      <c r="D19" s="11">
        <f t="shared" si="0"/>
        <v>306.02960000000002</v>
      </c>
    </row>
    <row r="20" spans="1:4" x14ac:dyDescent="0.2">
      <c r="A20" s="14">
        <v>8500</v>
      </c>
      <c r="B20" s="14">
        <v>247</v>
      </c>
      <c r="C20" s="11">
        <v>20.8</v>
      </c>
      <c r="D20" s="11">
        <f t="shared" si="0"/>
        <v>292.90928749999966</v>
      </c>
    </row>
    <row r="21" spans="1:4" x14ac:dyDescent="0.2">
      <c r="A21" s="14">
        <v>9000</v>
      </c>
      <c r="B21" s="14">
        <v>235</v>
      </c>
      <c r="C21" s="11">
        <v>18.7</v>
      </c>
      <c r="D21" s="11">
        <f t="shared" si="0"/>
        <v>254.67960000000005</v>
      </c>
    </row>
    <row r="23" spans="1:4" x14ac:dyDescent="0.2">
      <c r="A23" s="13" t="s">
        <v>86</v>
      </c>
      <c r="B23" s="14">
        <v>0.30499999999999999</v>
      </c>
      <c r="C23" t="s">
        <v>87</v>
      </c>
    </row>
    <row r="24" spans="1:4" x14ac:dyDescent="0.2">
      <c r="A24" s="13">
        <v>1</v>
      </c>
      <c r="B24" s="14">
        <v>3.133</v>
      </c>
    </row>
    <row r="25" spans="1:4" x14ac:dyDescent="0.2">
      <c r="A25" s="13">
        <v>2</v>
      </c>
      <c r="B25" s="14">
        <v>2.0449999999999999</v>
      </c>
    </row>
    <row r="26" spans="1:4" x14ac:dyDescent="0.2">
      <c r="A26" s="13">
        <v>3</v>
      </c>
      <c r="B26" s="14">
        <v>1.4810000000000001</v>
      </c>
    </row>
    <row r="27" spans="1:4" x14ac:dyDescent="0.2">
      <c r="A27" s="13">
        <v>4</v>
      </c>
      <c r="B27" s="14">
        <v>1.161</v>
      </c>
    </row>
    <row r="28" spans="1:4" x14ac:dyDescent="0.2">
      <c r="A28" s="13">
        <v>5</v>
      </c>
      <c r="B28" s="14">
        <v>0.97</v>
      </c>
      <c r="C28" t="s">
        <v>89</v>
      </c>
    </row>
    <row r="29" spans="1:4" x14ac:dyDescent="0.2">
      <c r="A29" s="13">
        <v>6</v>
      </c>
      <c r="B29" s="14">
        <v>0.81</v>
      </c>
    </row>
    <row r="30" spans="1:4" x14ac:dyDescent="0.2">
      <c r="A30" s="13" t="s">
        <v>88</v>
      </c>
      <c r="B30" s="14">
        <v>2.8</v>
      </c>
    </row>
    <row r="31" spans="1:4" x14ac:dyDescent="0.2">
      <c r="A31" s="13">
        <v>1</v>
      </c>
      <c r="B31" s="14">
        <v>1.1599999999999999</v>
      </c>
    </row>
    <row r="32" spans="1:4" x14ac:dyDescent="0.2">
      <c r="A32" s="13">
        <v>2</v>
      </c>
      <c r="B32" s="14">
        <v>4.0999999999999996</v>
      </c>
    </row>
    <row r="34" spans="1:9" x14ac:dyDescent="0.2">
      <c r="A34" s="13" t="s">
        <v>49</v>
      </c>
      <c r="B34" s="13" t="s">
        <v>90</v>
      </c>
      <c r="C34" s="13" t="s">
        <v>91</v>
      </c>
      <c r="D34" s="13" t="s">
        <v>83</v>
      </c>
      <c r="E34" s="13" t="s">
        <v>92</v>
      </c>
      <c r="F34" s="13" t="s">
        <v>93</v>
      </c>
      <c r="G34" s="13" t="s">
        <v>94</v>
      </c>
      <c r="H34" s="13" t="s">
        <v>95</v>
      </c>
      <c r="I34" s="13" t="s">
        <v>49</v>
      </c>
    </row>
    <row r="35" spans="1:9" x14ac:dyDescent="0.2">
      <c r="A35" s="13" t="s">
        <v>78</v>
      </c>
      <c r="B35" s="13"/>
      <c r="C35" s="13" t="s">
        <v>96</v>
      </c>
      <c r="D35" s="13" t="s">
        <v>97</v>
      </c>
      <c r="E35" s="13" t="s">
        <v>98</v>
      </c>
      <c r="F35" s="13" t="s">
        <v>99</v>
      </c>
      <c r="G35" s="13" t="s">
        <v>100</v>
      </c>
      <c r="H35" s="13" t="s">
        <v>101</v>
      </c>
      <c r="I35" s="13" t="s">
        <v>102</v>
      </c>
    </row>
    <row r="36" spans="1:9" x14ac:dyDescent="0.2">
      <c r="A36" s="11">
        <v>0</v>
      </c>
      <c r="B36" s="14">
        <v>3.133</v>
      </c>
      <c r="C36" s="11">
        <f>A36/3.6/B$23/2/PI()*B$32*B$31*B36*60</f>
        <v>0</v>
      </c>
      <c r="D36" s="11">
        <f>-4.687*10^(-17)*C36^5+9.129*10^(-13)*C36^4-6.175*10^(-9)*C36^3+1.799*10^(-5)*C36^2+6.502*10^(-3)*C36</f>
        <v>0</v>
      </c>
      <c r="E36" s="14"/>
      <c r="F36" s="14"/>
      <c r="G36" s="14">
        <f>Speed_Calc!G$3+Speed_Calc!G$5*A36^2</f>
        <v>20</v>
      </c>
      <c r="H36" s="7">
        <f>(F36-G36)/Speed_Calc!G$2*9.806</f>
        <v>-0.14527407407407406</v>
      </c>
      <c r="I36" s="4">
        <f>A36/3.6</f>
        <v>0</v>
      </c>
    </row>
    <row r="37" spans="1:9" x14ac:dyDescent="0.2">
      <c r="A37" s="11">
        <v>0.1</v>
      </c>
      <c r="B37" s="14">
        <v>3.133</v>
      </c>
      <c r="C37" s="11">
        <f t="shared" ref="C37:C42" si="1">A37/3.6/B$23/2/PI()*B$32*B$31*B37*60</f>
        <v>12.958993819552212</v>
      </c>
      <c r="D37" s="11">
        <f t="shared" ref="D37:D100" si="2">-4.687*10^(-17)*C37^5+9.129*10^(-13)*C37^4-6.175*10^(-9)*C37^3+1.799*10^(-5)*C37^2+6.502*10^(-3)*C37</f>
        <v>8.7267125062530634E-2</v>
      </c>
      <c r="E37" s="11">
        <f>D37*75*B37*B$31*B$32/B$23/C37/2/PI()*60</f>
        <v>235.62123766883269</v>
      </c>
      <c r="F37" s="11">
        <f>Speed_Calc!B$5*E37</f>
        <v>212.05911390194942</v>
      </c>
      <c r="G37" s="14">
        <f>Speed_Calc!G$3+Speed_Calc!G$5*A37^2</f>
        <v>20.0000401</v>
      </c>
      <c r="H37" s="7">
        <f>(F37-G37)/Speed_Calc!G$2*9.806</f>
        <v>1.3950602057051229</v>
      </c>
      <c r="I37" s="4">
        <f>A37/3.6</f>
        <v>2.777777777777778E-2</v>
      </c>
    </row>
    <row r="38" spans="1:9" x14ac:dyDescent="0.2">
      <c r="A38" s="11">
        <v>0.2</v>
      </c>
      <c r="B38" s="14">
        <v>3.133</v>
      </c>
      <c r="C38" s="11">
        <f t="shared" si="1"/>
        <v>25.917987639104425</v>
      </c>
      <c r="D38" s="11">
        <f t="shared" si="2"/>
        <v>0.1804962990902218</v>
      </c>
      <c r="E38" s="11">
        <f t="shared" ref="E38:E101" si="3">D38*75*B38*B$31*B$32/B$23/C38/2/PI()*60</f>
        <v>243.67000377179943</v>
      </c>
      <c r="F38" s="11">
        <f>Speed_Calc!B$5*E38</f>
        <v>219.30300339461948</v>
      </c>
      <c r="G38" s="14">
        <f>Speed_Calc!G$3+Speed_Calc!G$5*A38^2</f>
        <v>20.000160399999999</v>
      </c>
      <c r="H38" s="7">
        <f>(F38-G38)/Speed_Calc!G$2*9.806</f>
        <v>1.4476767988186954</v>
      </c>
      <c r="I38" s="4">
        <f t="shared" ref="I38:I101" si="4">A38/3.6</f>
        <v>5.5555555555555559E-2</v>
      </c>
    </row>
    <row r="39" spans="1:9" x14ac:dyDescent="0.2">
      <c r="A39" s="11">
        <v>0.3</v>
      </c>
      <c r="B39" s="14">
        <v>3.133</v>
      </c>
      <c r="C39" s="11">
        <f t="shared" si="1"/>
        <v>38.87698145865663</v>
      </c>
      <c r="D39" s="11">
        <f t="shared" si="2"/>
        <v>0.27960781536387086</v>
      </c>
      <c r="E39" s="11">
        <f t="shared" si="3"/>
        <v>251.64703382748377</v>
      </c>
      <c r="F39" s="11">
        <f>Speed_Calc!B$5*E39</f>
        <v>226.4823304447354</v>
      </c>
      <c r="G39" s="14">
        <f>Speed_Calc!G$3+Speed_Calc!G$5*A39^2</f>
        <v>20.0003609</v>
      </c>
      <c r="H39" s="7">
        <f>(F39-G39)/Speed_Calc!G$2*9.806</f>
        <v>1.4998238469301295</v>
      </c>
      <c r="I39" s="4">
        <f t="shared" si="4"/>
        <v>8.3333333333333329E-2</v>
      </c>
    </row>
    <row r="40" spans="1:9" x14ac:dyDescent="0.2">
      <c r="A40" s="11">
        <v>0.4</v>
      </c>
      <c r="B40" s="14">
        <v>3.133</v>
      </c>
      <c r="C40" s="11">
        <f t="shared" si="1"/>
        <v>51.835975278208849</v>
      </c>
      <c r="D40" s="11">
        <f t="shared" si="2"/>
        <v>0.38452258095510183</v>
      </c>
      <c r="E40" s="11">
        <f t="shared" si="3"/>
        <v>259.5527421446937</v>
      </c>
      <c r="F40" s="11">
        <f>Speed_Calc!B$5*E40</f>
        <v>233.59746793022433</v>
      </c>
      <c r="G40" s="14">
        <f>Speed_Calc!G$3+Speed_Calc!G$5*A40^2</f>
        <v>20.000641600000002</v>
      </c>
      <c r="H40" s="7">
        <f>(F40-G40)/Speed_Calc!G$2*9.806</f>
        <v>1.551504058514207</v>
      </c>
      <c r="I40" s="4">
        <f t="shared" si="4"/>
        <v>0.11111111111111112</v>
      </c>
    </row>
    <row r="41" spans="1:9" x14ac:dyDescent="0.2">
      <c r="A41" s="11">
        <v>0.5</v>
      </c>
      <c r="B41" s="14">
        <v>3.133</v>
      </c>
      <c r="C41" s="11">
        <f t="shared" si="1"/>
        <v>64.794969097761069</v>
      </c>
      <c r="D41" s="11">
        <f t="shared" si="2"/>
        <v>0.49516211467079374</v>
      </c>
      <c r="E41" s="11">
        <f t="shared" si="3"/>
        <v>267.38754192222859</v>
      </c>
      <c r="F41" s="11">
        <f>Speed_Calc!B$5*E41</f>
        <v>240.64878773000575</v>
      </c>
      <c r="G41" s="14">
        <f>Speed_Calc!G$3+Speed_Calc!G$5*A41^2</f>
        <v>20.001002499999998</v>
      </c>
      <c r="H41" s="7">
        <f>(F41-G41)/Speed_Calc!G$2*9.806</f>
        <v>1.6027201347892119</v>
      </c>
      <c r="I41" s="4">
        <f t="shared" si="4"/>
        <v>0.1388888888888889</v>
      </c>
    </row>
    <row r="42" spans="1:9" x14ac:dyDescent="0.2">
      <c r="A42" s="11">
        <v>0.6</v>
      </c>
      <c r="B42" s="14">
        <v>3.133</v>
      </c>
      <c r="C42" s="11">
        <f t="shared" si="1"/>
        <v>77.75396291731326</v>
      </c>
      <c r="D42" s="11">
        <f t="shared" si="2"/>
        <v>0.61144854499750867</v>
      </c>
      <c r="E42" s="11">
        <f t="shared" si="3"/>
        <v>275.15184524887894</v>
      </c>
      <c r="F42" s="11">
        <f>Speed_Calc!B$5*E42</f>
        <v>247.63666072399104</v>
      </c>
      <c r="G42" s="14">
        <f>Speed_Calc!G$3+Speed_Calc!G$5*A42^2</f>
        <v>20.001443600000002</v>
      </c>
      <c r="H42" s="7">
        <f>(F42-G42)/Speed_Calc!G$2*9.806</f>
        <v>1.6534747697169303</v>
      </c>
      <c r="I42" s="4">
        <f t="shared" si="4"/>
        <v>0.16666666666666666</v>
      </c>
    </row>
    <row r="43" spans="1:9" x14ac:dyDescent="0.2">
      <c r="A43" s="11">
        <v>0.7</v>
      </c>
      <c r="B43" s="14">
        <v>3.133</v>
      </c>
      <c r="C43" s="11">
        <f t="shared" ref="C43:C106" si="5">A43/3.6/B$23/2/PI()*B$32*B$31*B43*60</f>
        <v>90.712956736865465</v>
      </c>
      <c r="D43" s="11">
        <f t="shared" si="2"/>
        <v>0.73330460804592112</v>
      </c>
      <c r="E43" s="11">
        <f t="shared" si="3"/>
        <v>282.84606310342679</v>
      </c>
      <c r="F43" s="11">
        <f>Speed_Calc!B$5*E43</f>
        <v>254.56145679308412</v>
      </c>
      <c r="G43" s="14">
        <f>Speed_Calc!G$3+Speed_Calc!G$5*A43^2</f>
        <v>20.001964900000001</v>
      </c>
      <c r="H43" s="7">
        <f>(F43-G43)/Speed_Calc!G$2*9.806</f>
        <v>1.7037706500026539</v>
      </c>
      <c r="I43" s="4">
        <f t="shared" si="4"/>
        <v>0.19444444444444442</v>
      </c>
    </row>
    <row r="44" spans="1:9" x14ac:dyDescent="0.2">
      <c r="A44" s="11">
        <v>0.8</v>
      </c>
      <c r="B44" s="14">
        <v>3.133</v>
      </c>
      <c r="C44" s="11">
        <f t="shared" si="5"/>
        <v>103.6719505564177</v>
      </c>
      <c r="D44" s="11">
        <f t="shared" si="2"/>
        <v>0.86065364549524559</v>
      </c>
      <c r="E44" s="11">
        <f t="shared" si="3"/>
        <v>290.47060535464533</v>
      </c>
      <c r="F44" s="11">
        <f>Speed_Calc!B$5*E44</f>
        <v>261.42354481918079</v>
      </c>
      <c r="G44" s="14">
        <f>Speed_Calc!G$3+Speed_Calc!G$5*A44^2</f>
        <v>20.002566399999999</v>
      </c>
      <c r="H44" s="7">
        <f>(F44-G44)/Speed_Calc!G$2*9.806</f>
        <v>1.7536104550951752</v>
      </c>
      <c r="I44" s="4">
        <f t="shared" si="4"/>
        <v>0.22222222222222224</v>
      </c>
    </row>
    <row r="45" spans="1:9" x14ac:dyDescent="0.2">
      <c r="A45" s="11">
        <v>0.9</v>
      </c>
      <c r="B45" s="14">
        <v>3.133</v>
      </c>
      <c r="C45" s="11">
        <f t="shared" si="5"/>
        <v>116.63094437596989</v>
      </c>
      <c r="D45" s="11">
        <f t="shared" si="2"/>
        <v>0.99341960253766404</v>
      </c>
      <c r="E45" s="11">
        <f t="shared" si="3"/>
        <v>298.02588076129922</v>
      </c>
      <c r="F45" s="11">
        <f>Speed_Calc!B$5*E45</f>
        <v>268.22329268516933</v>
      </c>
      <c r="G45" s="14">
        <f>Speed_Calc!G$3+Speed_Calc!G$5*A45^2</f>
        <v>20.0032481</v>
      </c>
      <c r="H45" s="7">
        <f>(F45-G45)/Speed_Calc!G$2*9.806</f>
        <v>1.8029968571867927</v>
      </c>
      <c r="I45" s="4">
        <f t="shared" si="4"/>
        <v>0.25</v>
      </c>
    </row>
    <row r="46" spans="1:9" x14ac:dyDescent="0.2">
      <c r="A46" s="11">
        <v>1</v>
      </c>
      <c r="B46" s="14">
        <v>3.133</v>
      </c>
      <c r="C46" s="11">
        <f t="shared" si="5"/>
        <v>129.58993819552214</v>
      </c>
      <c r="D46" s="11">
        <f t="shared" si="2"/>
        <v>1.1315270258227577</v>
      </c>
      <c r="E46" s="11">
        <f t="shared" si="3"/>
        <v>305.51229697214444</v>
      </c>
      <c r="F46" s="11">
        <f>Speed_Calc!B$5*E46</f>
        <v>274.96106727493003</v>
      </c>
      <c r="G46" s="14">
        <f>Speed_Calc!G$3+Speed_Calc!G$5*A46^2</f>
        <v>20.004010000000001</v>
      </c>
      <c r="H46" s="7">
        <f>(F46-G46)/Speed_Calc!G$2*9.806</f>
        <v>1.8519325212133064</v>
      </c>
      <c r="I46" s="4">
        <f t="shared" si="4"/>
        <v>0.27777777777777779</v>
      </c>
    </row>
    <row r="47" spans="1:9" x14ac:dyDescent="0.2">
      <c r="A47" s="11">
        <v>1.1000000000000001</v>
      </c>
      <c r="B47" s="14">
        <v>3.133</v>
      </c>
      <c r="C47" s="11">
        <f t="shared" si="5"/>
        <v>142.54893201507437</v>
      </c>
      <c r="D47" s="11">
        <f t="shared" si="2"/>
        <v>1.27490106140193</v>
      </c>
      <c r="E47" s="11">
        <f t="shared" si="3"/>
        <v>312.93026052592819</v>
      </c>
      <c r="F47" s="11">
        <f>Speed_Calc!B$5*E47</f>
        <v>281.63723447333535</v>
      </c>
      <c r="G47" s="14">
        <f>Speed_Calc!G$3+Speed_Calc!G$5*A47^2</f>
        <v>20.004852100000001</v>
      </c>
      <c r="H47" s="7">
        <f>(F47-G47)/Speed_Calc!G$2*9.806</f>
        <v>1.9004201048540195</v>
      </c>
      <c r="I47" s="4">
        <f t="shared" si="4"/>
        <v>0.30555555555555558</v>
      </c>
    </row>
    <row r="48" spans="1:9" x14ac:dyDescent="0.2">
      <c r="A48" s="11">
        <v>1.2</v>
      </c>
      <c r="B48" s="14">
        <v>3.133</v>
      </c>
      <c r="C48" s="11">
        <f t="shared" si="5"/>
        <v>155.50792583462652</v>
      </c>
      <c r="D48" s="11">
        <f t="shared" si="2"/>
        <v>1.4234674526728397</v>
      </c>
      <c r="E48" s="11">
        <f t="shared" si="3"/>
        <v>320.28017685138889</v>
      </c>
      <c r="F48" s="11">
        <f>Speed_Calc!B$5*E48</f>
        <v>288.25215916625001</v>
      </c>
      <c r="G48" s="14">
        <f>Speed_Calc!G$3+Speed_Calc!G$5*A48^2</f>
        <v>20.0057744</v>
      </c>
      <c r="H48" s="7">
        <f>(F48-G48)/Speed_Calc!G$2*9.806</f>
        <v>1.9484622585317388</v>
      </c>
      <c r="I48" s="4">
        <f t="shared" si="4"/>
        <v>0.33333333333333331</v>
      </c>
    </row>
    <row r="49" spans="1:9" x14ac:dyDescent="0.2">
      <c r="A49" s="11">
        <v>1.3</v>
      </c>
      <c r="B49" s="14">
        <v>3.133</v>
      </c>
      <c r="C49" s="11">
        <f t="shared" si="5"/>
        <v>168.46691965417872</v>
      </c>
      <c r="D49" s="11">
        <f t="shared" si="2"/>
        <v>1.5771525383238283</v>
      </c>
      <c r="E49" s="11">
        <f t="shared" si="3"/>
        <v>327.56245026725668</v>
      </c>
      <c r="F49" s="11">
        <f>Speed_Calc!B$5*E49</f>
        <v>294.80620524053103</v>
      </c>
      <c r="G49" s="14">
        <f>Speed_Calc!G$3+Speed_Calc!G$5*A49^2</f>
        <v>20.006776899999998</v>
      </c>
      <c r="H49" s="7">
        <f>(F49-G49)/Speed_Calc!G$2*9.806</f>
        <v>1.9960616254127757</v>
      </c>
      <c r="I49" s="4">
        <f t="shared" si="4"/>
        <v>0.3611111111111111</v>
      </c>
    </row>
    <row r="50" spans="1:9" x14ac:dyDescent="0.2">
      <c r="A50" s="11">
        <v>1.4</v>
      </c>
      <c r="B50" s="14">
        <v>3.133</v>
      </c>
      <c r="C50" s="11">
        <f t="shared" si="5"/>
        <v>181.42591347373093</v>
      </c>
      <c r="D50" s="11">
        <f t="shared" si="2"/>
        <v>1.735883250278347</v>
      </c>
      <c r="E50" s="11">
        <f t="shared" si="3"/>
        <v>334.77748398225265</v>
      </c>
      <c r="F50" s="11">
        <f>Speed_Calc!B$5*E50</f>
        <v>301.29973558402742</v>
      </c>
      <c r="G50" s="14">
        <f>Speed_Calc!G$3+Speed_Calc!G$5*A50^2</f>
        <v>20.0078596</v>
      </c>
      <c r="H50" s="7">
        <f>(F50-G50)/Speed_Calc!G$2*9.806</f>
        <v>2.0432208414069426</v>
      </c>
      <c r="I50" s="4">
        <f t="shared" si="4"/>
        <v>0.38888888888888884</v>
      </c>
    </row>
    <row r="51" spans="1:9" x14ac:dyDescent="0.2">
      <c r="A51" s="11">
        <v>1.5</v>
      </c>
      <c r="B51" s="14">
        <v>3.133</v>
      </c>
      <c r="C51" s="11">
        <f t="shared" si="5"/>
        <v>194.38490729328319</v>
      </c>
      <c r="D51" s="11">
        <f t="shared" si="2"/>
        <v>1.8995871116393861</v>
      </c>
      <c r="E51" s="11">
        <f t="shared" si="3"/>
        <v>341.92568009508949</v>
      </c>
      <c r="F51" s="11">
        <f>Speed_Calc!B$5*E51</f>
        <v>307.73311208558056</v>
      </c>
      <c r="G51" s="14">
        <f>Speed_Calc!G$3+Speed_Calc!G$5*A51^2</f>
        <v>20.0090225</v>
      </c>
      <c r="H51" s="7">
        <f>(F51-G51)/Speed_Calc!G$2*9.806</f>
        <v>2.0899425351675571</v>
      </c>
      <c r="I51" s="4">
        <f t="shared" si="4"/>
        <v>0.41666666666666663</v>
      </c>
    </row>
    <row r="52" spans="1:9" x14ac:dyDescent="0.2">
      <c r="A52" s="11">
        <v>1.6</v>
      </c>
      <c r="B52" s="14">
        <v>3.133</v>
      </c>
      <c r="C52" s="11">
        <f t="shared" si="5"/>
        <v>207.3439011128354</v>
      </c>
      <c r="D52" s="11">
        <f t="shared" si="2"/>
        <v>2.068192234633901</v>
      </c>
      <c r="E52" s="11">
        <f t="shared" si="3"/>
        <v>349.00743959447072</v>
      </c>
      <c r="F52" s="11">
        <f>Speed_Calc!B$5*E52</f>
        <v>314.10669563502364</v>
      </c>
      <c r="G52" s="14">
        <f>Speed_Calc!G$3+Speed_Calc!G$5*A52^2</f>
        <v>20.0102656</v>
      </c>
      <c r="H52" s="7">
        <f>(F52-G52)/Speed_Calc!G$2*9.806</f>
        <v>2.1362293280914377</v>
      </c>
      <c r="I52" s="4">
        <f t="shared" si="4"/>
        <v>0.44444444444444448</v>
      </c>
    </row>
    <row r="53" spans="1:9" x14ac:dyDescent="0.2">
      <c r="A53" s="11">
        <v>1.7</v>
      </c>
      <c r="B53" s="14">
        <v>3.133</v>
      </c>
      <c r="C53" s="11">
        <f t="shared" si="5"/>
        <v>220.30289493238755</v>
      </c>
      <c r="D53" s="11">
        <f t="shared" si="2"/>
        <v>2.2416273185572448</v>
      </c>
      <c r="E53" s="11">
        <f t="shared" si="3"/>
        <v>356.02316235909188</v>
      </c>
      <c r="F53" s="11">
        <f>Speed_Calc!B$5*E53</f>
        <v>320.42084612318268</v>
      </c>
      <c r="G53" s="14">
        <f>Speed_Calc!G$3+Speed_Calc!G$5*A53^2</f>
        <v>20.0115889</v>
      </c>
      <c r="H53" s="7">
        <f>(F53-G53)/Speed_Calc!G$2*9.806</f>
        <v>2.1820838343189108</v>
      </c>
      <c r="I53" s="4">
        <f t="shared" si="4"/>
        <v>0.47222222222222221</v>
      </c>
    </row>
    <row r="54" spans="1:9" x14ac:dyDescent="0.2">
      <c r="A54" s="11">
        <v>1.8</v>
      </c>
      <c r="B54" s="14">
        <v>3.133</v>
      </c>
      <c r="C54" s="11">
        <f t="shared" si="5"/>
        <v>233.26188875193978</v>
      </c>
      <c r="D54" s="11">
        <f t="shared" si="2"/>
        <v>2.4198216477175958</v>
      </c>
      <c r="E54" s="11">
        <f t="shared" si="3"/>
        <v>362.97324715763932</v>
      </c>
      <c r="F54" s="11">
        <f>Speed_Calc!B$5*E54</f>
        <v>326.6759224418754</v>
      </c>
      <c r="G54" s="14">
        <f>Speed_Calc!G$3+Speed_Calc!G$5*A54^2</f>
        <v>20.012992400000002</v>
      </c>
      <c r="H54" s="7">
        <f>(F54-G54)/Speed_Calc!G$2*9.806</f>
        <v>2.2275086607337999</v>
      </c>
      <c r="I54" s="4">
        <f t="shared" si="4"/>
        <v>0.5</v>
      </c>
    </row>
    <row r="55" spans="1:9" x14ac:dyDescent="0.2">
      <c r="A55" s="11">
        <v>1.9</v>
      </c>
      <c r="B55" s="14">
        <v>3.133</v>
      </c>
      <c r="C55" s="11">
        <f t="shared" si="5"/>
        <v>246.22088257149198</v>
      </c>
      <c r="D55" s="11">
        <f t="shared" si="2"/>
        <v>2.6027050893803811</v>
      </c>
      <c r="E55" s="11">
        <f t="shared" si="3"/>
        <v>369.85809164879112</v>
      </c>
      <c r="F55" s="11">
        <f>Speed_Calc!B$5*E55</f>
        <v>332.87228248391199</v>
      </c>
      <c r="G55" s="14">
        <f>Speed_Calc!G$3+Speed_Calc!G$5*A55^2</f>
        <v>20.0144761</v>
      </c>
      <c r="H55" s="7">
        <f>(F55-G55)/Speed_Calc!G$2*9.806</f>
        <v>2.2725064069634371</v>
      </c>
      <c r="I55" s="4">
        <f t="shared" si="4"/>
        <v>0.52777777777777779</v>
      </c>
    </row>
    <row r="56" spans="1:9" x14ac:dyDescent="0.2">
      <c r="A56" s="11">
        <v>2</v>
      </c>
      <c r="B56" s="14">
        <v>3.133</v>
      </c>
      <c r="C56" s="11">
        <f t="shared" si="5"/>
        <v>259.17987639104427</v>
      </c>
      <c r="D56" s="11">
        <f t="shared" si="2"/>
        <v>2.7902080917127128</v>
      </c>
      <c r="E56" s="11">
        <f t="shared" si="3"/>
        <v>376.67809238121606</v>
      </c>
      <c r="F56" s="11">
        <f>Speed_Calc!B$5*E56</f>
        <v>339.01028314309445</v>
      </c>
      <c r="G56" s="14">
        <f>Speed_Calc!G$3+Speed_Calc!G$5*A56^2</f>
        <v>20.01604</v>
      </c>
      <c r="H56" s="7">
        <f>(F56-G56)/Speed_Calc!G$2*9.806</f>
        <v>2.317079665378655</v>
      </c>
      <c r="I56" s="4">
        <f t="shared" si="4"/>
        <v>0.55555555555555558</v>
      </c>
    </row>
    <row r="57" spans="1:9" x14ac:dyDescent="0.2">
      <c r="A57" s="11">
        <v>2.1</v>
      </c>
      <c r="B57" s="14">
        <v>3.133</v>
      </c>
      <c r="C57" s="11">
        <f t="shared" si="5"/>
        <v>272.13887021059645</v>
      </c>
      <c r="D57" s="11">
        <f t="shared" si="2"/>
        <v>2.982261681727806</v>
      </c>
      <c r="E57" s="11">
        <f t="shared" si="3"/>
        <v>383.43364479357507</v>
      </c>
      <c r="F57" s="11">
        <f>Speed_Calc!B$5*E57</f>
        <v>345.09028031421758</v>
      </c>
      <c r="G57" s="14">
        <f>Speed_Calc!G$3+Speed_Calc!G$5*A57^2</f>
        <v>20.0176841</v>
      </c>
      <c r="H57" s="7">
        <f>(F57-G57)/Speed_Calc!G$2*9.806</f>
        <v>2.3612310210937903</v>
      </c>
      <c r="I57" s="4">
        <f t="shared" si="4"/>
        <v>0.58333333333333337</v>
      </c>
    </row>
    <row r="58" spans="1:9" x14ac:dyDescent="0.2">
      <c r="A58" s="11">
        <v>2.2000000000000002</v>
      </c>
      <c r="B58" s="14">
        <v>3.133</v>
      </c>
      <c r="C58" s="11">
        <f t="shared" si="5"/>
        <v>285.09786403014874</v>
      </c>
      <c r="D58" s="11">
        <f t="shared" si="2"/>
        <v>3.1787974632294196</v>
      </c>
      <c r="E58" s="11">
        <f t="shared" si="3"/>
        <v>390.1251432145196</v>
      </c>
      <c r="F58" s="11">
        <f>Speed_Calc!B$5*E58</f>
        <v>351.11262889306767</v>
      </c>
      <c r="G58" s="14">
        <f>Speed_Calc!G$3+Speed_Calc!G$5*A58^2</f>
        <v>20.0194084</v>
      </c>
      <c r="H58" s="7">
        <f>(F58-G58)/Speed_Calc!G$2*9.806</f>
        <v>2.4049630519666825</v>
      </c>
      <c r="I58" s="4">
        <f t="shared" si="4"/>
        <v>0.61111111111111116</v>
      </c>
    </row>
    <row r="59" spans="1:9" x14ac:dyDescent="0.2">
      <c r="A59" s="11">
        <v>2.2999999999999998</v>
      </c>
      <c r="B59" s="14">
        <v>3.133</v>
      </c>
      <c r="C59" s="11">
        <f t="shared" si="5"/>
        <v>298.0568578497008</v>
      </c>
      <c r="D59" s="11">
        <f t="shared" si="2"/>
        <v>3.3797476147562713</v>
      </c>
      <c r="E59" s="11">
        <f t="shared" si="3"/>
        <v>396.75298086269282</v>
      </c>
      <c r="F59" s="11">
        <f>Speed_Calc!B$5*E59</f>
        <v>357.07768277642356</v>
      </c>
      <c r="G59" s="14">
        <f>Speed_Calc!G$3+Speed_Calc!G$5*A59^2</f>
        <v>20.021212899999998</v>
      </c>
      <c r="H59" s="7">
        <f>(F59-G59)/Speed_Calc!G$2*9.806</f>
        <v>2.4482783285986733</v>
      </c>
      <c r="I59" s="4">
        <f t="shared" si="4"/>
        <v>0.63888888888888884</v>
      </c>
    </row>
    <row r="60" spans="1:9" x14ac:dyDescent="0.2">
      <c r="A60" s="11">
        <v>2.4</v>
      </c>
      <c r="B60" s="14">
        <v>3.133</v>
      </c>
      <c r="C60" s="11">
        <f t="shared" si="5"/>
        <v>311.01585166925304</v>
      </c>
      <c r="D60" s="11">
        <f t="shared" si="2"/>
        <v>3.5850448875264833</v>
      </c>
      <c r="E60" s="11">
        <f t="shared" si="3"/>
        <v>403.31754984672943</v>
      </c>
      <c r="F60" s="11">
        <f>Speed_Calc!B$5*E60</f>
        <v>362.98579486205648</v>
      </c>
      <c r="G60" s="14">
        <f>Speed_Calc!G$3+Speed_Calc!G$5*A60^2</f>
        <v>20.0230976</v>
      </c>
      <c r="H60" s="7">
        <f>(F60-G60)/Speed_Calc!G$2*9.806</f>
        <v>2.4911794143346118</v>
      </c>
      <c r="I60" s="4">
        <f t="shared" si="4"/>
        <v>0.66666666666666663</v>
      </c>
    </row>
    <row r="61" spans="1:9" x14ac:dyDescent="0.2">
      <c r="A61" s="11">
        <v>2.5</v>
      </c>
      <c r="B61" s="14">
        <v>3.133</v>
      </c>
      <c r="C61" s="11">
        <f t="shared" si="5"/>
        <v>323.97484548880527</v>
      </c>
      <c r="D61" s="11">
        <f t="shared" si="2"/>
        <v>3.794622603381991</v>
      </c>
      <c r="E61" s="11">
        <f t="shared" si="3"/>
        <v>409.81924116525505</v>
      </c>
      <c r="F61" s="11">
        <f>Speed_Calc!B$5*E61</f>
        <v>368.83731704872957</v>
      </c>
      <c r="G61" s="14">
        <f>Speed_Calc!G$3+Speed_Calc!G$5*A61^2</f>
        <v>20.025062500000001</v>
      </c>
      <c r="H61" s="7">
        <f>(F61-G61)/Speed_Calc!G$2*9.806</f>
        <v>2.5336688652628463</v>
      </c>
      <c r="I61" s="4">
        <f t="shared" si="4"/>
        <v>0.69444444444444442</v>
      </c>
    </row>
    <row r="62" spans="1:9" x14ac:dyDescent="0.2">
      <c r="A62" s="11">
        <v>2.6</v>
      </c>
      <c r="B62" s="14">
        <v>3.133</v>
      </c>
      <c r="C62" s="11">
        <f t="shared" si="5"/>
        <v>336.93383930835745</v>
      </c>
      <c r="D62" s="11">
        <f t="shared" si="2"/>
        <v>4.0084146527329843</v>
      </c>
      <c r="E62" s="11">
        <f t="shared" si="3"/>
        <v>416.25844470688691</v>
      </c>
      <c r="F62" s="11">
        <f>Speed_Calc!B$5*E62</f>
        <v>374.63260023619824</v>
      </c>
      <c r="G62" s="14">
        <f>Speed_Calc!G$3+Speed_Calc!G$5*A62^2</f>
        <v>20.027107600000001</v>
      </c>
      <c r="H62" s="7">
        <f>(F62-G62)/Speed_Calc!G$2*9.806</f>
        <v>2.5757492302152292</v>
      </c>
      <c r="I62" s="4">
        <f t="shared" si="4"/>
        <v>0.72222222222222221</v>
      </c>
    </row>
    <row r="63" spans="1:9" x14ac:dyDescent="0.2">
      <c r="A63" s="11">
        <v>2.7</v>
      </c>
      <c r="B63" s="14">
        <v>3.133</v>
      </c>
      <c r="C63" s="11">
        <f t="shared" si="5"/>
        <v>349.89283312790974</v>
      </c>
      <c r="D63" s="11">
        <f t="shared" si="2"/>
        <v>4.2263554925023339</v>
      </c>
      <c r="E63" s="11">
        <f t="shared" si="3"/>
        <v>422.6355492502334</v>
      </c>
      <c r="F63" s="11">
        <f>Speed_Calc!B$5*E63</f>
        <v>380.37199432521004</v>
      </c>
      <c r="G63" s="14">
        <f>Speed_Calc!G$3+Speed_Calc!G$5*A63^2</f>
        <v>20.0292329</v>
      </c>
      <c r="H63" s="7">
        <f>(F63-G63)/Speed_Calc!G$2*9.806</f>
        <v>2.6174230507671177</v>
      </c>
      <c r="I63" s="4">
        <f t="shared" si="4"/>
        <v>0.75</v>
      </c>
    </row>
    <row r="64" spans="1:9" x14ac:dyDescent="0.2">
      <c r="A64" s="11">
        <v>2.8</v>
      </c>
      <c r="B64" s="14">
        <v>3.133</v>
      </c>
      <c r="C64" s="11">
        <f t="shared" si="5"/>
        <v>362.85182694746186</v>
      </c>
      <c r="D64" s="11">
        <f t="shared" si="2"/>
        <v>4.448380144070013</v>
      </c>
      <c r="E64" s="11">
        <f t="shared" si="3"/>
        <v>428.95094246389419</v>
      </c>
      <c r="F64" s="11">
        <f>Speed_Calc!B$5*E64</f>
        <v>386.05584821750477</v>
      </c>
      <c r="G64" s="14">
        <f>Speed_Calc!G$3+Speed_Calc!G$5*A64^2</f>
        <v>20.031438399999999</v>
      </c>
      <c r="H64" s="7">
        <f>(F64-G64)/Speed_Calc!G$2*9.806</f>
        <v>2.6586928612373715</v>
      </c>
      <c r="I64" s="4">
        <f t="shared" si="4"/>
        <v>0.77777777777777768</v>
      </c>
    </row>
    <row r="65" spans="1:9" x14ac:dyDescent="0.2">
      <c r="A65" s="11">
        <v>2.9</v>
      </c>
      <c r="B65" s="14">
        <v>3.133</v>
      </c>
      <c r="C65" s="11">
        <f t="shared" si="5"/>
        <v>375.81082076701409</v>
      </c>
      <c r="D65" s="11">
        <f t="shared" si="2"/>
        <v>4.6744241912175379</v>
      </c>
      <c r="E65" s="11">
        <f t="shared" si="3"/>
        <v>435.20501090646047</v>
      </c>
      <c r="F65" s="11">
        <f>Speed_Calc!B$5*E65</f>
        <v>391.68450981581441</v>
      </c>
      <c r="G65" s="14">
        <f>Speed_Calc!G$3+Speed_Calc!G$5*A65^2</f>
        <v>20.033724100000001</v>
      </c>
      <c r="H65" s="7">
        <f>(F65-G65)/Speed_Calc!G$2*9.806</f>
        <v>2.6995611886883526</v>
      </c>
      <c r="I65" s="4">
        <f t="shared" si="4"/>
        <v>0.80555555555555547</v>
      </c>
    </row>
    <row r="66" spans="1:9" x14ac:dyDescent="0.2">
      <c r="A66" s="11">
        <v>3</v>
      </c>
      <c r="B66" s="14">
        <v>3.133</v>
      </c>
      <c r="C66" s="11">
        <f t="shared" si="5"/>
        <v>388.76981458656638</v>
      </c>
      <c r="D66" s="11">
        <f t="shared" si="2"/>
        <v>4.9044237780723865</v>
      </c>
      <c r="E66" s="11">
        <f t="shared" si="3"/>
        <v>441.39814002651468</v>
      </c>
      <c r="F66" s="11">
        <f>Speed_Calc!B$5*E66</f>
        <v>397.25832602386322</v>
      </c>
      <c r="G66" s="14">
        <f>Speed_Calc!G$3+Speed_Calc!G$5*A66^2</f>
        <v>20.036090000000002</v>
      </c>
      <c r="H66" s="7">
        <f>(F66-G66)/Speed_Calc!G$2*9.806</f>
        <v>2.7400305529259277</v>
      </c>
      <c r="I66" s="4">
        <f t="shared" si="4"/>
        <v>0.83333333333333326</v>
      </c>
    </row>
    <row r="67" spans="1:9" x14ac:dyDescent="0.2">
      <c r="A67" s="11">
        <v>3.1</v>
      </c>
      <c r="B67" s="14">
        <v>3.133</v>
      </c>
      <c r="C67" s="11">
        <f t="shared" si="5"/>
        <v>401.72880840611856</v>
      </c>
      <c r="D67" s="11">
        <f t="shared" si="2"/>
        <v>5.1383156070524239</v>
      </c>
      <c r="E67" s="11">
        <f t="shared" si="3"/>
        <v>447.53071416263043</v>
      </c>
      <c r="F67" s="11">
        <f>Speed_Calc!B$5*E67</f>
        <v>402.77764274636741</v>
      </c>
      <c r="G67" s="14">
        <f>Speed_Calc!G$3+Speed_Calc!G$5*A67^2</f>
        <v>20.038536100000002</v>
      </c>
      <c r="H67" s="7">
        <f>(F67-G67)/Speed_Calc!G$2*9.806</f>
        <v>2.7801034664994653</v>
      </c>
      <c r="I67" s="4">
        <f t="shared" si="4"/>
        <v>0.86111111111111116</v>
      </c>
    </row>
    <row r="68" spans="1:9" x14ac:dyDescent="0.2">
      <c r="A68" s="11">
        <v>3.2</v>
      </c>
      <c r="B68" s="14">
        <v>3.133</v>
      </c>
      <c r="C68" s="11">
        <f t="shared" si="5"/>
        <v>414.68780222567079</v>
      </c>
      <c r="D68" s="11">
        <f t="shared" si="2"/>
        <v>5.3760369368103476</v>
      </c>
      <c r="E68" s="11">
        <f t="shared" si="3"/>
        <v>453.60311654337295</v>
      </c>
      <c r="F68" s="11">
        <f>Speed_Calc!B$5*E68</f>
        <v>408.24280488903565</v>
      </c>
      <c r="G68" s="14">
        <f>Speed_Calc!G$3+Speed_Calc!G$5*A68^2</f>
        <v>20.041062400000001</v>
      </c>
      <c r="H68" s="7">
        <f>(F68-G68)/Speed_Calc!G$2*9.806</f>
        <v>2.8197824347018394</v>
      </c>
      <c r="I68" s="4">
        <f t="shared" si="4"/>
        <v>0.88888888888888895</v>
      </c>
    </row>
    <row r="69" spans="1:9" x14ac:dyDescent="0.2">
      <c r="A69" s="11">
        <v>3.3</v>
      </c>
      <c r="B69" s="14">
        <v>3.133</v>
      </c>
      <c r="C69" s="11">
        <f t="shared" si="5"/>
        <v>427.64679604522291</v>
      </c>
      <c r="D69" s="11">
        <f t="shared" si="2"/>
        <v>5.6175255801780919</v>
      </c>
      <c r="E69" s="11">
        <f t="shared" si="3"/>
        <v>459.61572928729856</v>
      </c>
      <c r="F69" s="11">
        <f>Speed_Calc!B$5*E69</f>
        <v>413.65415635856874</v>
      </c>
      <c r="G69" s="14">
        <f>Speed_Calc!G$3+Speed_Calc!G$5*A69^2</f>
        <v>20.0436689</v>
      </c>
      <c r="H69" s="7">
        <f>(F69-G69)/Speed_Calc!G$2*9.806</f>
        <v>2.8590699555694257</v>
      </c>
      <c r="I69" s="4">
        <f t="shared" si="4"/>
        <v>0.91666666666666663</v>
      </c>
    </row>
    <row r="70" spans="1:9" x14ac:dyDescent="0.2">
      <c r="A70" s="11">
        <v>3.4</v>
      </c>
      <c r="B70" s="14">
        <v>3.133</v>
      </c>
      <c r="C70" s="11">
        <f t="shared" si="5"/>
        <v>440.60578986477509</v>
      </c>
      <c r="D70" s="11">
        <f t="shared" si="2"/>
        <v>5.8627199021112828</v>
      </c>
      <c r="E70" s="11">
        <f t="shared" si="3"/>
        <v>465.56893340295505</v>
      </c>
      <c r="F70" s="11">
        <f>Speed_Calc!B$5*E70</f>
        <v>419.01204006265954</v>
      </c>
      <c r="G70" s="14">
        <f>Speed_Calc!G$3+Speed_Calc!G$5*A70^2</f>
        <v>20.046355599999998</v>
      </c>
      <c r="H70" s="7">
        <f>(F70-G70)/Speed_Calc!G$2*9.806</f>
        <v>2.8979685198821032</v>
      </c>
      <c r="I70" s="4">
        <f t="shared" si="4"/>
        <v>0.94444444444444442</v>
      </c>
    </row>
    <row r="71" spans="1:9" x14ac:dyDescent="0.2">
      <c r="A71" s="11">
        <v>3.5</v>
      </c>
      <c r="B71" s="14">
        <v>3.133</v>
      </c>
      <c r="C71" s="11">
        <f t="shared" si="5"/>
        <v>453.56478368432738</v>
      </c>
      <c r="D71" s="11">
        <f t="shared" si="2"/>
        <v>6.1115588176336431</v>
      </c>
      <c r="E71" s="11">
        <f t="shared" si="3"/>
        <v>471.46310878888096</v>
      </c>
      <c r="F71" s="11">
        <f>Speed_Calc!B$5*E71</f>
        <v>424.31679790999289</v>
      </c>
      <c r="G71" s="14">
        <f>Speed_Calc!G$3+Speed_Calc!G$5*A71^2</f>
        <v>20.049122499999999</v>
      </c>
      <c r="H71" s="7">
        <f>(F71-G71)/Speed_Calc!G$2*9.806</f>
        <v>2.936480611163252</v>
      </c>
      <c r="I71" s="4">
        <f t="shared" si="4"/>
        <v>0.97222222222222221</v>
      </c>
    </row>
    <row r="72" spans="1:9" x14ac:dyDescent="0.2">
      <c r="A72" s="11">
        <v>3.6</v>
      </c>
      <c r="B72" s="14">
        <v>3.133</v>
      </c>
      <c r="C72" s="11">
        <f t="shared" si="5"/>
        <v>466.52377750387956</v>
      </c>
      <c r="D72" s="11">
        <f t="shared" si="2"/>
        <v>6.3639817897814321</v>
      </c>
      <c r="E72" s="11">
        <f t="shared" si="3"/>
        <v>477.2986342336074</v>
      </c>
      <c r="F72" s="11">
        <f>Speed_Calc!B$5*E72</f>
        <v>429.56877081024669</v>
      </c>
      <c r="G72" s="14">
        <f>Speed_Calc!G$3+Speed_Calc!G$5*A72^2</f>
        <v>20.0519696</v>
      </c>
      <c r="H72" s="7">
        <f>(F72-G72)/Speed_Calc!G$2*9.806</f>
        <v>2.9746087056797621</v>
      </c>
      <c r="I72" s="4">
        <f t="shared" si="4"/>
        <v>1</v>
      </c>
    </row>
    <row r="73" spans="1:9" x14ac:dyDescent="0.2">
      <c r="A73" s="11">
        <v>3.7</v>
      </c>
      <c r="B73" s="14">
        <v>3.133</v>
      </c>
      <c r="C73" s="11">
        <f t="shared" si="5"/>
        <v>479.4827713234319</v>
      </c>
      <c r="D73" s="11">
        <f t="shared" si="2"/>
        <v>6.619928827547878</v>
      </c>
      <c r="E73" s="11">
        <f t="shared" si="3"/>
        <v>483.07588741565581</v>
      </c>
      <c r="F73" s="11">
        <f>Speed_Calc!B$5*E73</f>
        <v>434.76829867409026</v>
      </c>
      <c r="G73" s="14">
        <f>Speed_Calc!G$3+Speed_Calc!G$5*A73^2</f>
        <v>20.054896899999999</v>
      </c>
      <c r="H73" s="7">
        <f>(F73-G73)/Speed_Calc!G$2*9.806</f>
        <v>3.0123552724420213</v>
      </c>
      <c r="I73" s="4">
        <f t="shared" si="4"/>
        <v>1.0277777777777779</v>
      </c>
    </row>
    <row r="74" spans="1:9" x14ac:dyDescent="0.2">
      <c r="A74" s="11">
        <v>3.8</v>
      </c>
      <c r="B74" s="14">
        <v>3.133</v>
      </c>
      <c r="C74" s="11">
        <f t="shared" si="5"/>
        <v>492.44176514298397</v>
      </c>
      <c r="D74" s="11">
        <f t="shared" si="2"/>
        <v>6.8793404838275842</v>
      </c>
      <c r="E74" s="11">
        <f t="shared" si="3"/>
        <v>488.79524490353896</v>
      </c>
      <c r="F74" s="11">
        <f>Speed_Calc!B$5*E74</f>
        <v>439.91572041318506</v>
      </c>
      <c r="G74" s="14">
        <f>Speed_Calc!G$3+Speed_Calc!G$5*A74^2</f>
        <v>20.057904400000002</v>
      </c>
      <c r="H74" s="7">
        <f>(F74-G74)/Speed_Calc!G$2*9.806</f>
        <v>3.0497227732039205</v>
      </c>
      <c r="I74" s="4">
        <f t="shared" si="4"/>
        <v>1.0555555555555556</v>
      </c>
    </row>
    <row r="75" spans="1:9" x14ac:dyDescent="0.2">
      <c r="A75" s="11">
        <v>3.9</v>
      </c>
      <c r="B75" s="14">
        <v>3.133</v>
      </c>
      <c r="C75" s="11">
        <f t="shared" si="5"/>
        <v>505.40075896253614</v>
      </c>
      <c r="D75" s="11">
        <f t="shared" si="2"/>
        <v>7.1421578533609953</v>
      </c>
      <c r="E75" s="11">
        <f t="shared" si="3"/>
        <v>494.45708215576133</v>
      </c>
      <c r="F75" s="11">
        <f>Speed_Calc!B$5*E75</f>
        <v>445.01137394018519</v>
      </c>
      <c r="G75" s="14">
        <f>Speed_Calc!G$3+Speed_Calc!G$5*A75^2</f>
        <v>20.0609921</v>
      </c>
      <c r="H75" s="7">
        <f>(F75-G75)/Speed_Calc!G$2*9.806</f>
        <v>3.0867136624628562</v>
      </c>
      <c r="I75" s="4">
        <f t="shared" si="4"/>
        <v>1.0833333333333333</v>
      </c>
    </row>
    <row r="76" spans="1:9" x14ac:dyDescent="0.2">
      <c r="A76" s="11">
        <v>4</v>
      </c>
      <c r="B76" s="14">
        <v>3.133</v>
      </c>
      <c r="C76" s="11">
        <f t="shared" si="5"/>
        <v>518.35975278208855</v>
      </c>
      <c r="D76" s="11">
        <f t="shared" si="2"/>
        <v>7.4083225706787967</v>
      </c>
      <c r="E76" s="11">
        <f t="shared" si="3"/>
        <v>500.06177352081875</v>
      </c>
      <c r="F76" s="11">
        <f>Speed_Calc!B$5*E76</f>
        <v>450.05559616873688</v>
      </c>
      <c r="G76" s="14">
        <f>Speed_Calc!G$3+Speed_Calc!G$5*A76^2</f>
        <v>20.064160000000001</v>
      </c>
      <c r="H76" s="7">
        <f>(F76-G76)/Speed_Calc!G$2*9.806</f>
        <v>3.1233303874597285</v>
      </c>
      <c r="I76" s="4">
        <f t="shared" si="4"/>
        <v>1.1111111111111112</v>
      </c>
    </row>
    <row r="77" spans="1:9" x14ac:dyDescent="0.2">
      <c r="A77" s="11">
        <v>4.0999999999999996</v>
      </c>
      <c r="B77" s="14">
        <v>3.133</v>
      </c>
      <c r="C77" s="11">
        <f t="shared" si="5"/>
        <v>531.31874660164056</v>
      </c>
      <c r="D77" s="11">
        <f t="shared" si="2"/>
        <v>7.6777768080463353</v>
      </c>
      <c r="E77" s="11">
        <f t="shared" si="3"/>
        <v>505.60969223719786</v>
      </c>
      <c r="F77" s="11">
        <f>Speed_Calc!B$5*E77</f>
        <v>455.04872301347808</v>
      </c>
      <c r="G77" s="14">
        <f>Speed_Calc!G$3+Speed_Calc!G$5*A77^2</f>
        <v>20.067408100000002</v>
      </c>
      <c r="H77" s="7">
        <f>(F77-G77)/Speed_Calc!G$2*9.806</f>
        <v>3.1595753881789377</v>
      </c>
      <c r="I77" s="4">
        <f t="shared" si="4"/>
        <v>1.1388888888888888</v>
      </c>
    </row>
    <row r="78" spans="1:9" x14ac:dyDescent="0.2">
      <c r="A78" s="11">
        <v>4.2</v>
      </c>
      <c r="B78" s="14">
        <v>3.133</v>
      </c>
      <c r="C78" s="11">
        <f t="shared" si="5"/>
        <v>544.2777404211929</v>
      </c>
      <c r="D78" s="11">
        <f t="shared" si="2"/>
        <v>7.95046327340809</v>
      </c>
      <c r="E78" s="11">
        <f t="shared" si="3"/>
        <v>511.10121043337728</v>
      </c>
      <c r="F78" s="11">
        <f>Speed_Calc!B$5*E78</f>
        <v>459.99108939003958</v>
      </c>
      <c r="G78" s="14">
        <f>Speed_Calc!G$3+Speed_Calc!G$5*A78^2</f>
        <v>20.070736400000001</v>
      </c>
      <c r="H78" s="7">
        <f>(F78-G78)/Speed_Calc!G$2*9.806</f>
        <v>3.1954510973483909</v>
      </c>
      <c r="I78" s="4">
        <f t="shared" si="4"/>
        <v>1.1666666666666667</v>
      </c>
    </row>
    <row r="79" spans="1:9" x14ac:dyDescent="0.2">
      <c r="A79" s="11">
        <v>4.3</v>
      </c>
      <c r="B79" s="14">
        <v>3.133</v>
      </c>
      <c r="C79" s="11">
        <f t="shared" si="5"/>
        <v>557.23673424074502</v>
      </c>
      <c r="D79" s="11">
        <f t="shared" si="2"/>
        <v>8.2263252083320459</v>
      </c>
      <c r="E79" s="11">
        <f t="shared" si="3"/>
        <v>516.53669912782618</v>
      </c>
      <c r="F79" s="11">
        <f>Speed_Calc!B$5*E79</f>
        <v>464.88302921504356</v>
      </c>
      <c r="G79" s="14">
        <f>Speed_Calc!G$3+Speed_Calc!G$5*A79^2</f>
        <v>20.0741449</v>
      </c>
      <c r="H79" s="7">
        <f>(F79-G79)/Speed_Calc!G$2*9.806</f>
        <v>3.2309599404394937</v>
      </c>
      <c r="I79" s="4">
        <f t="shared" si="4"/>
        <v>1.1944444444444444</v>
      </c>
    </row>
    <row r="80" spans="1:9" x14ac:dyDescent="0.2">
      <c r="A80" s="11">
        <v>4.4000000000000004</v>
      </c>
      <c r="B80" s="14">
        <v>3.133</v>
      </c>
      <c r="C80" s="11">
        <f t="shared" si="5"/>
        <v>570.19572806029748</v>
      </c>
      <c r="D80" s="11">
        <f t="shared" si="2"/>
        <v>8.505306385954178</v>
      </c>
      <c r="E80" s="11">
        <f t="shared" si="3"/>
        <v>521.91652822900619</v>
      </c>
      <c r="F80" s="11">
        <f>Speed_Calc!B$5*E80</f>
        <v>469.72487540610558</v>
      </c>
      <c r="G80" s="14">
        <f>Speed_Calc!G$3+Speed_Calc!G$5*A80^2</f>
        <v>20.077633599999999</v>
      </c>
      <c r="H80" s="7">
        <f>(F80-G80)/Speed_Calc!G$2*9.806</f>
        <v>3.2661043356671637</v>
      </c>
      <c r="I80" s="4">
        <f t="shared" si="4"/>
        <v>1.2222222222222223</v>
      </c>
    </row>
    <row r="81" spans="1:9" x14ac:dyDescent="0.2">
      <c r="A81" s="11">
        <v>4.5</v>
      </c>
      <c r="B81" s="14">
        <v>3.133</v>
      </c>
      <c r="C81" s="11">
        <f t="shared" si="5"/>
        <v>583.15472187984949</v>
      </c>
      <c r="D81" s="11">
        <f t="shared" si="2"/>
        <v>8.7873511089228202</v>
      </c>
      <c r="E81" s="11">
        <f t="shared" si="3"/>
        <v>527.24106653536933</v>
      </c>
      <c r="F81" s="11">
        <f>Speed_Calc!B$5*E81</f>
        <v>474.51695988183241</v>
      </c>
      <c r="G81" s="14">
        <f>Speed_Calc!G$3+Speed_Calc!G$5*A81^2</f>
        <v>20.0812025</v>
      </c>
      <c r="H81" s="7">
        <f>(F81-G81)/Speed_Calc!G$2*9.806</f>
        <v>3.3008866939898134</v>
      </c>
      <c r="I81" s="4">
        <f t="shared" si="4"/>
        <v>1.25</v>
      </c>
    </row>
    <row r="82" spans="1:9" x14ac:dyDescent="0.2">
      <c r="A82" s="11">
        <v>4.5999999999999996</v>
      </c>
      <c r="B82" s="14">
        <v>3.133</v>
      </c>
      <c r="C82" s="11">
        <f t="shared" si="5"/>
        <v>596.11371569940161</v>
      </c>
      <c r="D82" s="11">
        <f t="shared" si="2"/>
        <v>9.0724042073431477</v>
      </c>
      <c r="E82" s="11">
        <f t="shared" si="3"/>
        <v>532.51068173535862</v>
      </c>
      <c r="F82" s="11">
        <f>Speed_Calc!B$5*E82</f>
        <v>479.25961356182279</v>
      </c>
      <c r="G82" s="14">
        <f>Speed_Calc!G$3+Speed_Calc!G$5*A82^2</f>
        <v>20.0848516</v>
      </c>
      <c r="H82" s="7">
        <f>(F82-G82)/Speed_Calc!G$2*9.806</f>
        <v>3.3353094191093589</v>
      </c>
      <c r="I82" s="4">
        <f t="shared" si="4"/>
        <v>1.2777777777777777</v>
      </c>
    </row>
    <row r="83" spans="1:9" x14ac:dyDescent="0.2">
      <c r="A83" s="11">
        <v>4.7</v>
      </c>
      <c r="B83" s="14">
        <v>3.133</v>
      </c>
      <c r="C83" s="11">
        <f t="shared" si="5"/>
        <v>609.07270951895396</v>
      </c>
      <c r="D83" s="11">
        <f t="shared" si="2"/>
        <v>9.3604110367215814</v>
      </c>
      <c r="E83" s="11">
        <f t="shared" si="3"/>
        <v>537.72574040740994</v>
      </c>
      <c r="F83" s="11">
        <f>Speed_Calc!B$5*E83</f>
        <v>483.95316636666894</v>
      </c>
      <c r="G83" s="14">
        <f>Speed_Calc!G$3+Speed_Calc!G$5*A83^2</f>
        <v>20.0885809</v>
      </c>
      <c r="H83" s="7">
        <f>(F83-G83)/Speed_Calc!G$2*9.806</f>
        <v>3.3693749074712258</v>
      </c>
      <c r="I83" s="4">
        <f t="shared" si="4"/>
        <v>1.3055555555555556</v>
      </c>
    </row>
    <row r="84" spans="1:9" x14ac:dyDescent="0.2">
      <c r="A84" s="11">
        <v>4.8</v>
      </c>
      <c r="B84" s="14">
        <v>3.133</v>
      </c>
      <c r="C84" s="11">
        <f t="shared" si="5"/>
        <v>622.03170333850608</v>
      </c>
      <c r="D84" s="11">
        <f t="shared" si="2"/>
        <v>9.6513174759102043</v>
      </c>
      <c r="E84" s="11">
        <f t="shared" si="3"/>
        <v>542.88660801994911</v>
      </c>
      <c r="F84" s="11">
        <f>Speed_Calc!B$5*E84</f>
        <v>488.59794721795419</v>
      </c>
      <c r="G84" s="14">
        <f>Speed_Calc!G$3+Speed_Calc!G$5*A84^2</f>
        <v>20.092390399999999</v>
      </c>
      <c r="H84" s="7">
        <f>(F84-G84)/Speed_Calc!G$2*9.806</f>
        <v>3.4030855482643396</v>
      </c>
      <c r="I84" s="4">
        <f t="shared" si="4"/>
        <v>1.3333333333333333</v>
      </c>
    </row>
    <row r="85" spans="1:9" x14ac:dyDescent="0.2">
      <c r="A85" s="11">
        <v>4.9000000000000004</v>
      </c>
      <c r="B85" s="14">
        <v>3.133</v>
      </c>
      <c r="C85" s="11">
        <f t="shared" si="5"/>
        <v>634.99069715805831</v>
      </c>
      <c r="D85" s="11">
        <f t="shared" si="2"/>
        <v>9.9450699250512145</v>
      </c>
      <c r="E85" s="11">
        <f t="shared" si="3"/>
        <v>547.99364893139352</v>
      </c>
      <c r="F85" s="11">
        <f>Speed_Calc!B$5*E85</f>
        <v>493.19428403825418</v>
      </c>
      <c r="G85" s="14">
        <f>Speed_Calc!G$3+Speed_Calc!G$5*A85^2</f>
        <v>20.096280100000001</v>
      </c>
      <c r="H85" s="7">
        <f>(F85-G85)/Speed_Calc!G$2*9.806</f>
        <v>3.4364437234211263</v>
      </c>
      <c r="I85" s="4">
        <f t="shared" si="4"/>
        <v>1.3611111111111112</v>
      </c>
    </row>
    <row r="86" spans="1:9" x14ac:dyDescent="0.2">
      <c r="A86" s="11">
        <v>5</v>
      </c>
      <c r="B86" s="14">
        <v>3.133</v>
      </c>
      <c r="C86" s="11">
        <f t="shared" si="5"/>
        <v>647.94969097761054</v>
      </c>
      <c r="D86" s="11">
        <f t="shared" si="2"/>
        <v>10.241615303521339</v>
      </c>
      <c r="E86" s="11">
        <f t="shared" si="3"/>
        <v>553.04722639015233</v>
      </c>
      <c r="F86" s="11">
        <f>Speed_Calc!B$5*E86</f>
        <v>497.74250375113712</v>
      </c>
      <c r="G86" s="14">
        <f>Speed_Calc!G$3+Speed_Calc!G$5*A86^2</f>
        <v>20.100249999999999</v>
      </c>
      <c r="H86" s="7">
        <f>(F86-G86)/Speed_Calc!G$2*9.806</f>
        <v>3.4694518076175185</v>
      </c>
      <c r="I86" s="4">
        <f t="shared" si="4"/>
        <v>1.3888888888888888</v>
      </c>
    </row>
    <row r="87" spans="1:9" x14ac:dyDescent="0.2">
      <c r="A87" s="11">
        <v>5.0999999999999996</v>
      </c>
      <c r="B87" s="14">
        <v>3.133</v>
      </c>
      <c r="C87" s="11">
        <f t="shared" si="5"/>
        <v>660.90868479716266</v>
      </c>
      <c r="D87" s="11">
        <f t="shared" si="2"/>
        <v>10.540901047876261</v>
      </c>
      <c r="E87" s="11">
        <f t="shared" si="3"/>
        <v>558.04770253462573</v>
      </c>
      <c r="F87" s="11">
        <f>Speed_Calc!B$5*E87</f>
        <v>502.24293228116318</v>
      </c>
      <c r="G87" s="14">
        <f>Speed_Calc!G$3+Speed_Calc!G$5*A87^2</f>
        <v>20.1043001</v>
      </c>
      <c r="H87" s="7">
        <f>(F87-G87)/Speed_Calc!G$2*9.806</f>
        <v>3.5021121682729524</v>
      </c>
      <c r="I87" s="4">
        <f t="shared" si="4"/>
        <v>1.4166666666666665</v>
      </c>
    </row>
    <row r="88" spans="1:9" x14ac:dyDescent="0.2">
      <c r="A88" s="11">
        <v>5.2</v>
      </c>
      <c r="B88" s="14">
        <v>3.133</v>
      </c>
      <c r="C88" s="11">
        <f t="shared" si="5"/>
        <v>673.8676786167149</v>
      </c>
      <c r="D88" s="11">
        <f t="shared" si="2"/>
        <v>10.842875109795063</v>
      </c>
      <c r="E88" s="11">
        <f t="shared" si="3"/>
        <v>562.99543839320529</v>
      </c>
      <c r="F88" s="11">
        <f>Speed_Calc!B$5*E88</f>
        <v>506.69589455388478</v>
      </c>
      <c r="G88" s="14">
        <f>Speed_Calc!G$3+Speed_Calc!G$5*A88^2</f>
        <v>20.1084304</v>
      </c>
      <c r="H88" s="7">
        <f>(F88-G88)/Speed_Calc!G$2*9.806</f>
        <v>3.5344271655503658</v>
      </c>
      <c r="I88" s="4">
        <f t="shared" si="4"/>
        <v>1.4444444444444444</v>
      </c>
    </row>
    <row r="89" spans="1:9" x14ac:dyDescent="0.2">
      <c r="A89" s="11">
        <v>5.3</v>
      </c>
      <c r="B89" s="14">
        <v>3.133</v>
      </c>
      <c r="C89" s="11">
        <f t="shared" si="5"/>
        <v>686.82667243626702</v>
      </c>
      <c r="D89" s="11">
        <f t="shared" si="2"/>
        <v>11.147485954024631</v>
      </c>
      <c r="E89" s="11">
        <f t="shared" si="3"/>
        <v>567.89079388427376</v>
      </c>
      <c r="F89" s="11">
        <f>Speed_Calc!B$5*E89</f>
        <v>511.10171449584641</v>
      </c>
      <c r="G89" s="14">
        <f>Speed_Calc!G$3+Speed_Calc!G$5*A89^2</f>
        <v>20.112640899999999</v>
      </c>
      <c r="H89" s="7">
        <f>(F89-G89)/Speed_Calc!G$2*9.806</f>
        <v>3.5663991523562002</v>
      </c>
      <c r="I89" s="4">
        <f t="shared" si="4"/>
        <v>1.4722222222222221</v>
      </c>
    </row>
    <row r="90" spans="1:9" x14ac:dyDescent="0.2">
      <c r="A90" s="11">
        <v>5.4</v>
      </c>
      <c r="B90" s="14">
        <v>3.133</v>
      </c>
      <c r="C90" s="11">
        <f t="shared" si="5"/>
        <v>699.78566625581948</v>
      </c>
      <c r="D90" s="11">
        <f t="shared" si="2"/>
        <v>11.454682556324116</v>
      </c>
      <c r="E90" s="11">
        <f t="shared" si="3"/>
        <v>572.73412781620573</v>
      </c>
      <c r="F90" s="11">
        <f>Speed_Calc!B$5*E90</f>
        <v>515.46071503458518</v>
      </c>
      <c r="G90" s="14">
        <f>Speed_Calc!G$3+Speed_Calc!G$5*A90^2</f>
        <v>20.116931600000001</v>
      </c>
      <c r="H90" s="7">
        <f>(F90-G90)/Speed_Calc!G$2*9.806</f>
        <v>3.5980304743404012</v>
      </c>
      <c r="I90" s="4">
        <f t="shared" si="4"/>
        <v>1.5</v>
      </c>
    </row>
    <row r="91" spans="1:9" x14ac:dyDescent="0.2">
      <c r="A91" s="11">
        <v>5.5</v>
      </c>
      <c r="B91" s="14">
        <v>3.133</v>
      </c>
      <c r="C91" s="11">
        <f t="shared" si="5"/>
        <v>712.7446600753716</v>
      </c>
      <c r="D91" s="11">
        <f t="shared" si="2"/>
        <v>11.76441440140931</v>
      </c>
      <c r="E91" s="11">
        <f t="shared" si="3"/>
        <v>577.52579788736602</v>
      </c>
      <c r="F91" s="11">
        <f>Speed_Calc!B$5*E91</f>
        <v>519.7732180986294</v>
      </c>
      <c r="G91" s="14">
        <f>Speed_Calc!G$3+Speed_Calc!G$5*A91^2</f>
        <v>20.121302499999999</v>
      </c>
      <c r="H91" s="7">
        <f>(F91-G91)/Speed_Calc!G$2*9.806</f>
        <v>3.6293234698964145</v>
      </c>
      <c r="I91" s="4">
        <f t="shared" si="4"/>
        <v>1.5277777777777777</v>
      </c>
    </row>
    <row r="92" spans="1:9" x14ac:dyDescent="0.2">
      <c r="A92" s="11">
        <v>5.6</v>
      </c>
      <c r="B92" s="14">
        <v>3.133</v>
      </c>
      <c r="C92" s="11">
        <f t="shared" si="5"/>
        <v>725.70365389492372</v>
      </c>
      <c r="D92" s="11">
        <f t="shared" si="2"/>
        <v>12.076631480897138</v>
      </c>
      <c r="E92" s="11">
        <f t="shared" si="3"/>
        <v>582.26616068611224</v>
      </c>
      <c r="F92" s="11">
        <f>Speed_Calc!B$5*E92</f>
        <v>524.03954461750106</v>
      </c>
      <c r="G92" s="14">
        <f>Speed_Calc!G$3+Speed_Calc!G$5*A92^2</f>
        <v>20.125753599999999</v>
      </c>
      <c r="H92" s="7">
        <f>(F92-G92)/Speed_Calc!G$2*9.806</f>
        <v>3.6602804701611964</v>
      </c>
      <c r="I92" s="4">
        <f t="shared" si="4"/>
        <v>1.5555555555555554</v>
      </c>
    </row>
    <row r="93" spans="1:9" x14ac:dyDescent="0.2">
      <c r="A93" s="11">
        <v>5.7</v>
      </c>
      <c r="B93" s="14">
        <v>3.133</v>
      </c>
      <c r="C93" s="11">
        <f t="shared" si="5"/>
        <v>738.66264771447595</v>
      </c>
      <c r="D93" s="11">
        <f t="shared" si="2"/>
        <v>12.391284291250052</v>
      </c>
      <c r="E93" s="11">
        <f t="shared" si="3"/>
        <v>586.95557169079211</v>
      </c>
      <c r="F93" s="11">
        <f>Speed_Calc!B$5*E93</f>
        <v>528.26001452171295</v>
      </c>
      <c r="G93" s="14">
        <f>Speed_Calc!G$3+Speed_Calc!G$5*A93^2</f>
        <v>20.130284899999999</v>
      </c>
      <c r="H93" s="7">
        <f>(F93-G93)/Speed_Calc!G$2*9.806</f>
        <v>3.6909037990151976</v>
      </c>
      <c r="I93" s="4">
        <f t="shared" si="4"/>
        <v>1.5833333333333333</v>
      </c>
    </row>
    <row r="94" spans="1:9" x14ac:dyDescent="0.2">
      <c r="A94" s="11">
        <v>5.8</v>
      </c>
      <c r="B94" s="14">
        <v>3.133</v>
      </c>
      <c r="C94" s="11">
        <f t="shared" si="5"/>
        <v>751.62164153402819</v>
      </c>
      <c r="D94" s="11">
        <f t="shared" si="2"/>
        <v>12.708323831720451</v>
      </c>
      <c r="E94" s="11">
        <f t="shared" si="3"/>
        <v>591.5943852697452</v>
      </c>
      <c r="F94" s="11">
        <f>Speed_Calc!B$5*E94</f>
        <v>532.43494674277065</v>
      </c>
      <c r="G94" s="14">
        <f>Speed_Calc!G$3+Speed_Calc!G$5*A94^2</f>
        <v>20.134896399999999</v>
      </c>
      <c r="H94" s="7">
        <f>(F94-G94)/Speed_Calc!G$2*9.806</f>
        <v>3.7211957730823766</v>
      </c>
      <c r="I94" s="4">
        <f t="shared" si="4"/>
        <v>1.6111111111111109</v>
      </c>
    </row>
    <row r="95" spans="1:9" x14ac:dyDescent="0.2">
      <c r="A95" s="11">
        <v>5.9</v>
      </c>
      <c r="B95" s="14">
        <v>3.133</v>
      </c>
      <c r="C95" s="11">
        <f t="shared" si="5"/>
        <v>764.58063535358042</v>
      </c>
      <c r="D95" s="11">
        <f t="shared" si="2"/>
        <v>13.027701602295124</v>
      </c>
      <c r="E95" s="11">
        <f t="shared" si="3"/>
        <v>596.18295468130236</v>
      </c>
      <c r="F95" s="11">
        <f>Speed_Calc!B$5*E95</f>
        <v>536.56465921317215</v>
      </c>
      <c r="G95" s="14">
        <f>Speed_Calc!G$3+Speed_Calc!G$5*A95^2</f>
        <v>20.139588100000001</v>
      </c>
      <c r="H95" s="7">
        <f>(F95-G95)/Speed_Calc!G$2*9.806</f>
        <v>3.7511587017301973</v>
      </c>
      <c r="I95" s="4">
        <f t="shared" si="4"/>
        <v>1.6388888888888888</v>
      </c>
    </row>
    <row r="96" spans="1:9" x14ac:dyDescent="0.2">
      <c r="A96" s="11">
        <v>6</v>
      </c>
      <c r="B96" s="14">
        <v>3.133</v>
      </c>
      <c r="C96" s="11">
        <f t="shared" si="5"/>
        <v>777.53962917313277</v>
      </c>
      <c r="D96" s="11">
        <f t="shared" si="2"/>
        <v>13.349369601639687</v>
      </c>
      <c r="E96" s="11">
        <f t="shared" si="3"/>
        <v>600.72163207378583</v>
      </c>
      <c r="F96" s="11">
        <f>Speed_Calc!B$5*E96</f>
        <v>540.64946886640723</v>
      </c>
      <c r="G96" s="14">
        <f>Speed_Calc!G$3+Speed_Calc!G$5*A96^2</f>
        <v>20.144359999999999</v>
      </c>
      <c r="H96" s="7">
        <f>(F96-G96)/Speed_Calc!G$2*9.806</f>
        <v>3.7807948870696215</v>
      </c>
      <c r="I96" s="4">
        <f t="shared" si="4"/>
        <v>1.6666666666666665</v>
      </c>
    </row>
    <row r="97" spans="1:9" x14ac:dyDescent="0.2">
      <c r="A97" s="11">
        <v>6.1</v>
      </c>
      <c r="B97" s="14">
        <v>3.133</v>
      </c>
      <c r="C97" s="11">
        <f t="shared" si="5"/>
        <v>790.49862299268466</v>
      </c>
      <c r="D97" s="11">
        <f t="shared" si="2"/>
        <v>13.673280325042976</v>
      </c>
      <c r="E97" s="11">
        <f t="shared" si="3"/>
        <v>605.21076848550888</v>
      </c>
      <c r="F97" s="11">
        <f>Speed_Calc!B$5*E97</f>
        <v>544.68969163695806</v>
      </c>
      <c r="G97" s="14">
        <f>Speed_Calc!G$3+Speed_Calc!G$5*A97^2</f>
        <v>20.1492121</v>
      </c>
      <c r="H97" s="7">
        <f>(F97-G97)/Speed_Calc!G$2*9.806</f>
        <v>3.8101066239551189</v>
      </c>
      <c r="I97" s="4">
        <f t="shared" si="4"/>
        <v>1.6944444444444442</v>
      </c>
    </row>
    <row r="98" spans="1:9" x14ac:dyDescent="0.2">
      <c r="A98" s="11">
        <v>6.2</v>
      </c>
      <c r="B98" s="14">
        <v>3.133</v>
      </c>
      <c r="C98" s="11">
        <f t="shared" si="5"/>
        <v>803.45761681223712</v>
      </c>
      <c r="D98" s="11">
        <f t="shared" si="2"/>
        <v>13.999386762361539</v>
      </c>
      <c r="E98" s="11">
        <f t="shared" si="3"/>
        <v>609.65071384477676</v>
      </c>
      <c r="F98" s="11">
        <f>Speed_Calc!B$5*E98</f>
        <v>548.68564246029905</v>
      </c>
      <c r="G98" s="14">
        <f>Speed_Calc!G$3+Speed_Calc!G$5*A98^2</f>
        <v>20.1541444</v>
      </c>
      <c r="H98" s="7">
        <f>(F98-G98)/Speed_Calc!G$2*9.806</f>
        <v>3.8390961999846609</v>
      </c>
      <c r="I98" s="4">
        <f t="shared" si="4"/>
        <v>1.7222222222222223</v>
      </c>
    </row>
    <row r="99" spans="1:9" x14ac:dyDescent="0.2">
      <c r="A99" s="11">
        <v>6.3</v>
      </c>
      <c r="B99" s="14">
        <v>3.133</v>
      </c>
      <c r="C99" s="11">
        <f t="shared" si="5"/>
        <v>816.41661063178924</v>
      </c>
      <c r="D99" s="11">
        <f t="shared" si="2"/>
        <v>14.327642395963984</v>
      </c>
      <c r="E99" s="11">
        <f t="shared" si="3"/>
        <v>614.04181696988519</v>
      </c>
      <c r="F99" s="11">
        <f>Speed_Calc!B$5*E99</f>
        <v>552.63763527289666</v>
      </c>
      <c r="G99" s="14">
        <f>Speed_Calc!G$3+Speed_Calc!G$5*A99^2</f>
        <v>20.159156899999999</v>
      </c>
      <c r="H99" s="7">
        <f>(F99-G99)/Speed_Calc!G$2*9.806</f>
        <v>3.8677658954997218</v>
      </c>
      <c r="I99" s="4">
        <f t="shared" si="4"/>
        <v>1.75</v>
      </c>
    </row>
    <row r="100" spans="1:9" x14ac:dyDescent="0.2">
      <c r="A100" s="11">
        <v>6.4</v>
      </c>
      <c r="B100" s="14">
        <v>3.133</v>
      </c>
      <c r="C100" s="11">
        <f t="shared" si="5"/>
        <v>829.37560445134159</v>
      </c>
      <c r="D100" s="11">
        <f t="shared" si="2"/>
        <v>14.658001198675475</v>
      </c>
      <c r="E100" s="11">
        <f t="shared" si="3"/>
        <v>618.3844255691215</v>
      </c>
      <c r="F100" s="11">
        <f>Speed_Calc!B$5*E100</f>
        <v>556.54598301220938</v>
      </c>
      <c r="G100" s="14">
        <f>Speed_Calc!G$3+Speed_Calc!G$5*A100^2</f>
        <v>20.164249600000002</v>
      </c>
      <c r="H100" s="7">
        <f>(F100-G100)/Speed_Calc!G$2*9.806</f>
        <v>3.8961179835852779</v>
      </c>
      <c r="I100" s="4">
        <f t="shared" si="4"/>
        <v>1.7777777777777779</v>
      </c>
    </row>
    <row r="101" spans="1:9" x14ac:dyDescent="0.2">
      <c r="A101" s="11">
        <v>6.5</v>
      </c>
      <c r="B101" s="14">
        <v>3.133</v>
      </c>
      <c r="C101" s="11">
        <f t="shared" si="5"/>
        <v>842.33459827089382</v>
      </c>
      <c r="D101" s="11">
        <f t="shared" ref="D101:D164" si="6">-4.687*10^(-17)*C101^5+9.129*10^(-13)*C101^4-6.175*10^(-9)*C101^3+1.799*10^(-5)*C101^2+6.502*10^(-3)*C101</f>
        <v>14.990417631722121</v>
      </c>
      <c r="E101" s="11">
        <f t="shared" si="3"/>
        <v>622.678886240765</v>
      </c>
      <c r="F101" s="11">
        <f>Speed_Calc!B$5*E101</f>
        <v>560.41099761668852</v>
      </c>
      <c r="G101" s="14">
        <f>Speed_Calc!G$3+Speed_Calc!G$5*A101^2</f>
        <v>20.1694225</v>
      </c>
      <c r="H101" s="7">
        <f>(F101-G101)/Speed_Calc!G$2*9.806</f>
        <v>3.9241547300698127</v>
      </c>
      <c r="I101" s="4">
        <f t="shared" si="4"/>
        <v>1.8055555555555556</v>
      </c>
    </row>
    <row r="102" spans="1:9" x14ac:dyDescent="0.2">
      <c r="A102" s="11">
        <v>6.6</v>
      </c>
      <c r="B102" s="14">
        <v>3.133</v>
      </c>
      <c r="C102" s="11">
        <f t="shared" si="5"/>
        <v>855.29359209044583</v>
      </c>
      <c r="D102" s="11">
        <f t="shared" si="6"/>
        <v>15.324846642675412</v>
      </c>
      <c r="E102" s="11">
        <f t="shared" ref="E102:E165" si="7">D102*75*B102*B$31*B$32/B$23/C102/2/PI()*60</f>
        <v>626.92554447308498</v>
      </c>
      <c r="F102" s="11">
        <f>Speed_Calc!B$5*E102</f>
        <v>564.23299002577653</v>
      </c>
      <c r="G102" s="14">
        <f>Speed_Calc!G$3+Speed_Calc!G$5*A102^2</f>
        <v>20.1746756</v>
      </c>
      <c r="H102" s="7">
        <f>(F102-G102)/Speed_Calc!G$2*9.806</f>
        <v>3.9518783935253068</v>
      </c>
      <c r="I102" s="4">
        <f t="shared" ref="I102:I165" si="8">A102/3.6</f>
        <v>1.8333333333333333</v>
      </c>
    </row>
    <row r="103" spans="1:9" x14ac:dyDescent="0.2">
      <c r="A103" s="11">
        <v>6.7</v>
      </c>
      <c r="B103" s="14">
        <v>3.133</v>
      </c>
      <c r="C103" s="11">
        <f t="shared" si="5"/>
        <v>868.25258590999829</v>
      </c>
      <c r="D103" s="11">
        <f t="shared" si="6"/>
        <v>15.661243663396686</v>
      </c>
      <c r="E103" s="11">
        <f t="shared" si="7"/>
        <v>631.12474464434399</v>
      </c>
      <c r="F103" s="11">
        <f>Speed_Calc!B$5*E103</f>
        <v>568.01227017990959</v>
      </c>
      <c r="G103" s="14">
        <f>Speed_Calc!G$3+Speed_Calc!G$5*A103^2</f>
        <v>20.180008900000001</v>
      </c>
      <c r="H103" s="7">
        <f>(F103-G103)/Speed_Calc!G$2*9.806</f>
        <v>3.9792912252672545</v>
      </c>
      <c r="I103" s="4">
        <f t="shared" si="8"/>
        <v>1.8611111111111112</v>
      </c>
    </row>
    <row r="104" spans="1:9" x14ac:dyDescent="0.2">
      <c r="A104" s="11">
        <v>6.8</v>
      </c>
      <c r="B104" s="14">
        <v>3.133</v>
      </c>
      <c r="C104" s="11">
        <f t="shared" si="5"/>
        <v>881.21157972955018</v>
      </c>
      <c r="D104" s="11">
        <f t="shared" si="6"/>
        <v>15.999564607981471</v>
      </c>
      <c r="E104" s="11">
        <f t="shared" si="7"/>
        <v>635.27683002279389</v>
      </c>
      <c r="F104" s="11">
        <f>Speed_Calc!B$5*E104</f>
        <v>571.74914702051456</v>
      </c>
      <c r="G104" s="14">
        <f>Speed_Calc!G$3+Speed_Calc!G$5*A104^2</f>
        <v>20.1854224</v>
      </c>
      <c r="H104" s="7">
        <f>(F104-G104)/Speed_Calc!G$2*9.806</f>
        <v>4.0063954693546409</v>
      </c>
      <c r="I104" s="4">
        <f t="shared" si="8"/>
        <v>1.8888888888888888</v>
      </c>
    </row>
    <row r="105" spans="1:9" x14ac:dyDescent="0.2">
      <c r="A105" s="11">
        <v>6.9</v>
      </c>
      <c r="B105" s="14">
        <v>3.133</v>
      </c>
      <c r="C105" s="11">
        <f t="shared" si="5"/>
        <v>894.17057354910276</v>
      </c>
      <c r="D105" s="11">
        <f t="shared" si="6"/>
        <v>16.339765870704021</v>
      </c>
      <c r="E105" s="11">
        <f t="shared" si="7"/>
        <v>639.38214276667884</v>
      </c>
      <c r="F105" s="11">
        <f>Speed_Calc!B$5*E105</f>
        <v>575.44392849001099</v>
      </c>
      <c r="G105" s="14">
        <f>Speed_Calc!G$3+Speed_Calc!G$5*A105^2</f>
        <v>20.190916099999999</v>
      </c>
      <c r="H105" s="7">
        <f>(F105-G105)/Speed_Calc!G$2*9.806</f>
        <v>4.0331933625899605</v>
      </c>
      <c r="I105" s="4">
        <f t="shared" si="8"/>
        <v>1.9166666666666667</v>
      </c>
    </row>
    <row r="106" spans="1:9" x14ac:dyDescent="0.2">
      <c r="A106" s="11">
        <v>7</v>
      </c>
      <c r="B106" s="14">
        <v>3.133</v>
      </c>
      <c r="C106" s="11">
        <f t="shared" si="5"/>
        <v>907.12956736865476</v>
      </c>
      <c r="D106" s="11">
        <f t="shared" si="6"/>
        <v>16.681804323961636</v>
      </c>
      <c r="E106" s="11">
        <f t="shared" si="7"/>
        <v>643.44102392423451</v>
      </c>
      <c r="F106" s="11">
        <f>Speed_Calc!B$5*E106</f>
        <v>579.09692153181106</v>
      </c>
      <c r="G106" s="14">
        <f>Speed_Calc!G$3+Speed_Calc!G$5*A106^2</f>
        <v>20.196490000000001</v>
      </c>
      <c r="H106" s="7">
        <f>(F106-G106)/Speed_Calc!G$2*9.806</f>
        <v>4.0596871345192138</v>
      </c>
      <c r="I106" s="4">
        <f t="shared" si="8"/>
        <v>1.9444444444444444</v>
      </c>
    </row>
    <row r="107" spans="1:9" x14ac:dyDescent="0.2">
      <c r="A107" s="11">
        <v>7.1</v>
      </c>
      <c r="B107" s="14">
        <v>3.133</v>
      </c>
      <c r="C107" s="11">
        <f t="shared" ref="C107:C170" si="9">A107/3.6/B$23/2/PI()*B$32*B$31*B107*60</f>
        <v>920.08856118820677</v>
      </c>
      <c r="D107" s="11">
        <f t="shared" si="6"/>
        <v>17.025637316219189</v>
      </c>
      <c r="E107" s="11">
        <f t="shared" si="7"/>
        <v>647.45381343368763</v>
      </c>
      <c r="F107" s="11">
        <f>Speed_Calc!B$5*E107</f>
        <v>582.70843209031887</v>
      </c>
      <c r="G107" s="14">
        <f>Speed_Calc!G$3+Speed_Calc!G$5*A107^2</f>
        <v>20.202144100000002</v>
      </c>
      <c r="H107" s="7">
        <f>(F107-G107)/Speed_Calc!G$2*9.806</f>
        <v>4.0858790074319007</v>
      </c>
      <c r="I107" s="4">
        <f t="shared" si="8"/>
        <v>1.9722222222222221</v>
      </c>
    </row>
    <row r="108" spans="1:9" x14ac:dyDescent="0.2">
      <c r="A108" s="11">
        <v>7.2</v>
      </c>
      <c r="B108" s="14">
        <v>3.133</v>
      </c>
      <c r="C108" s="11">
        <f t="shared" si="9"/>
        <v>933.04755500775912</v>
      </c>
      <c r="D108" s="11">
        <f t="shared" si="6"/>
        <v>17.371222669953493</v>
      </c>
      <c r="E108" s="11">
        <f t="shared" si="7"/>
        <v>651.42085012325617</v>
      </c>
      <c r="F108" s="11">
        <f>Speed_Calc!B$5*E108</f>
        <v>586.27876511093052</v>
      </c>
      <c r="G108" s="14">
        <f>Speed_Calc!G$3+Speed_Calc!G$5*A108^2</f>
        <v>20.207878399999998</v>
      </c>
      <c r="H108" s="7">
        <f>(F108-G108)/Speed_Calc!G$2*9.806</f>
        <v>4.1117711963610253</v>
      </c>
      <c r="I108" s="4">
        <f t="shared" si="8"/>
        <v>2</v>
      </c>
    </row>
    <row r="109" spans="1:9" x14ac:dyDescent="0.2">
      <c r="A109" s="11">
        <v>7.3</v>
      </c>
      <c r="B109" s="14">
        <v>3.133</v>
      </c>
      <c r="C109" s="11">
        <f t="shared" si="9"/>
        <v>946.00654882731124</v>
      </c>
      <c r="D109" s="11">
        <f t="shared" si="6"/>
        <v>17.718518679597736</v>
      </c>
      <c r="E109" s="11">
        <f t="shared" si="7"/>
        <v>655.34247171114919</v>
      </c>
      <c r="F109" s="11">
        <f>Speed_Calc!B$5*E109</f>
        <v>589.8082245400343</v>
      </c>
      <c r="G109" s="14">
        <f>Speed_Calc!G$3+Speed_Calc!G$5*A109^2</f>
        <v>20.213692900000002</v>
      </c>
      <c r="H109" s="7">
        <f>(F109-G109)/Speed_Calc!G$2*9.806</f>
        <v>4.1373659090830941</v>
      </c>
      <c r="I109" s="4">
        <f t="shared" si="8"/>
        <v>2.0277777777777777</v>
      </c>
    </row>
    <row r="110" spans="1:9" x14ac:dyDescent="0.2">
      <c r="A110" s="11">
        <v>7.4</v>
      </c>
      <c r="B110" s="14">
        <v>3.133</v>
      </c>
      <c r="C110" s="11">
        <f t="shared" si="9"/>
        <v>958.96554264686381</v>
      </c>
      <c r="D110" s="11">
        <f t="shared" si="6"/>
        <v>18.067484109485939</v>
      </c>
      <c r="E110" s="11">
        <f t="shared" si="7"/>
        <v>659.21901480556812</v>
      </c>
      <c r="F110" s="11">
        <f>Speed_Calc!B$5*E110</f>
        <v>593.29711332501131</v>
      </c>
      <c r="G110" s="14">
        <f>Speed_Calc!G$3+Speed_Calc!G$5*A110^2</f>
        <v>20.219587600000001</v>
      </c>
      <c r="H110" s="7">
        <f>(F110-G110)/Speed_Calc!G$2*9.806</f>
        <v>4.1626653461181187</v>
      </c>
      <c r="I110" s="4">
        <f t="shared" si="8"/>
        <v>2.0555555555555558</v>
      </c>
    </row>
    <row r="111" spans="1:9" x14ac:dyDescent="0.2">
      <c r="A111" s="11">
        <v>7.5</v>
      </c>
      <c r="B111" s="14">
        <v>3.133</v>
      </c>
      <c r="C111" s="11">
        <f t="shared" si="9"/>
        <v>971.92453646641604</v>
      </c>
      <c r="D111" s="11">
        <f t="shared" si="6"/>
        <v>18.418078191797338</v>
      </c>
      <c r="E111" s="11">
        <f t="shared" si="7"/>
        <v>663.050814904704</v>
      </c>
      <c r="F111" s="11">
        <f>Speed_Calc!B$5*E111</f>
        <v>596.74573341423365</v>
      </c>
      <c r="G111" s="14">
        <f>Speed_Calc!G$3+Speed_Calc!G$5*A111^2</f>
        <v>20.225562499999999</v>
      </c>
      <c r="H111" s="7">
        <f>(F111-G111)/Speed_Calc!G$2*9.806</f>
        <v>4.1876717007296111</v>
      </c>
      <c r="I111" s="4">
        <f t="shared" si="8"/>
        <v>2.0833333333333335</v>
      </c>
    </row>
    <row r="112" spans="1:9" x14ac:dyDescent="0.2">
      <c r="A112" s="11">
        <v>7.6</v>
      </c>
      <c r="B112" s="14">
        <v>3.133</v>
      </c>
      <c r="C112" s="11">
        <f t="shared" si="9"/>
        <v>984.88353028596794</v>
      </c>
      <c r="D112" s="11">
        <f t="shared" si="6"/>
        <v>18.770260624500853</v>
      </c>
      <c r="E112" s="11">
        <f t="shared" si="7"/>
        <v>666.8382063967407</v>
      </c>
      <c r="F112" s="11">
        <f>Speed_Calc!B$5*E112</f>
        <v>600.15438575706662</v>
      </c>
      <c r="G112" s="14">
        <f>Speed_Calc!G$3+Speed_Calc!G$5*A112^2</f>
        <v>20.2316176</v>
      </c>
      <c r="H112" s="7">
        <f>(F112-G112)/Speed_Calc!G$2*9.806</f>
        <v>4.2123871589245887</v>
      </c>
      <c r="I112" s="4">
        <f t="shared" si="8"/>
        <v>2.1111111111111112</v>
      </c>
    </row>
    <row r="113" spans="1:9" x14ac:dyDescent="0.2">
      <c r="A113" s="11">
        <v>7.7</v>
      </c>
      <c r="B113" s="14">
        <v>3.133</v>
      </c>
      <c r="C113" s="11">
        <f t="shared" si="9"/>
        <v>997.8425241055204</v>
      </c>
      <c r="D113" s="11">
        <f t="shared" si="6"/>
        <v>19.123991569299527</v>
      </c>
      <c r="E113" s="11">
        <f t="shared" si="7"/>
        <v>670.5815225598534</v>
      </c>
      <c r="F113" s="11">
        <f>Speed_Calc!B$5*E113</f>
        <v>603.52337030386809</v>
      </c>
      <c r="G113" s="14">
        <f>Speed_Calc!G$3+Speed_Calc!G$5*A113^2</f>
        <v>20.2377529</v>
      </c>
      <c r="H113" s="7">
        <f>(F113-G113)/Speed_Calc!G$2*9.806</f>
        <v>4.2368138994535771</v>
      </c>
      <c r="I113" s="4">
        <f t="shared" si="8"/>
        <v>2.1388888888888888</v>
      </c>
    </row>
    <row r="114" spans="1:9" x14ac:dyDescent="0.2">
      <c r="A114" s="11">
        <v>7.8</v>
      </c>
      <c r="B114" s="14">
        <v>3.133</v>
      </c>
      <c r="C114" s="11">
        <f t="shared" si="9"/>
        <v>1010.8015179250723</v>
      </c>
      <c r="D114" s="11">
        <f t="shared" si="6"/>
        <v>19.479231649574871</v>
      </c>
      <c r="E114" s="11">
        <f t="shared" si="7"/>
        <v>674.28109556220716</v>
      </c>
      <c r="F114" s="11">
        <f>Speed_Calc!B$5*E114</f>
        <v>606.85298600598651</v>
      </c>
      <c r="G114" s="14">
        <f>Speed_Calc!G$3+Speed_Calc!G$5*A114^2</f>
        <v>20.2439684</v>
      </c>
      <c r="H114" s="7">
        <f>(F114-G114)/Speed_Calc!G$2*9.806</f>
        <v>4.2609540938105948</v>
      </c>
      <c r="I114" s="4">
        <f t="shared" si="8"/>
        <v>2.1666666666666665</v>
      </c>
    </row>
    <row r="115" spans="1:9" x14ac:dyDescent="0.2">
      <c r="A115" s="11">
        <v>7.9</v>
      </c>
      <c r="B115" s="14">
        <v>3.133</v>
      </c>
      <c r="C115" s="11">
        <f t="shared" si="9"/>
        <v>1023.7605117446246</v>
      </c>
      <c r="D115" s="11">
        <f t="shared" si="6"/>
        <v>19.835941948331424</v>
      </c>
      <c r="E115" s="11">
        <f t="shared" si="7"/>
        <v>677.93725646196003</v>
      </c>
      <c r="F115" s="11">
        <f>Speed_Calc!B$5*E115</f>
        <v>610.14353081576405</v>
      </c>
      <c r="G115" s="14">
        <f>Speed_Calc!G$3+Speed_Calc!G$5*A115^2</f>
        <v>20.250264099999999</v>
      </c>
      <c r="H115" s="7">
        <f>(F115-G115)/Speed_Calc!G$2*9.806</f>
        <v>4.2848099062331713</v>
      </c>
      <c r="I115" s="4">
        <f t="shared" si="8"/>
        <v>2.1944444444444446</v>
      </c>
    </row>
    <row r="116" spans="1:9" x14ac:dyDescent="0.2">
      <c r="A116" s="11">
        <v>8</v>
      </c>
      <c r="B116" s="14">
        <v>3.133</v>
      </c>
      <c r="C116" s="11">
        <f t="shared" si="9"/>
        <v>1036.7195055641771</v>
      </c>
      <c r="D116" s="11">
        <f t="shared" si="6"/>
        <v>20.194084006141047</v>
      </c>
      <c r="E116" s="11">
        <f t="shared" si="7"/>
        <v>681.55033520726022</v>
      </c>
      <c r="F116" s="11">
        <f>Speed_Calc!B$5*E116</f>
        <v>613.39530168653425</v>
      </c>
      <c r="G116" s="14">
        <f>Speed_Calc!G$3+Speed_Calc!G$5*A116^2</f>
        <v>20.256640000000001</v>
      </c>
      <c r="H116" s="7">
        <f>(F116-G116)/Speed_Calc!G$2*9.806</f>
        <v>4.3083834937023369</v>
      </c>
      <c r="I116" s="4">
        <f t="shared" si="8"/>
        <v>2.2222222222222223</v>
      </c>
    </row>
    <row r="117" spans="1:9" x14ac:dyDescent="0.2">
      <c r="A117" s="11">
        <v>8.1</v>
      </c>
      <c r="B117" s="14">
        <v>3.133</v>
      </c>
      <c r="C117" s="11">
        <f t="shared" si="9"/>
        <v>1049.6784993837291</v>
      </c>
      <c r="D117" s="11">
        <f t="shared" si="6"/>
        <v>20.55361981908743</v>
      </c>
      <c r="E117" s="11">
        <f t="shared" si="7"/>
        <v>685.12066063624764</v>
      </c>
      <c r="F117" s="11">
        <f>Speed_Calc!B$5*E117</f>
        <v>616.60859457262291</v>
      </c>
      <c r="G117" s="14">
        <f>Speed_Calc!G$3+Speed_Calc!G$5*A117^2</f>
        <v>20.263096099999999</v>
      </c>
      <c r="H117" s="7">
        <f>(F117-G117)/Speed_Calc!G$2*9.806</f>
        <v>4.3316770059426224</v>
      </c>
      <c r="I117" s="4">
        <f t="shared" si="8"/>
        <v>2.25</v>
      </c>
    </row>
    <row r="118" spans="1:9" x14ac:dyDescent="0.2">
      <c r="A118" s="11">
        <v>8.1999999999999993</v>
      </c>
      <c r="B118" s="14">
        <v>3.133</v>
      </c>
      <c r="C118" s="11">
        <f t="shared" si="9"/>
        <v>1062.6374932032811</v>
      </c>
      <c r="D118" s="11">
        <f t="shared" si="6"/>
        <v>20.914511836710524</v>
      </c>
      <c r="E118" s="11">
        <f t="shared" si="7"/>
        <v>688.64856047705393</v>
      </c>
      <c r="F118" s="11">
        <f>Speed_Calc!B$5*E118</f>
        <v>619.78370442934852</v>
      </c>
      <c r="G118" s="14">
        <f>Speed_Calc!G$3+Speed_Calc!G$5*A118^2</f>
        <v>20.269632399999999</v>
      </c>
      <c r="H118" s="7">
        <f>(F118-G118)/Speed_Calc!G$2*9.806</f>
        <v>4.3546925854220673</v>
      </c>
      <c r="I118" s="4">
        <f t="shared" si="8"/>
        <v>2.2777777777777777</v>
      </c>
    </row>
    <row r="119" spans="1:9" x14ac:dyDescent="0.2">
      <c r="A119" s="11">
        <v>8.3000000000000007</v>
      </c>
      <c r="B119" s="14">
        <v>3.133</v>
      </c>
      <c r="C119" s="11">
        <f t="shared" si="9"/>
        <v>1075.5964870228336</v>
      </c>
      <c r="D119" s="11">
        <f t="shared" si="6"/>
        <v>21.276722959950938</v>
      </c>
      <c r="E119" s="11">
        <f t="shared" si="7"/>
        <v>692.1343613478017</v>
      </c>
      <c r="F119" s="11">
        <f>Speed_Calc!B$5*E119</f>
        <v>622.92092521302152</v>
      </c>
      <c r="G119" s="14">
        <f>Speed_Calc!G$3+Speed_Calc!G$5*A119^2</f>
        <v>20.276248899999999</v>
      </c>
      <c r="H119" s="7">
        <f>(F119-G119)/Speed_Calc!G$2*9.806</f>
        <v>4.3774323673522133</v>
      </c>
      <c r="I119" s="4">
        <f t="shared" si="8"/>
        <v>2.3055555555555558</v>
      </c>
    </row>
    <row r="120" spans="1:9" x14ac:dyDescent="0.2">
      <c r="A120" s="11">
        <v>8.4</v>
      </c>
      <c r="B120" s="14">
        <v>3.133</v>
      </c>
      <c r="C120" s="11">
        <f t="shared" si="9"/>
        <v>1088.5554808423858</v>
      </c>
      <c r="D120" s="11">
        <f t="shared" si="6"/>
        <v>21.640216539094361</v>
      </c>
      <c r="E120" s="11">
        <f t="shared" si="7"/>
        <v>695.57838875660434</v>
      </c>
      <c r="F120" s="11">
        <f>Speed_Calc!B$5*E120</f>
        <v>626.02054988094392</v>
      </c>
      <c r="G120" s="14">
        <f>Speed_Calc!G$3+Speed_Calc!G$5*A120^2</f>
        <v>20.282945600000001</v>
      </c>
      <c r="H120" s="7">
        <f>(F120-G120)/Speed_Calc!G$2*9.806</f>
        <v>4.3998984796881011</v>
      </c>
      <c r="I120" s="4">
        <f t="shared" si="8"/>
        <v>2.3333333333333335</v>
      </c>
    </row>
    <row r="121" spans="1:9" x14ac:dyDescent="0.2">
      <c r="A121" s="11">
        <v>8.5</v>
      </c>
      <c r="B121" s="14">
        <v>3.133</v>
      </c>
      <c r="C121" s="11">
        <f t="shared" si="9"/>
        <v>1101.514474661938</v>
      </c>
      <c r="D121" s="11">
        <f t="shared" si="6"/>
        <v>22.004956371716027</v>
      </c>
      <c r="E121" s="11">
        <f t="shared" si="7"/>
        <v>698.98096710156778</v>
      </c>
      <c r="F121" s="11">
        <f>Speed_Calc!B$5*E121</f>
        <v>629.08287039141101</v>
      </c>
      <c r="G121" s="14">
        <f>Speed_Calc!G$3+Speed_Calc!G$5*A121^2</f>
        <v>20.2897225</v>
      </c>
      <c r="H121" s="7">
        <f>(F121-G121)/Speed_Calc!G$2*9.806</f>
        <v>4.4220930431282781</v>
      </c>
      <c r="I121" s="4">
        <f t="shared" si="8"/>
        <v>2.3611111111111112</v>
      </c>
    </row>
    <row r="122" spans="1:9" x14ac:dyDescent="0.2">
      <c r="A122" s="11">
        <v>8.6</v>
      </c>
      <c r="B122" s="14">
        <v>3.133</v>
      </c>
      <c r="C122" s="11">
        <f t="shared" si="9"/>
        <v>1114.47346848149</v>
      </c>
      <c r="D122" s="11">
        <f t="shared" si="6"/>
        <v>22.370906700625103</v>
      </c>
      <c r="E122" s="11">
        <f t="shared" si="7"/>
        <v>702.34241967078822</v>
      </c>
      <c r="F122" s="11">
        <f>Speed_Calc!B$5*E122</f>
        <v>632.10817770370943</v>
      </c>
      <c r="G122" s="14">
        <f>Speed_Calc!G$3+Speed_Calc!G$5*A122^2</f>
        <v>20.296579600000001</v>
      </c>
      <c r="H122" s="7">
        <f>(F122-G122)/Speed_Calc!G$2*9.806</f>
        <v>4.4440181711147959</v>
      </c>
      <c r="I122" s="4">
        <f t="shared" si="8"/>
        <v>2.3888888888888888</v>
      </c>
    </row>
    <row r="123" spans="1:9" x14ac:dyDescent="0.2">
      <c r="A123" s="11">
        <v>8.6999999999999993</v>
      </c>
      <c r="B123" s="14">
        <v>3.133</v>
      </c>
      <c r="C123" s="11">
        <f t="shared" si="9"/>
        <v>1127.4324623010423</v>
      </c>
      <c r="D123" s="11">
        <f t="shared" si="6"/>
        <v>22.73803221180917</v>
      </c>
      <c r="E123" s="11">
        <f t="shared" si="7"/>
        <v>705.66306864235366</v>
      </c>
      <c r="F123" s="11">
        <f>Speed_Calc!B$5*E123</f>
        <v>635.09676177811832</v>
      </c>
      <c r="G123" s="14">
        <f>Speed_Calc!G$3+Speed_Calc!G$5*A123^2</f>
        <v>20.303516899999998</v>
      </c>
      <c r="H123" s="7">
        <f>(F123-G123)/Speed_Calc!G$2*9.806</f>
        <v>4.4656759698332058</v>
      </c>
      <c r="I123" s="4">
        <f t="shared" si="8"/>
        <v>2.4166666666666665</v>
      </c>
    </row>
    <row r="124" spans="1:9" x14ac:dyDescent="0.2">
      <c r="A124" s="11">
        <v>8.8000000000000007</v>
      </c>
      <c r="B124" s="14">
        <v>3.133</v>
      </c>
      <c r="C124" s="11">
        <f t="shared" si="9"/>
        <v>1140.391456120595</v>
      </c>
      <c r="D124" s="11">
        <f t="shared" si="6"/>
        <v>23.106298032378611</v>
      </c>
      <c r="E124" s="11">
        <f t="shared" si="7"/>
        <v>708.94323508434354</v>
      </c>
      <c r="F124" s="11">
        <f>Speed_Calc!B$5*E124</f>
        <v>638.04891157590919</v>
      </c>
      <c r="G124" s="14">
        <f>Speed_Calc!G$3+Speed_Calc!G$5*A124^2</f>
        <v>20.310534400000002</v>
      </c>
      <c r="H124" s="7">
        <f>(F124-G124)/Speed_Calc!G$2*9.806</f>
        <v>4.4870685382125659</v>
      </c>
      <c r="I124" s="4">
        <f t="shared" si="8"/>
        <v>2.4444444444444446</v>
      </c>
    </row>
    <row r="125" spans="1:9" x14ac:dyDescent="0.2">
      <c r="A125" s="11">
        <v>8.9</v>
      </c>
      <c r="B125" s="14">
        <v>3.133</v>
      </c>
      <c r="C125" s="11">
        <f t="shared" si="9"/>
        <v>1153.3504499401465</v>
      </c>
      <c r="D125" s="11">
        <f t="shared" si="6"/>
        <v>23.475669728510994</v>
      </c>
      <c r="E125" s="11">
        <f t="shared" si="7"/>
        <v>712.18323895482797</v>
      </c>
      <c r="F125" s="11">
        <f>Speed_Calc!B$5*E125</f>
        <v>640.96491505934523</v>
      </c>
      <c r="G125" s="14">
        <f>Speed_Calc!G$3+Speed_Calc!G$5*A125^2</f>
        <v>20.317632100000001</v>
      </c>
      <c r="H125" s="7">
        <f>(F125-G125)/Speed_Calc!G$2*9.806</f>
        <v>4.5081979679254358</v>
      </c>
      <c r="I125" s="4">
        <f t="shared" si="8"/>
        <v>2.4722222222222223</v>
      </c>
    </row>
    <row r="126" spans="1:9" x14ac:dyDescent="0.2">
      <c r="A126" s="11">
        <v>9</v>
      </c>
      <c r="B126" s="14">
        <v>3.133</v>
      </c>
      <c r="C126" s="11">
        <f t="shared" si="9"/>
        <v>1166.309443759699</v>
      </c>
      <c r="D126" s="11">
        <f t="shared" si="6"/>
        <v>23.846113303395654</v>
      </c>
      <c r="E126" s="11">
        <f t="shared" si="7"/>
        <v>715.3833991018696</v>
      </c>
      <c r="F126" s="11">
        <f>Speed_Calc!B$5*E126</f>
        <v>643.84505919168271</v>
      </c>
      <c r="G126" s="14">
        <f>Speed_Calc!G$3+Speed_Calc!G$5*A126^2</f>
        <v>20.324809999999999</v>
      </c>
      <c r="H126" s="7">
        <f>(F126-G126)/Speed_Calc!G$2*9.806</f>
        <v>4.5290663433878819</v>
      </c>
      <c r="I126" s="4">
        <f t="shared" si="8"/>
        <v>2.5</v>
      </c>
    </row>
    <row r="127" spans="1:9" x14ac:dyDescent="0.2">
      <c r="A127" s="11">
        <v>9.1</v>
      </c>
      <c r="B127" s="14">
        <v>3.133</v>
      </c>
      <c r="C127" s="11">
        <f t="shared" si="9"/>
        <v>1179.2684375792512</v>
      </c>
      <c r="D127" s="11">
        <f t="shared" si="6"/>
        <v>24.217595195177921</v>
      </c>
      <c r="E127" s="11">
        <f t="shared" si="7"/>
        <v>718.54403326352076</v>
      </c>
      <c r="F127" s="11">
        <f>Speed_Calc!B$5*E127</f>
        <v>646.68962993716866</v>
      </c>
      <c r="G127" s="14">
        <f>Speed_Calc!G$3+Speed_Calc!G$5*A127^2</f>
        <v>20.332068100000001</v>
      </c>
      <c r="H127" s="7">
        <f>(F127-G127)/Speed_Calc!G$2*9.806</f>
        <v>4.5496757417594633</v>
      </c>
      <c r="I127" s="4">
        <f t="shared" si="8"/>
        <v>2.5277777777777777</v>
      </c>
    </row>
    <row r="128" spans="1:9" x14ac:dyDescent="0.2">
      <c r="A128" s="11">
        <v>9.1999999999999993</v>
      </c>
      <c r="B128" s="14">
        <v>3.133</v>
      </c>
      <c r="C128" s="11">
        <f t="shared" si="9"/>
        <v>1192.2274313988032</v>
      </c>
      <c r="D128" s="11">
        <f t="shared" si="6"/>
        <v>24.590082274903715</v>
      </c>
      <c r="E128" s="11">
        <f t="shared" si="7"/>
        <v>721.66545806782665</v>
      </c>
      <c r="F128" s="11">
        <f>Speed_Calc!B$5*E128</f>
        <v>649.49891226104398</v>
      </c>
      <c r="G128" s="14">
        <f>Speed_Calc!G$3+Speed_Calc!G$5*A128^2</f>
        <v>20.339406400000001</v>
      </c>
      <c r="H128" s="7">
        <f>(F128-G128)/Speed_Calc!G$2*9.806</f>
        <v>4.5700282329432564</v>
      </c>
      <c r="I128" s="4">
        <f t="shared" si="8"/>
        <v>2.5555555555555554</v>
      </c>
    </row>
    <row r="129" spans="1:9" x14ac:dyDescent="0.2">
      <c r="A129" s="11">
        <v>9.3000000000000007</v>
      </c>
      <c r="B129" s="14">
        <v>3.133</v>
      </c>
      <c r="C129" s="11">
        <f t="shared" si="9"/>
        <v>1205.1864252183557</v>
      </c>
      <c r="D129" s="11">
        <f t="shared" si="6"/>
        <v>24.96354184446389</v>
      </c>
      <c r="E129" s="11">
        <f t="shared" si="7"/>
        <v>724.7479890328226</v>
      </c>
      <c r="F129" s="11">
        <f>Speed_Calc!B$5*E129</f>
        <v>652.27319012954035</v>
      </c>
      <c r="G129" s="14">
        <f>Speed_Calc!G$3+Speed_Calc!G$5*A129^2</f>
        <v>20.346824900000001</v>
      </c>
      <c r="H129" s="7">
        <f>(F129-G129)/Speed_Calc!G$2*9.806</f>
        <v>4.5901258795858313</v>
      </c>
      <c r="I129" s="4">
        <f t="shared" si="8"/>
        <v>2.5833333333333335</v>
      </c>
    </row>
    <row r="130" spans="1:9" x14ac:dyDescent="0.2">
      <c r="A130" s="11">
        <v>9.4</v>
      </c>
      <c r="B130" s="14">
        <v>3.133</v>
      </c>
      <c r="C130" s="11">
        <f t="shared" si="9"/>
        <v>1218.1454190379079</v>
      </c>
      <c r="D130" s="11">
        <f t="shared" si="6"/>
        <v>25.337941634538669</v>
      </c>
      <c r="E130" s="11">
        <f t="shared" si="7"/>
        <v>727.79194056653625</v>
      </c>
      <c r="F130" s="11">
        <f>Speed_Calc!B$5*E130</f>
        <v>655.01274650988262</v>
      </c>
      <c r="G130" s="14">
        <f>Speed_Calc!G$3+Speed_Calc!G$5*A130^2</f>
        <v>20.354323600000001</v>
      </c>
      <c r="H130" s="7">
        <f>(F130-G130)/Speed_Calc!G$2*9.806</f>
        <v>4.6099707370772656</v>
      </c>
      <c r="I130" s="4">
        <f t="shared" si="8"/>
        <v>2.6111111111111112</v>
      </c>
    </row>
    <row r="131" spans="1:9" x14ac:dyDescent="0.2">
      <c r="A131" s="11">
        <v>9.5</v>
      </c>
      <c r="B131" s="14">
        <v>3.133</v>
      </c>
      <c r="C131" s="11">
        <f t="shared" si="9"/>
        <v>1231.1044128574599</v>
      </c>
      <c r="D131" s="11">
        <f t="shared" si="6"/>
        <v>25.713249802542094</v>
      </c>
      <c r="E131" s="11">
        <f t="shared" si="7"/>
        <v>730.79762596698595</v>
      </c>
      <c r="F131" s="11">
        <f>Speed_Calc!B$5*E131</f>
        <v>657.71786337028732</v>
      </c>
      <c r="G131" s="14">
        <f>Speed_Calc!G$3+Speed_Calc!G$5*A131^2</f>
        <v>20.361902499999999</v>
      </c>
      <c r="H131" s="7">
        <f>(F131-G131)/Speed_Calc!G$2*9.806</f>
        <v>4.6295648535511376</v>
      </c>
      <c r="I131" s="4">
        <f t="shared" si="8"/>
        <v>2.6388888888888888</v>
      </c>
    </row>
    <row r="132" spans="1:9" x14ac:dyDescent="0.2">
      <c r="A132" s="11">
        <v>9.6</v>
      </c>
      <c r="B132" s="14">
        <v>3.133</v>
      </c>
      <c r="C132" s="11">
        <f t="shared" si="9"/>
        <v>1244.0634066770122</v>
      </c>
      <c r="D132" s="11">
        <f t="shared" si="6"/>
        <v>26.089434930566448</v>
      </c>
      <c r="E132" s="11">
        <f t="shared" si="7"/>
        <v>733.76535742218141</v>
      </c>
      <c r="F132" s="11">
        <f>Speed_Calc!B$5*E132</f>
        <v>660.38882167996326</v>
      </c>
      <c r="G132" s="14">
        <f>Speed_Calc!G$3+Speed_Calc!G$5*A132^2</f>
        <v>20.369561600000001</v>
      </c>
      <c r="H132" s="7">
        <f>(F132-G132)/Speed_Calc!G$2*9.806</f>
        <v>4.6489102698845333</v>
      </c>
      <c r="I132" s="4">
        <f t="shared" si="8"/>
        <v>2.6666666666666665</v>
      </c>
    </row>
    <row r="133" spans="1:9" x14ac:dyDescent="0.2">
      <c r="A133" s="11">
        <v>9.6999999999999993</v>
      </c>
      <c r="B133" s="14">
        <v>3.133</v>
      </c>
      <c r="C133" s="11">
        <f t="shared" si="9"/>
        <v>1257.0224004965644</v>
      </c>
      <c r="D133" s="11">
        <f t="shared" si="6"/>
        <v>26.466466023326674</v>
      </c>
      <c r="E133" s="11">
        <f t="shared" si="7"/>
        <v>736.69544601012399</v>
      </c>
      <c r="F133" s="11">
        <f>Speed_Calc!B$5*E133</f>
        <v>663.02590140911161</v>
      </c>
      <c r="G133" s="14">
        <f>Speed_Calc!G$3+Speed_Calc!G$5*A133^2</f>
        <v>20.377300900000002</v>
      </c>
      <c r="H133" s="7">
        <f>(F133-G133)/Speed_Calc!G$2*9.806</f>
        <v>4.6680090196980348</v>
      </c>
      <c r="I133" s="4">
        <f t="shared" si="8"/>
        <v>2.6944444444444442</v>
      </c>
    </row>
    <row r="134" spans="1:9" x14ac:dyDescent="0.2">
      <c r="A134" s="11">
        <v>9.8000000000000007</v>
      </c>
      <c r="B134" s="14">
        <v>3.133</v>
      </c>
      <c r="C134" s="11">
        <f t="shared" si="9"/>
        <v>1269.9813943161166</v>
      </c>
      <c r="D134" s="11">
        <f t="shared" si="6"/>
        <v>26.844312506104814</v>
      </c>
      <c r="E134" s="11">
        <f t="shared" si="7"/>
        <v>739.58820169880619</v>
      </c>
      <c r="F134" s="11">
        <f>Speed_Calc!B$5*E134</f>
        <v>665.62938152892559</v>
      </c>
      <c r="G134" s="14">
        <f>Speed_Calc!G$3+Speed_Calc!G$5*A134^2</f>
        <v>20.385120400000002</v>
      </c>
      <c r="H134" s="7">
        <f>(F134-G134)/Speed_Calc!G$2*9.806</f>
        <v>4.6868631293557366</v>
      </c>
      <c r="I134" s="4">
        <f t="shared" si="8"/>
        <v>2.7222222222222223</v>
      </c>
    </row>
    <row r="135" spans="1:9" x14ac:dyDescent="0.2">
      <c r="A135" s="11">
        <v>9.9</v>
      </c>
      <c r="B135" s="14">
        <v>3.133</v>
      </c>
      <c r="C135" s="11">
        <f t="shared" si="9"/>
        <v>1282.9403881356689</v>
      </c>
      <c r="D135" s="11">
        <f t="shared" si="6"/>
        <v>27.222944222694419</v>
      </c>
      <c r="E135" s="11">
        <f t="shared" si="7"/>
        <v>742.44393334621157</v>
      </c>
      <c r="F135" s="11">
        <f>Speed_Calc!B$5*E135</f>
        <v>668.19954001159044</v>
      </c>
      <c r="G135" s="14">
        <f>Speed_Calc!G$3+Speed_Calc!G$5*A135^2</f>
        <v>20.393020100000001</v>
      </c>
      <c r="H135" s="7">
        <f>(F135-G135)/Speed_Calc!G$2*9.806</f>
        <v>4.7054746179652254</v>
      </c>
      <c r="I135" s="4">
        <f t="shared" si="8"/>
        <v>2.75</v>
      </c>
    </row>
    <row r="136" spans="1:9" x14ac:dyDescent="0.2">
      <c r="A136" s="11">
        <v>10</v>
      </c>
      <c r="B136" s="14">
        <v>3.133</v>
      </c>
      <c r="C136" s="11">
        <f t="shared" si="9"/>
        <v>1295.8993819552211</v>
      </c>
      <c r="D136" s="11">
        <f t="shared" si="6"/>
        <v>27.602331433345007</v>
      </c>
      <c r="E136" s="11">
        <f t="shared" si="7"/>
        <v>745.26294870031518</v>
      </c>
      <c r="F136" s="11">
        <f>Speed_Calc!B$5*E136</f>
        <v>670.73665383028367</v>
      </c>
      <c r="G136" s="14">
        <f>Speed_Calc!G$3+Speed_Calc!G$5*A136^2</f>
        <v>20.401</v>
      </c>
      <c r="H136" s="7">
        <f>(F136-G136)/Speed_Calc!G$2*9.806</f>
        <v>4.7238454973776012</v>
      </c>
      <c r="I136" s="4">
        <f t="shared" si="8"/>
        <v>2.7777777777777777</v>
      </c>
    </row>
    <row r="137" spans="1:9" x14ac:dyDescent="0.2">
      <c r="A137" s="11">
        <v>10.1</v>
      </c>
      <c r="B137" s="14">
        <v>3.133</v>
      </c>
      <c r="C137" s="11">
        <f t="shared" si="9"/>
        <v>1308.8583757747731</v>
      </c>
      <c r="D137" s="11">
        <f t="shared" si="6"/>
        <v>27.982444812706476</v>
      </c>
      <c r="E137" s="11">
        <f t="shared" si="7"/>
        <v>748.04555439908427</v>
      </c>
      <c r="F137" s="11">
        <f>Speed_Calc!B$5*E137</f>
        <v>673.24099895917584</v>
      </c>
      <c r="G137" s="14">
        <f>Speed_Calc!G$3+Speed_Calc!G$5*A137^2</f>
        <v>20.409060100000001</v>
      </c>
      <c r="H137" s="7">
        <f>(F137-G137)/Speed_Calc!G$2*9.806</f>
        <v>4.7419777721874645</v>
      </c>
      <c r="I137" s="4">
        <f t="shared" si="8"/>
        <v>2.8055555555555554</v>
      </c>
    </row>
    <row r="138" spans="1:9" x14ac:dyDescent="0.2">
      <c r="A138" s="11">
        <v>10.199999999999999</v>
      </c>
      <c r="B138" s="14">
        <v>3.133</v>
      </c>
      <c r="C138" s="11">
        <f t="shared" si="9"/>
        <v>1321.8173695943253</v>
      </c>
      <c r="D138" s="11">
        <f t="shared" si="6"/>
        <v>28.363255447773515</v>
      </c>
      <c r="E138" s="11">
        <f t="shared" si="7"/>
        <v>750.79205597047553</v>
      </c>
      <c r="F138" s="11">
        <f>Speed_Calc!B$5*E138</f>
        <v>675.71285037342795</v>
      </c>
      <c r="G138" s="14">
        <f>Speed_Calc!G$3+Speed_Calc!G$5*A138^2</f>
        <v>20.417200399999999</v>
      </c>
      <c r="H138" s="7">
        <f>(F138-G138)/Speed_Calc!G$2*9.806</f>
        <v>4.7598734397329139</v>
      </c>
      <c r="I138" s="4">
        <f t="shared" si="8"/>
        <v>2.833333333333333</v>
      </c>
    </row>
    <row r="139" spans="1:9" x14ac:dyDescent="0.2">
      <c r="A139" s="11">
        <v>10.3</v>
      </c>
      <c r="B139" s="14">
        <v>3.133</v>
      </c>
      <c r="C139" s="11">
        <f t="shared" si="9"/>
        <v>1334.7763634138776</v>
      </c>
      <c r="D139" s="11">
        <f t="shared" si="6"/>
        <v>28.744734835830076</v>
      </c>
      <c r="E139" s="11">
        <f t="shared" si="7"/>
        <v>753.50275783243899</v>
      </c>
      <c r="F139" s="11">
        <f>Speed_Calc!B$5*E139</f>
        <v>678.1524820491951</v>
      </c>
      <c r="G139" s="14">
        <f>Speed_Calc!G$3+Speed_Calc!G$5*A139^2</f>
        <v>20.425420899999999</v>
      </c>
      <c r="H139" s="7">
        <f>(F139-G139)/Speed_Calc!G$2*9.806</f>
        <v>4.7775344900955607</v>
      </c>
      <c r="I139" s="4">
        <f t="shared" si="8"/>
        <v>2.8611111111111112</v>
      </c>
    </row>
    <row r="140" spans="1:9" x14ac:dyDescent="0.2">
      <c r="A140" s="11">
        <v>10.4</v>
      </c>
      <c r="B140" s="14">
        <v>3.133</v>
      </c>
      <c r="C140" s="11">
        <f t="shared" si="9"/>
        <v>1347.7353572334298</v>
      </c>
      <c r="D140" s="11">
        <f t="shared" si="6"/>
        <v>29.126854882393744</v>
      </c>
      <c r="E140" s="11">
        <f t="shared" si="7"/>
        <v>756.17796329291457</v>
      </c>
      <c r="F140" s="11">
        <f>Speed_Calc!B$5*E140</f>
        <v>680.56016696362315</v>
      </c>
      <c r="G140" s="14">
        <f>Speed_Calc!G$3+Speed_Calc!G$5*A140^2</f>
        <v>20.433721599999998</v>
      </c>
      <c r="H140" s="7">
        <f>(F140-G140)/Speed_Calc!G$2*9.806</f>
        <v>4.7949629061005101</v>
      </c>
      <c r="I140" s="4">
        <f t="shared" si="8"/>
        <v>2.8888888888888888</v>
      </c>
    </row>
    <row r="141" spans="1:9" x14ac:dyDescent="0.2">
      <c r="A141" s="11">
        <v>10.5</v>
      </c>
      <c r="B141" s="14">
        <v>3.133</v>
      </c>
      <c r="C141" s="11">
        <f t="shared" si="9"/>
        <v>1360.6943510529823</v>
      </c>
      <c r="D141" s="11">
        <f t="shared" si="6"/>
        <v>29.509587899160216</v>
      </c>
      <c r="E141" s="11">
        <f t="shared" si="7"/>
        <v>758.81797454983405</v>
      </c>
      <c r="F141" s="11">
        <f>Speed_Calc!B$5*E141</f>
        <v>682.93617709485068</v>
      </c>
      <c r="G141" s="14">
        <f>Speed_Calc!G$3+Speed_Calc!G$5*A141^2</f>
        <v>20.442102500000001</v>
      </c>
      <c r="H141" s="7">
        <f>(F141-G141)/Speed_Calc!G$2*9.806</f>
        <v>4.8121606633163738</v>
      </c>
      <c r="I141" s="4">
        <f t="shared" si="8"/>
        <v>2.9166666666666665</v>
      </c>
    </row>
    <row r="142" spans="1:9" x14ac:dyDescent="0.2">
      <c r="A142" s="11">
        <v>10.6</v>
      </c>
      <c r="B142" s="14">
        <v>3.133</v>
      </c>
      <c r="C142" s="11">
        <f t="shared" si="9"/>
        <v>1373.653344872534</v>
      </c>
      <c r="D142" s="11">
        <f t="shared" si="6"/>
        <v>29.892906601947693</v>
      </c>
      <c r="E142" s="11">
        <f t="shared" si="7"/>
        <v>761.4230926911207</v>
      </c>
      <c r="F142" s="11">
        <f>Speed_Calc!B$5*E142</f>
        <v>685.28078342200865</v>
      </c>
      <c r="G142" s="14">
        <f>Speed_Calc!G$3+Speed_Calc!G$5*A142^2</f>
        <v>20.450563599999999</v>
      </c>
      <c r="H142" s="7">
        <f>(F142-G142)/Speed_Calc!G$2*9.806</f>
        <v>4.8291297300552714</v>
      </c>
      <c r="I142" s="4">
        <f t="shared" si="8"/>
        <v>2.9444444444444442</v>
      </c>
    </row>
    <row r="143" spans="1:9" x14ac:dyDescent="0.2">
      <c r="A143" s="11">
        <v>10.7</v>
      </c>
      <c r="B143" s="14">
        <v>3.133</v>
      </c>
      <c r="C143" s="11">
        <f t="shared" si="9"/>
        <v>1386.6123386920865</v>
      </c>
      <c r="D143" s="11">
        <f t="shared" si="6"/>
        <v>30.276784108641372</v>
      </c>
      <c r="E143" s="11">
        <f t="shared" si="7"/>
        <v>763.99361769468896</v>
      </c>
      <c r="F143" s="11">
        <f>Speed_Calc!B$5*E143</f>
        <v>687.59425592522007</v>
      </c>
      <c r="G143" s="14">
        <f>Speed_Calc!G$3+Speed_Calc!G$5*A143^2</f>
        <v>20.4591049</v>
      </c>
      <c r="H143" s="7">
        <f>(F143-G143)/Speed_Calc!G$2*9.806</f>
        <v>4.8458720673728202</v>
      </c>
      <c r="I143" s="4">
        <f t="shared" si="8"/>
        <v>2.9722222222222219</v>
      </c>
    </row>
    <row r="144" spans="1:9" x14ac:dyDescent="0.2">
      <c r="A144" s="11">
        <v>10.8</v>
      </c>
      <c r="B144" s="14">
        <v>3.133</v>
      </c>
      <c r="C144" s="11">
        <f t="shared" si="9"/>
        <v>1399.571332511639</v>
      </c>
      <c r="D144" s="11">
        <f t="shared" si="6"/>
        <v>30.661193937137778</v>
      </c>
      <c r="E144" s="11">
        <f t="shared" si="7"/>
        <v>766.52984842844421</v>
      </c>
      <c r="F144" s="11">
        <f>Speed_Calc!B$5*E144</f>
        <v>689.87686358559984</v>
      </c>
      <c r="G144" s="14">
        <f>Speed_Calc!G$3+Speed_Calc!G$5*A144^2</f>
        <v>20.4677264</v>
      </c>
      <c r="H144" s="7">
        <f>(F144-G144)/Speed_Calc!G$2*9.806</f>
        <v>4.8623896290681419</v>
      </c>
      <c r="I144" s="4">
        <f t="shared" si="8"/>
        <v>3</v>
      </c>
    </row>
    <row r="145" spans="1:9" x14ac:dyDescent="0.2">
      <c r="A145" s="11">
        <v>10.9</v>
      </c>
      <c r="B145" s="14">
        <v>3.133</v>
      </c>
      <c r="C145" s="11">
        <f t="shared" si="9"/>
        <v>1412.530326331191</v>
      </c>
      <c r="D145" s="11">
        <f t="shared" si="6"/>
        <v>31.046110003289243</v>
      </c>
      <c r="E145" s="11">
        <f t="shared" si="7"/>
        <v>769.032082650284</v>
      </c>
      <c r="F145" s="11">
        <f>Speed_Calc!B$5*E145</f>
        <v>692.12887438525559</v>
      </c>
      <c r="G145" s="14">
        <f>Speed_Calc!G$3+Speed_Calc!G$5*A145^2</f>
        <v>20.4764281</v>
      </c>
      <c r="H145" s="7">
        <f>(F145-G145)/Speed_Calc!G$2*9.806</f>
        <v>4.8786843616838631</v>
      </c>
      <c r="I145" s="4">
        <f t="shared" si="8"/>
        <v>3.0277777777777777</v>
      </c>
    </row>
    <row r="146" spans="1:9" x14ac:dyDescent="0.2">
      <c r="A146" s="11">
        <v>11</v>
      </c>
      <c r="B146" s="14">
        <v>3.133</v>
      </c>
      <c r="C146" s="11">
        <f t="shared" si="9"/>
        <v>1425.4893201507432</v>
      </c>
      <c r="D146" s="11">
        <f t="shared" si="6"/>
        <v>31.431506618848367</v>
      </c>
      <c r="E146" s="11">
        <f t="shared" si="7"/>
        <v>771.50061700809636</v>
      </c>
      <c r="F146" s="11">
        <f>Speed_Calc!B$5*E146</f>
        <v>694.35055530728675</v>
      </c>
      <c r="G146" s="14">
        <f>Speed_Calc!G$3+Speed_Calc!G$5*A146^2</f>
        <v>20.485209999999999</v>
      </c>
      <c r="H146" s="7">
        <f>(F146-G146)/Speed_Calc!G$2*9.806</f>
        <v>4.8947582045061138</v>
      </c>
      <c r="I146" s="4">
        <f t="shared" si="8"/>
        <v>3.0555555555555554</v>
      </c>
    </row>
    <row r="147" spans="1:9" x14ac:dyDescent="0.2">
      <c r="A147" s="11">
        <v>11.1</v>
      </c>
      <c r="B147" s="14">
        <v>3.133</v>
      </c>
      <c r="C147" s="11">
        <f t="shared" si="9"/>
        <v>1438.4483139702952</v>
      </c>
      <c r="D147" s="11">
        <f t="shared" si="6"/>
        <v>31.817358489412392</v>
      </c>
      <c r="E147" s="11">
        <f t="shared" si="7"/>
        <v>773.93574703976105</v>
      </c>
      <c r="F147" s="11">
        <f>Speed_Calc!B$5*E147</f>
        <v>696.54217233578493</v>
      </c>
      <c r="G147" s="14">
        <f>Speed_Calc!G$3+Speed_Calc!G$5*A147^2</f>
        <v>20.4940721</v>
      </c>
      <c r="H147" s="7">
        <f>(F147-G147)/Speed_Calc!G$2*9.806</f>
        <v>4.9106130895645235</v>
      </c>
      <c r="I147" s="4">
        <f t="shared" si="8"/>
        <v>3.083333333333333</v>
      </c>
    </row>
    <row r="148" spans="1:9" x14ac:dyDescent="0.2">
      <c r="A148" s="11">
        <v>11.2</v>
      </c>
      <c r="B148" s="14">
        <v>3.133</v>
      </c>
      <c r="C148" s="11">
        <f t="shared" si="9"/>
        <v>1451.4073077898474</v>
      </c>
      <c r="D148" s="11">
        <f t="shared" si="6"/>
        <v>32.203640712367658</v>
      </c>
      <c r="E148" s="11">
        <f t="shared" si="7"/>
        <v>776.33776717314902</v>
      </c>
      <c r="F148" s="11">
        <f>Speed_Calc!B$5*E148</f>
        <v>698.70399045583417</v>
      </c>
      <c r="G148" s="14">
        <f>Speed_Calc!G$3+Speed_Calc!G$5*A148^2</f>
        <v>20.503014400000001</v>
      </c>
      <c r="H148" s="7">
        <f>(F148-G148)/Speed_Calc!G$2*9.806</f>
        <v>4.9262509416322295</v>
      </c>
      <c r="I148" s="4">
        <f t="shared" si="8"/>
        <v>3.1111111111111107</v>
      </c>
    </row>
    <row r="149" spans="1:9" x14ac:dyDescent="0.2">
      <c r="A149" s="11">
        <v>11.3</v>
      </c>
      <c r="B149" s="14">
        <v>3.133</v>
      </c>
      <c r="C149" s="11">
        <f t="shared" si="9"/>
        <v>1464.3663016093999</v>
      </c>
      <c r="D149" s="11">
        <f t="shared" si="6"/>
        <v>32.590328774834035</v>
      </c>
      <c r="E149" s="11">
        <f t="shared" si="7"/>
        <v>778.70697072612279</v>
      </c>
      <c r="F149" s="11">
        <f>Speed_Calc!B$5*E149</f>
        <v>700.83627365351049</v>
      </c>
      <c r="G149" s="14">
        <f>Speed_Calc!G$3+Speed_Calc!G$5*A149^2</f>
        <v>20.512036899999998</v>
      </c>
      <c r="H149" s="7">
        <f>(F149-G149)/Speed_Calc!G$2*9.806</f>
        <v>4.9416736782258699</v>
      </c>
      <c r="I149" s="4">
        <f t="shared" si="8"/>
        <v>3.1388888888888888</v>
      </c>
    </row>
    <row r="150" spans="1:9" x14ac:dyDescent="0.2">
      <c r="A150" s="11">
        <v>11.4</v>
      </c>
      <c r="B150" s="14">
        <v>3.133</v>
      </c>
      <c r="C150" s="11">
        <f t="shared" si="9"/>
        <v>1477.3252954289519</v>
      </c>
      <c r="D150" s="11">
        <f t="shared" si="6"/>
        <v>32.977398551609298</v>
      </c>
      <c r="E150" s="11">
        <f t="shared" si="7"/>
        <v>781.0436499065363</v>
      </c>
      <c r="F150" s="11">
        <f>Speed_Calc!B$5*E150</f>
        <v>702.93928491588269</v>
      </c>
      <c r="G150" s="14">
        <f>Speed_Calc!G$3+Speed_Calc!G$5*A150^2</f>
        <v>20.521139600000001</v>
      </c>
      <c r="H150" s="7">
        <f>(F150-G150)/Speed_Calc!G$2*9.806</f>
        <v>4.9568832096055893</v>
      </c>
      <c r="I150" s="4">
        <f t="shared" si="8"/>
        <v>3.1666666666666665</v>
      </c>
    </row>
    <row r="151" spans="1:9" x14ac:dyDescent="0.2">
      <c r="A151" s="11">
        <v>11.5</v>
      </c>
      <c r="B151" s="14">
        <v>3.133</v>
      </c>
      <c r="C151" s="11">
        <f t="shared" si="9"/>
        <v>1490.2842892485041</v>
      </c>
      <c r="D151" s="11">
        <f t="shared" si="6"/>
        <v>33.364826303113659</v>
      </c>
      <c r="E151" s="11">
        <f t="shared" si="7"/>
        <v>783.34809581223374</v>
      </c>
      <c r="F151" s="11">
        <f>Speed_Calc!B$5*E151</f>
        <v>705.0132862310104</v>
      </c>
      <c r="G151" s="14">
        <f>Speed_Calc!G$3+Speed_Calc!G$5*A151^2</f>
        <v>20.5303225</v>
      </c>
      <c r="H151" s="7">
        <f>(F151-G151)/Speed_Calc!G$2*9.806</f>
        <v>4.9718814387750276</v>
      </c>
      <c r="I151" s="4">
        <f t="shared" si="8"/>
        <v>3.1944444444444442</v>
      </c>
    </row>
    <row r="152" spans="1:9" x14ac:dyDescent="0.2">
      <c r="A152" s="11">
        <v>11.6</v>
      </c>
      <c r="B152" s="14">
        <v>3.133</v>
      </c>
      <c r="C152" s="11">
        <f t="shared" si="9"/>
        <v>1503.2432830680564</v>
      </c>
      <c r="D152" s="11">
        <f t="shared" si="6"/>
        <v>33.752588673334103</v>
      </c>
      <c r="E152" s="11">
        <f t="shared" si="7"/>
        <v>785.62059843105249</v>
      </c>
      <c r="F152" s="11">
        <f>Speed_Calc!B$5*E152</f>
        <v>707.05853858794728</v>
      </c>
      <c r="G152" s="14">
        <f>Speed_Calc!G$3+Speed_Calc!G$5*A152^2</f>
        <v>20.539585599999999</v>
      </c>
      <c r="H152" s="7">
        <f>(F152-G152)/Speed_Calc!G$2*9.806</f>
        <v>4.9866702614813416</v>
      </c>
      <c r="I152" s="4">
        <f t="shared" si="8"/>
        <v>3.2222222222222219</v>
      </c>
    </row>
    <row r="153" spans="1:9" x14ac:dyDescent="0.2">
      <c r="A153" s="11">
        <v>11.7</v>
      </c>
      <c r="B153" s="14">
        <v>3.133</v>
      </c>
      <c r="C153" s="11">
        <f t="shared" si="9"/>
        <v>1516.2022768876086</v>
      </c>
      <c r="D153" s="11">
        <f t="shared" si="6"/>
        <v>34.140662687768817</v>
      </c>
      <c r="E153" s="11">
        <f t="shared" si="7"/>
        <v>787.86144664081894</v>
      </c>
      <c r="F153" s="11">
        <f>Speed_Calc!B$5*E153</f>
        <v>709.07530197673702</v>
      </c>
      <c r="G153" s="14">
        <f>Speed_Calc!G$3+Speed_Calc!G$5*A153^2</f>
        <v>20.5489289</v>
      </c>
      <c r="H153" s="7">
        <f>(F153-G153)/Speed_Calc!G$2*9.806</f>
        <v>5.0012515662151724</v>
      </c>
      <c r="I153" s="4">
        <f t="shared" si="8"/>
        <v>3.2499999999999996</v>
      </c>
    </row>
    <row r="154" spans="1:9" x14ac:dyDescent="0.2">
      <c r="A154" s="11">
        <v>11.8</v>
      </c>
      <c r="B154" s="14">
        <v>3.133</v>
      </c>
      <c r="C154" s="11">
        <f t="shared" si="9"/>
        <v>1529.1612707071608</v>
      </c>
      <c r="D154" s="11">
        <f t="shared" si="6"/>
        <v>34.529025751371741</v>
      </c>
      <c r="E154" s="11">
        <f t="shared" si="7"/>
        <v>790.0709282093535</v>
      </c>
      <c r="F154" s="11">
        <f>Speed_Calc!B$5*E154</f>
        <v>711.06383538841817</v>
      </c>
      <c r="G154" s="14">
        <f>Speed_Calc!G$3+Speed_Calc!G$5*A154^2</f>
        <v>20.5583524</v>
      </c>
      <c r="H154" s="7">
        <f>(F154-G154)/Speed_Calc!G$2*9.806</f>
        <v>5.0156272342106876</v>
      </c>
      <c r="I154" s="4">
        <f t="shared" si="8"/>
        <v>3.2777777777777777</v>
      </c>
    </row>
    <row r="155" spans="1:9" x14ac:dyDescent="0.2">
      <c r="A155" s="11">
        <v>11.9</v>
      </c>
      <c r="B155" s="14">
        <v>3.133</v>
      </c>
      <c r="C155" s="11">
        <f t="shared" si="9"/>
        <v>1542.1202645267131</v>
      </c>
      <c r="D155" s="11">
        <f t="shared" si="6"/>
        <v>34.917655646496797</v>
      </c>
      <c r="E155" s="11">
        <f t="shared" si="7"/>
        <v>792.24932979446498</v>
      </c>
      <c r="F155" s="11">
        <f>Speed_Calc!B$5*E155</f>
        <v>713.02439681501846</v>
      </c>
      <c r="G155" s="14">
        <f>Speed_Calc!G$3+Speed_Calc!G$5*A155^2</f>
        <v>20.5678561</v>
      </c>
      <c r="H155" s="7">
        <f>(F155-G155)/Speed_Calc!G$2*9.806</f>
        <v>5.0297991394455339</v>
      </c>
      <c r="I155" s="4">
        <f t="shared" si="8"/>
        <v>3.3055555555555554</v>
      </c>
    </row>
    <row r="156" spans="1:9" x14ac:dyDescent="0.2">
      <c r="A156" s="11">
        <v>12</v>
      </c>
      <c r="B156" s="14">
        <v>3.133</v>
      </c>
      <c r="C156" s="11">
        <f t="shared" si="9"/>
        <v>1555.0792583462655</v>
      </c>
      <c r="D156" s="11">
        <f t="shared" si="6"/>
        <v>35.306530530842515</v>
      </c>
      <c r="E156" s="11">
        <f t="shared" si="7"/>
        <v>794.39693694395646</v>
      </c>
      <c r="F156" s="11">
        <f>Speed_Calc!B$5*E156</f>
        <v>714.95724324956086</v>
      </c>
      <c r="G156" s="14">
        <f>Speed_Calc!G$3+Speed_Calc!G$5*A156^2</f>
        <v>20.577439999999999</v>
      </c>
      <c r="H156" s="7">
        <f>(F156-G156)/Speed_Calc!G$2*9.806</f>
        <v>5.0437691486408829</v>
      </c>
      <c r="I156" s="4">
        <f t="shared" si="8"/>
        <v>3.333333333333333</v>
      </c>
    </row>
    <row r="157" spans="1:9" x14ac:dyDescent="0.2">
      <c r="A157" s="11">
        <v>12.1</v>
      </c>
      <c r="B157" s="14">
        <v>3.133</v>
      </c>
      <c r="C157" s="11">
        <f t="shared" si="9"/>
        <v>1568.0382521658171</v>
      </c>
      <c r="D157" s="11">
        <f t="shared" si="6"/>
        <v>35.695628935396286</v>
      </c>
      <c r="E157" s="11">
        <f t="shared" si="7"/>
        <v>796.51403409561976</v>
      </c>
      <c r="F157" s="11">
        <f>Speed_Calc!B$5*E157</f>
        <v>716.86263068605786</v>
      </c>
      <c r="G157" s="14">
        <f>Speed_Calc!G$3+Speed_Calc!G$5*A157^2</f>
        <v>20.587104100000001</v>
      </c>
      <c r="H157" s="7">
        <f>(F157-G157)/Speed_Calc!G$2*9.806</f>
        <v>5.057539121261394</v>
      </c>
      <c r="I157" s="4">
        <f t="shared" si="8"/>
        <v>3.3611111111111107</v>
      </c>
    </row>
    <row r="158" spans="1:9" x14ac:dyDescent="0.2">
      <c r="A158" s="11">
        <v>12.2</v>
      </c>
      <c r="B158" s="14">
        <v>3.133</v>
      </c>
      <c r="C158" s="11">
        <f t="shared" si="9"/>
        <v>1580.9972459853693</v>
      </c>
      <c r="D158" s="11">
        <f t="shared" si="6"/>
        <v>36.084929762378977</v>
      </c>
      <c r="E158" s="11">
        <f t="shared" si="7"/>
        <v>798.60090457724004</v>
      </c>
      <c r="F158" s="11">
        <f>Speed_Calc!B$5*E158</f>
        <v>718.74081411951602</v>
      </c>
      <c r="G158" s="14">
        <f>Speed_Calc!G$3+Speed_Calc!G$5*A158^2</f>
        <v>20.596848399999999</v>
      </c>
      <c r="H158" s="7">
        <f>(F158-G158)/Speed_Calc!G$2*9.806</f>
        <v>5.0711109095152391</v>
      </c>
      <c r="I158" s="4">
        <f t="shared" si="8"/>
        <v>3.3888888888888884</v>
      </c>
    </row>
    <row r="159" spans="1:9" x14ac:dyDescent="0.2">
      <c r="A159" s="11">
        <v>12.3</v>
      </c>
      <c r="B159" s="14">
        <v>3.133</v>
      </c>
      <c r="C159" s="11">
        <f t="shared" si="9"/>
        <v>1593.9562398049222</v>
      </c>
      <c r="D159" s="11">
        <f t="shared" si="6"/>
        <v>36.474412283189203</v>
      </c>
      <c r="E159" s="11">
        <f t="shared" si="7"/>
        <v>800.65783060659203</v>
      </c>
      <c r="F159" s="11">
        <f>Speed_Calc!B$5*E159</f>
        <v>720.59204754593281</v>
      </c>
      <c r="G159" s="14">
        <f>Speed_Calc!G$3+Speed_Calc!G$5*A159^2</f>
        <v>20.6066729</v>
      </c>
      <c r="H159" s="7">
        <f>(F159-G159)/Speed_Calc!G$2*9.806</f>
        <v>5.0844863583540869</v>
      </c>
      <c r="I159" s="4">
        <f t="shared" si="8"/>
        <v>3.416666666666667</v>
      </c>
    </row>
    <row r="160" spans="1:9" x14ac:dyDescent="0.2">
      <c r="A160" s="11">
        <v>12.4</v>
      </c>
      <c r="B160" s="14">
        <v>3.133</v>
      </c>
      <c r="C160" s="11">
        <f t="shared" si="9"/>
        <v>1606.9152336244742</v>
      </c>
      <c r="D160" s="11">
        <f t="shared" si="6"/>
        <v>36.86405613634777</v>
      </c>
      <c r="E160" s="11">
        <f t="shared" si="7"/>
        <v>802.6850932914432</v>
      </c>
      <c r="F160" s="11">
        <f>Speed_Calc!B$5*E160</f>
        <v>722.41658396229889</v>
      </c>
      <c r="G160" s="14">
        <f>Speed_Calc!G$3+Speed_Calc!G$5*A160^2</f>
        <v>20.616577599999999</v>
      </c>
      <c r="H160" s="7">
        <f>(F160-G160)/Speed_Calc!G$2*9.806</f>
        <v>5.097667305473113</v>
      </c>
      <c r="I160" s="4">
        <f t="shared" si="8"/>
        <v>3.4444444444444446</v>
      </c>
    </row>
    <row r="161" spans="1:9" x14ac:dyDescent="0.2">
      <c r="A161" s="11">
        <v>12.5</v>
      </c>
      <c r="B161" s="14">
        <v>3.133</v>
      </c>
      <c r="C161" s="11">
        <f t="shared" si="9"/>
        <v>1619.8742274440267</v>
      </c>
      <c r="D161" s="11">
        <f t="shared" si="6"/>
        <v>37.253841325442224</v>
      </c>
      <c r="E161" s="11">
        <f t="shared" si="7"/>
        <v>804.68297262955184</v>
      </c>
      <c r="F161" s="11">
        <f>Speed_Calc!B$5*E161</f>
        <v>724.21467536659668</v>
      </c>
      <c r="G161" s="14">
        <f>Speed_Calc!G$3+Speed_Calc!G$5*A161^2</f>
        <v>20.626562499999999</v>
      </c>
      <c r="H161" s="7">
        <f>(F161-G161)/Speed_Calc!G$2*9.806</f>
        <v>5.1106555813109971</v>
      </c>
      <c r="I161" s="4">
        <f t="shared" si="8"/>
        <v>3.4722222222222223</v>
      </c>
    </row>
    <row r="162" spans="1:9" x14ac:dyDescent="0.2">
      <c r="A162" s="11">
        <v>12.6</v>
      </c>
      <c r="B162" s="14">
        <v>3.133</v>
      </c>
      <c r="C162" s="11">
        <f t="shared" si="9"/>
        <v>1632.8332212635785</v>
      </c>
      <c r="D162" s="11">
        <f t="shared" si="6"/>
        <v>37.643748217071142</v>
      </c>
      <c r="E162" s="11">
        <f t="shared" si="7"/>
        <v>806.6517475086672</v>
      </c>
      <c r="F162" s="11">
        <f>Speed_Calc!B$5*E162</f>
        <v>725.98657275780045</v>
      </c>
      <c r="G162" s="14">
        <f>Speed_Calc!G$3+Speed_Calc!G$5*A162^2</f>
        <v>20.636627600000001</v>
      </c>
      <c r="H162" s="7">
        <f>(F162-G162)/Speed_Calc!G$2*9.806</f>
        <v>5.1234530090499186</v>
      </c>
      <c r="I162" s="4">
        <f t="shared" si="8"/>
        <v>3.5</v>
      </c>
    </row>
    <row r="163" spans="1:9" x14ac:dyDescent="0.2">
      <c r="A163" s="11">
        <v>12.7</v>
      </c>
      <c r="B163" s="14">
        <v>3.133</v>
      </c>
      <c r="C163" s="11">
        <f t="shared" si="9"/>
        <v>1645.7922150831309</v>
      </c>
      <c r="D163" s="11">
        <f t="shared" si="6"/>
        <v>38.033757538788663</v>
      </c>
      <c r="E163" s="11">
        <f t="shared" si="7"/>
        <v>808.59169570653057</v>
      </c>
      <c r="F163" s="11">
        <f>Speed_Calc!B$5*E163</f>
        <v>727.73252613587749</v>
      </c>
      <c r="G163" s="14">
        <f>Speed_Calc!G$3+Speed_Calc!G$5*A163^2</f>
        <v>20.646772899999998</v>
      </c>
      <c r="H163" s="7">
        <f>(F163-G163)/Speed_Calc!G$2*9.806</f>
        <v>5.1360614046155666</v>
      </c>
      <c r="I163" s="4">
        <f t="shared" si="8"/>
        <v>3.5277777777777777</v>
      </c>
    </row>
    <row r="164" spans="1:9" x14ac:dyDescent="0.2">
      <c r="A164" s="11">
        <v>12.8</v>
      </c>
      <c r="B164" s="14">
        <v>3.133</v>
      </c>
      <c r="C164" s="11">
        <f t="shared" si="9"/>
        <v>1658.7512089026832</v>
      </c>
      <c r="D164" s="11">
        <f t="shared" si="6"/>
        <v>38.423850377048829</v>
      </c>
      <c r="E164" s="11">
        <f t="shared" si="7"/>
        <v>810.50309389087386</v>
      </c>
      <c r="F164" s="11">
        <f>Speed_Calc!B$5*E164</f>
        <v>729.45278450178648</v>
      </c>
      <c r="G164" s="14">
        <f>Speed_Calc!G$3+Speed_Calc!G$5*A164^2</f>
        <v>20.656998399999999</v>
      </c>
      <c r="H164" s="7">
        <f>(F164-G164)/Speed_Calc!G$2*9.806</f>
        <v>5.1484825766771243</v>
      </c>
      <c r="I164" s="4">
        <f t="shared" si="8"/>
        <v>3.5555555555555558</v>
      </c>
    </row>
    <row r="165" spans="1:9" x14ac:dyDescent="0.2">
      <c r="A165" s="11">
        <v>12.9</v>
      </c>
      <c r="B165" s="14">
        <v>3.133</v>
      </c>
      <c r="C165" s="11">
        <f t="shared" si="9"/>
        <v>1671.7102027222352</v>
      </c>
      <c r="D165" s="11">
        <f t="shared" ref="D165:D228" si="10">-4.687*10^(-17)*C165^5+9.129*10^(-13)*C165^4-6.175*10^(-9)*C165^3+1.799*10^(-5)*C165^2+6.502*10^(-3)*C165</f>
        <v>38.814008175150093</v>
      </c>
      <c r="E165" s="11">
        <f t="shared" si="7"/>
        <v>812.38621761942079</v>
      </c>
      <c r="F165" s="11">
        <f>Speed_Calc!B$5*E165</f>
        <v>731.14759585747868</v>
      </c>
      <c r="G165" s="14">
        <f>Speed_Calc!G$3+Speed_Calc!G$5*A165^2</f>
        <v>20.667304099999999</v>
      </c>
      <c r="H165" s="7">
        <f>(F165-G165)/Speed_Calc!G$2*9.806</f>
        <v>5.1607183266472854</v>
      </c>
      <c r="I165" s="4">
        <f t="shared" si="8"/>
        <v>3.5833333333333335</v>
      </c>
    </row>
    <row r="166" spans="1:9" x14ac:dyDescent="0.2">
      <c r="A166" s="11">
        <v>13</v>
      </c>
      <c r="B166" s="14">
        <v>3.133</v>
      </c>
      <c r="C166" s="11">
        <f t="shared" si="9"/>
        <v>1684.6691965417876</v>
      </c>
      <c r="D166" s="11">
        <f t="shared" si="10"/>
        <v>39.204212731179688</v>
      </c>
      <c r="E166" s="11">
        <f t="shared" ref="E166:E229" si="11">D166*75*B166*B$31*B$32/B$23/C166/2/PI()*60</f>
        <v>814.24134133988571</v>
      </c>
      <c r="F166" s="11">
        <f>Speed_Calc!B$5*E166</f>
        <v>732.81720720589715</v>
      </c>
      <c r="G166" s="14">
        <f>Speed_Calc!G$3+Speed_Calc!G$5*A166^2</f>
        <v>20.677689999999998</v>
      </c>
      <c r="H166" s="7">
        <f>(F166-G166)/Speed_Calc!G$2*9.806</f>
        <v>5.1727704486822423</v>
      </c>
      <c r="I166" s="4">
        <f t="shared" ref="I166:I229" si="12">A166/3.6</f>
        <v>3.6111111111111112</v>
      </c>
    </row>
    <row r="167" spans="1:9" x14ac:dyDescent="0.2">
      <c r="A167" s="11">
        <v>13.1</v>
      </c>
      <c r="B167" s="14">
        <v>3.133</v>
      </c>
      <c r="C167" s="11">
        <f t="shared" si="9"/>
        <v>1697.6281903613399</v>
      </c>
      <c r="D167" s="11">
        <f t="shared" si="10"/>
        <v>39.594446195958078</v>
      </c>
      <c r="E167" s="11">
        <f t="shared" si="11"/>
        <v>816.06873838997558</v>
      </c>
      <c r="F167" s="11">
        <f>Speed_Calc!B$5*E167</f>
        <v>734.46186455097802</v>
      </c>
      <c r="G167" s="14">
        <f>Speed_Calc!G$3+Speed_Calc!G$5*A167^2</f>
        <v>20.6881561</v>
      </c>
      <c r="H167" s="7">
        <f>(F167-G167)/Speed_Calc!G$2*9.806</f>
        <v>5.1846407296816954</v>
      </c>
      <c r="I167" s="4">
        <f t="shared" si="12"/>
        <v>3.6388888888888888</v>
      </c>
    </row>
    <row r="168" spans="1:9" x14ac:dyDescent="0.2">
      <c r="A168" s="11">
        <v>13.2</v>
      </c>
      <c r="B168" s="14">
        <v>3.133</v>
      </c>
      <c r="C168" s="11">
        <f t="shared" si="9"/>
        <v>1710.5871841808917</v>
      </c>
      <c r="D168" s="11">
        <f t="shared" si="10"/>
        <v>39.984691070983374</v>
      </c>
      <c r="E168" s="11">
        <f t="shared" si="11"/>
        <v>817.86868099738729</v>
      </c>
      <c r="F168" s="11">
        <f>Speed_Calc!B$5*E168</f>
        <v>736.08181289764855</v>
      </c>
      <c r="G168" s="14">
        <f>Speed_Calc!G$3+Speed_Calc!G$5*A168^2</f>
        <v>20.698702399999998</v>
      </c>
      <c r="H168" s="7">
        <f>(F168-G168)/Speed_Calc!G$2*9.806</f>
        <v>5.1963309492888454</v>
      </c>
      <c r="I168" s="4">
        <f t="shared" si="12"/>
        <v>3.6666666666666665</v>
      </c>
    </row>
    <row r="169" spans="1:9" x14ac:dyDescent="0.2">
      <c r="A169" s="11">
        <v>13.3</v>
      </c>
      <c r="B169" s="14">
        <v>3.133</v>
      </c>
      <c r="C169" s="11">
        <f t="shared" si="9"/>
        <v>1723.5461780004443</v>
      </c>
      <c r="D169" s="11">
        <f t="shared" si="10"/>
        <v>40.374930206375858</v>
      </c>
      <c r="E169" s="11">
        <f t="shared" si="11"/>
        <v>819.64144027981058</v>
      </c>
      <c r="F169" s="11">
        <f>Speed_Calc!B$5*E169</f>
        <v>737.67729625182949</v>
      </c>
      <c r="G169" s="14">
        <f>Speed_Calc!G$3+Speed_Calc!G$5*A169^2</f>
        <v>20.709328899999999</v>
      </c>
      <c r="H169" s="7">
        <f>(F169-G169)/Speed_Calc!G$2*9.806</f>
        <v>5.2078428798904</v>
      </c>
      <c r="I169" s="4">
        <f t="shared" si="12"/>
        <v>3.6944444444444446</v>
      </c>
    </row>
    <row r="170" spans="1:9" x14ac:dyDescent="0.2">
      <c r="A170" s="11">
        <v>13.4</v>
      </c>
      <c r="B170" s="14">
        <v>3.133</v>
      </c>
      <c r="C170" s="11">
        <f t="shared" si="9"/>
        <v>1736.5051718199966</v>
      </c>
      <c r="D170" s="11">
        <f t="shared" si="10"/>
        <v>40.765146798822173</v>
      </c>
      <c r="E170" s="11">
        <f t="shared" si="11"/>
        <v>821.38728624492421</v>
      </c>
      <c r="F170" s="11">
        <f>Speed_Calc!B$5*E170</f>
        <v>739.24855762043182</v>
      </c>
      <c r="G170" s="14">
        <f>Speed_Calc!G$3+Speed_Calc!G$5*A170^2</f>
        <v>20.720035599999999</v>
      </c>
      <c r="H170" s="7">
        <f>(F170-G170)/Speed_Calc!G$2*9.806</f>
        <v>5.2191782866165592</v>
      </c>
      <c r="I170" s="4">
        <f t="shared" si="12"/>
        <v>3.7222222222222223</v>
      </c>
    </row>
    <row r="171" spans="1:9" x14ac:dyDescent="0.2">
      <c r="A171" s="11">
        <v>13.5</v>
      </c>
      <c r="B171" s="14">
        <v>3.133</v>
      </c>
      <c r="C171" s="11">
        <f t="shared" ref="C171:C234" si="13">A171/3.6/B$23/2/PI()*B$32*B$31*B171*60</f>
        <v>1749.4641656395488</v>
      </c>
      <c r="D171" s="11">
        <f t="shared" si="10"/>
        <v>41.155324389520068</v>
      </c>
      <c r="E171" s="11">
        <f t="shared" si="11"/>
        <v>823.10648779040127</v>
      </c>
      <c r="F171" s="11">
        <f>Speed_Calc!B$5*E171</f>
        <v>740.79583901136118</v>
      </c>
      <c r="G171" s="14">
        <f>Speed_Calc!G$3+Speed_Calc!G$5*A171^2</f>
        <v>20.730822499999999</v>
      </c>
      <c r="H171" s="7">
        <f>(F171-G171)/Speed_Calc!G$2*9.806</f>
        <v>5.2303389273410428</v>
      </c>
      <c r="I171" s="4">
        <f t="shared" si="12"/>
        <v>3.75</v>
      </c>
    </row>
    <row r="172" spans="1:9" x14ac:dyDescent="0.2">
      <c r="A172" s="11">
        <v>13.6</v>
      </c>
      <c r="B172" s="14">
        <v>3.133</v>
      </c>
      <c r="C172" s="11">
        <f t="shared" si="13"/>
        <v>1762.4231594591004</v>
      </c>
      <c r="D172" s="11">
        <f t="shared" si="10"/>
        <v>41.545446862122532</v>
      </c>
      <c r="E172" s="11">
        <f t="shared" si="11"/>
        <v>824.79931270390318</v>
      </c>
      <c r="F172" s="11">
        <f>Speed_Calc!B$5*E172</f>
        <v>742.31938143351283</v>
      </c>
      <c r="G172" s="14">
        <f>Speed_Calc!G$3+Speed_Calc!G$5*A172^2</f>
        <v>20.741689600000001</v>
      </c>
      <c r="H172" s="7">
        <f>(F172-G172)/Speed_Calc!G$2*9.806</f>
        <v>5.2413265526810564</v>
      </c>
      <c r="I172" s="4">
        <f t="shared" si="12"/>
        <v>3.7777777777777777</v>
      </c>
    </row>
    <row r="173" spans="1:9" x14ac:dyDescent="0.2">
      <c r="A173" s="11">
        <v>13.7</v>
      </c>
      <c r="B173" s="14">
        <v>3.133</v>
      </c>
      <c r="C173" s="11">
        <f t="shared" si="13"/>
        <v>1775.3821532786526</v>
      </c>
      <c r="D173" s="11">
        <f t="shared" si="10"/>
        <v>41.935498440682466</v>
      </c>
      <c r="E173" s="11">
        <f t="shared" si="11"/>
        <v>826.46602766308513</v>
      </c>
      <c r="F173" s="11">
        <f>Speed_Calc!B$5*E173</f>
        <v>743.81942489677658</v>
      </c>
      <c r="G173" s="14">
        <f>Speed_Calc!G$3+Speed_Calc!G$5*A173^2</f>
        <v>20.752636899999999</v>
      </c>
      <c r="H173" s="7">
        <f>(F173-G173)/Speed_Calc!G$2*9.806</f>
        <v>5.252142905997327</v>
      </c>
      <c r="I173" s="4">
        <f t="shared" si="12"/>
        <v>3.8055555555555554</v>
      </c>
    </row>
    <row r="174" spans="1:9" x14ac:dyDescent="0.2">
      <c r="A174" s="11">
        <v>13.8</v>
      </c>
      <c r="B174" s="14">
        <v>3.133</v>
      </c>
      <c r="C174" s="11">
        <f t="shared" si="13"/>
        <v>1788.3411470982055</v>
      </c>
      <c r="D174" s="11">
        <f t="shared" si="10"/>
        <v>42.325463687596944</v>
      </c>
      <c r="E174" s="11">
        <f t="shared" si="11"/>
        <v>828.10689823559233</v>
      </c>
      <c r="F174" s="11">
        <f>Speed_Calc!B$5*E174</f>
        <v>745.29620841203314</v>
      </c>
      <c r="G174" s="14">
        <f>Speed_Calc!G$3+Speed_Calc!G$5*A174^2</f>
        <v>20.7636644</v>
      </c>
      <c r="H174" s="7">
        <f>(F174-G174)/Speed_Calc!G$2*9.806</f>
        <v>5.2627897233940706</v>
      </c>
      <c r="I174" s="4">
        <f t="shared" si="12"/>
        <v>3.8333333333333335</v>
      </c>
    </row>
    <row r="175" spans="1:9" x14ac:dyDescent="0.2">
      <c r="A175" s="11">
        <v>13.9</v>
      </c>
      <c r="B175" s="14">
        <v>3.133</v>
      </c>
      <c r="C175" s="11">
        <f t="shared" si="13"/>
        <v>1801.3001409177568</v>
      </c>
      <c r="D175" s="11">
        <f t="shared" si="10"/>
        <v>42.715327501551641</v>
      </c>
      <c r="E175" s="11">
        <f t="shared" si="11"/>
        <v>829.72218887906104</v>
      </c>
      <c r="F175" s="11">
        <f>Speed_Calc!B$5*E175</f>
        <v>746.7499699911549</v>
      </c>
      <c r="G175" s="14">
        <f>Speed_Calc!G$3+Speed_Calc!G$5*A175^2</f>
        <v>20.7747721</v>
      </c>
      <c r="H175" s="7">
        <f>(F175-G175)/Speed_Calc!G$2*9.806</f>
        <v>5.2732687337190107</v>
      </c>
      <c r="I175" s="4">
        <f t="shared" si="12"/>
        <v>3.8611111111111112</v>
      </c>
    </row>
    <row r="176" spans="1:9" x14ac:dyDescent="0.2">
      <c r="A176" s="11">
        <v>14</v>
      </c>
      <c r="B176" s="14">
        <v>3.133</v>
      </c>
      <c r="C176" s="11">
        <f t="shared" si="13"/>
        <v>1814.2591347373095</v>
      </c>
      <c r="D176" s="11">
        <f t="shared" si="10"/>
        <v>43.105075115465453</v>
      </c>
      <c r="E176" s="11">
        <f t="shared" si="11"/>
        <v>831.3121629411196</v>
      </c>
      <c r="F176" s="11">
        <f>Speed_Calc!B$5*E176</f>
        <v>748.18094664700766</v>
      </c>
      <c r="G176" s="14">
        <f>Speed_Calc!G$3+Speed_Calc!G$5*A176^2</f>
        <v>20.785959999999999</v>
      </c>
      <c r="H176" s="7">
        <f>(F176-G176)/Speed_Calc!G$2*9.806</f>
        <v>5.2835816585633752</v>
      </c>
      <c r="I176" s="4">
        <f t="shared" si="12"/>
        <v>3.8888888888888888</v>
      </c>
    </row>
    <row r="177" spans="1:9" x14ac:dyDescent="0.2">
      <c r="A177" s="11">
        <v>14.1</v>
      </c>
      <c r="B177" s="14">
        <v>3.133</v>
      </c>
      <c r="C177" s="11">
        <f t="shared" si="13"/>
        <v>1827.2181285568615</v>
      </c>
      <c r="D177" s="11">
        <f t="shared" si="10"/>
        <v>43.494692094434697</v>
      </c>
      <c r="E177" s="11">
        <f t="shared" si="11"/>
        <v>832.87708265938795</v>
      </c>
      <c r="F177" s="11">
        <f>Speed_Calc!B$5*E177</f>
        <v>749.58937439344913</v>
      </c>
      <c r="G177" s="14">
        <f>Speed_Calc!G$3+Speed_Calc!G$5*A177^2</f>
        <v>20.797228100000002</v>
      </c>
      <c r="H177" s="7">
        <f>(F177-G177)/Speed_Calc!G$2*9.806</f>
        <v>5.2937302122618979</v>
      </c>
      <c r="I177" s="4">
        <f t="shared" si="12"/>
        <v>3.9166666666666665</v>
      </c>
    </row>
    <row r="178" spans="1:9" x14ac:dyDescent="0.2">
      <c r="A178" s="11">
        <v>14.2</v>
      </c>
      <c r="B178" s="14">
        <v>3.133</v>
      </c>
      <c r="C178" s="11">
        <f t="shared" si="13"/>
        <v>1840.1771223764135</v>
      </c>
      <c r="D178" s="11">
        <f t="shared" si="10"/>
        <v>43.884164333677631</v>
      </c>
      <c r="E178" s="11">
        <f t="shared" si="11"/>
        <v>834.41720916147619</v>
      </c>
      <c r="F178" s="11">
        <f>Speed_Calc!B$5*E178</f>
        <v>750.97548824532862</v>
      </c>
      <c r="G178" s="14">
        <f>Speed_Calc!G$3+Speed_Calc!G$5*A178^2</f>
        <v>20.8085764</v>
      </c>
      <c r="H178" s="7">
        <f>(F178-G178)/Speed_Calc!G$2*9.806</f>
        <v>5.3037161018928085</v>
      </c>
      <c r="I178" s="4">
        <f t="shared" si="12"/>
        <v>3.9444444444444442</v>
      </c>
    </row>
    <row r="179" spans="1:9" x14ac:dyDescent="0.2">
      <c r="A179" s="11">
        <v>14.3</v>
      </c>
      <c r="B179" s="14">
        <v>3.133</v>
      </c>
      <c r="C179" s="11">
        <f t="shared" si="13"/>
        <v>1853.1361161959662</v>
      </c>
      <c r="D179" s="11">
        <f t="shared" si="10"/>
        <v>44.273478056478936</v>
      </c>
      <c r="E179" s="11">
        <f t="shared" si="11"/>
        <v>835.93280246498705</v>
      </c>
      <c r="F179" s="11">
        <f>Speed_Calc!B$5*E179</f>
        <v>752.33952221848836</v>
      </c>
      <c r="G179" s="14">
        <f>Speed_Calc!G$3+Speed_Calc!G$5*A179^2</f>
        <v>20.820004900000001</v>
      </c>
      <c r="H179" s="7">
        <f>(F179-G179)/Speed_Calc!G$2*9.806</f>
        <v>5.31354102727785</v>
      </c>
      <c r="I179" s="4">
        <f t="shared" si="12"/>
        <v>3.9722222222222223</v>
      </c>
    </row>
    <row r="180" spans="1:9" x14ac:dyDescent="0.2">
      <c r="A180" s="11">
        <v>14.4</v>
      </c>
      <c r="B180" s="14">
        <v>3.133</v>
      </c>
      <c r="C180" s="11">
        <f t="shared" si="13"/>
        <v>1866.0951100155182</v>
      </c>
      <c r="D180" s="11">
        <f t="shared" si="10"/>
        <v>44.662619812134032</v>
      </c>
      <c r="E180" s="11">
        <f t="shared" si="11"/>
        <v>837.42412147751315</v>
      </c>
      <c r="F180" s="11">
        <f>Speed_Calc!B$5*E180</f>
        <v>753.68170932976182</v>
      </c>
      <c r="G180" s="14">
        <f>Speed_Calc!G$3+Speed_Calc!G$5*A180^2</f>
        <v>20.831513600000001</v>
      </c>
      <c r="H180" s="7">
        <f>(F180-G180)/Speed_Calc!G$2*9.806</f>
        <v>5.3232066809822545</v>
      </c>
      <c r="I180" s="4">
        <f t="shared" si="12"/>
        <v>4</v>
      </c>
    </row>
    <row r="181" spans="1:9" x14ac:dyDescent="0.2">
      <c r="A181" s="11">
        <v>14.5</v>
      </c>
      <c r="B181" s="14">
        <v>3.133</v>
      </c>
      <c r="C181" s="11">
        <f t="shared" si="13"/>
        <v>1879.0541038350702</v>
      </c>
      <c r="D181" s="11">
        <f t="shared" si="10"/>
        <v>45.051576473893618</v>
      </c>
      <c r="E181" s="11">
        <f t="shared" si="11"/>
        <v>838.89142399664001</v>
      </c>
      <c r="F181" s="11">
        <f>Speed_Calc!B$5*E181</f>
        <v>755.00228159697599</v>
      </c>
      <c r="G181" s="14">
        <f>Speed_Calc!G$3+Speed_Calc!G$5*A181^2</f>
        <v>20.843102500000001</v>
      </c>
      <c r="H181" s="7">
        <f>(F181-G181)/Speed_Calc!G$2*9.806</f>
        <v>5.3327147483147748</v>
      </c>
      <c r="I181" s="4">
        <f t="shared" si="12"/>
        <v>4.0277777777777777</v>
      </c>
    </row>
    <row r="182" spans="1:9" x14ac:dyDescent="0.2">
      <c r="A182" s="11">
        <v>14.6</v>
      </c>
      <c r="B182" s="14">
        <v>3.133</v>
      </c>
      <c r="C182" s="11">
        <f t="shared" si="13"/>
        <v>1892.0130976546225</v>
      </c>
      <c r="D182" s="11">
        <f t="shared" si="10"/>
        <v>45.440335236908048</v>
      </c>
      <c r="E182" s="11">
        <f t="shared" si="11"/>
        <v>840.33496670994361</v>
      </c>
      <c r="F182" s="11">
        <f>Speed_Calc!B$5*E182</f>
        <v>756.30147003894922</v>
      </c>
      <c r="G182" s="14">
        <f>Speed_Calc!G$3+Speed_Calc!G$5*A182^2</f>
        <v>20.854771599999999</v>
      </c>
      <c r="H182" s="7">
        <f>(F182-G182)/Speed_Calc!G$2*9.806</f>
        <v>5.3420669073276557</v>
      </c>
      <c r="I182" s="4">
        <f t="shared" si="12"/>
        <v>4.0555555555555554</v>
      </c>
    </row>
    <row r="183" spans="1:9" x14ac:dyDescent="0.2">
      <c r="A183" s="11">
        <v>14.7</v>
      </c>
      <c r="B183" s="14">
        <v>3.133</v>
      </c>
      <c r="C183" s="11">
        <f t="shared" si="13"/>
        <v>1904.9720914741749</v>
      </c>
      <c r="D183" s="11">
        <f t="shared" si="10"/>
        <v>45.828883616171709</v>
      </c>
      <c r="E183" s="11">
        <f t="shared" si="11"/>
        <v>841.75500519499053</v>
      </c>
      <c r="F183" s="11">
        <f>Speed_Calc!B$5*E183</f>
        <v>757.57950467549153</v>
      </c>
      <c r="G183" s="14">
        <f>Speed_Calc!G$3+Speed_Calc!G$5*A183^2</f>
        <v>20.866520900000001</v>
      </c>
      <c r="H183" s="7">
        <f>(F183-G183)/Speed_Calc!G$2*9.806</f>
        <v>5.3512648288166442</v>
      </c>
      <c r="I183" s="4">
        <f t="shared" si="12"/>
        <v>4.083333333333333</v>
      </c>
    </row>
    <row r="184" spans="1:9" x14ac:dyDescent="0.2">
      <c r="A184" s="11">
        <v>14.8</v>
      </c>
      <c r="B184" s="14">
        <v>3.133</v>
      </c>
      <c r="C184" s="11">
        <f t="shared" si="13"/>
        <v>1917.9310852937276</v>
      </c>
      <c r="D184" s="11">
        <f t="shared" si="10"/>
        <v>46.217209444467564</v>
      </c>
      <c r="E184" s="11">
        <f t="shared" si="11"/>
        <v>843.15179391934043</v>
      </c>
      <c r="F184" s="11">
        <f>Speed_Calc!B$5*E184</f>
        <v>758.83661452740637</v>
      </c>
      <c r="G184" s="14">
        <f>Speed_Calc!G$3+Speed_Calc!G$5*A184^2</f>
        <v>20.878350399999999</v>
      </c>
      <c r="H184" s="7">
        <f>(F184-G184)/Speed_Calc!G$2*9.806</f>
        <v>5.3603101763209962</v>
      </c>
      <c r="I184" s="4">
        <f t="shared" si="12"/>
        <v>4.1111111111111116</v>
      </c>
    </row>
    <row r="185" spans="1:9" x14ac:dyDescent="0.2">
      <c r="A185" s="11">
        <v>14.9</v>
      </c>
      <c r="B185" s="14">
        <v>3.133</v>
      </c>
      <c r="C185" s="11">
        <f t="shared" si="13"/>
        <v>1930.8900791132792</v>
      </c>
      <c r="D185" s="11">
        <f t="shared" si="10"/>
        <v>46.605300870311446</v>
      </c>
      <c r="E185" s="11">
        <f t="shared" si="11"/>
        <v>844.52558624054313</v>
      </c>
      <c r="F185" s="11">
        <f>Speed_Calc!B$5*E185</f>
        <v>760.07302761648884</v>
      </c>
      <c r="G185" s="14">
        <f>Speed_Calc!G$3+Speed_Calc!G$5*A185^2</f>
        <v>20.890260099999999</v>
      </c>
      <c r="H185" s="7">
        <f>(F185-G185)/Speed_Calc!G$2*9.806</f>
        <v>5.3692046061234739</v>
      </c>
      <c r="I185" s="4">
        <f t="shared" si="12"/>
        <v>4.1388888888888893</v>
      </c>
    </row>
    <row r="186" spans="1:9" x14ac:dyDescent="0.2">
      <c r="A186" s="11">
        <v>15</v>
      </c>
      <c r="B186" s="14">
        <v>3.133</v>
      </c>
      <c r="C186" s="11">
        <f t="shared" si="13"/>
        <v>1943.8490729328321</v>
      </c>
      <c r="D186" s="11">
        <f t="shared" si="10"/>
        <v>46.993146355896641</v>
      </c>
      <c r="E186" s="11">
        <f t="shared" si="11"/>
        <v>845.87663440613915</v>
      </c>
      <c r="F186" s="11">
        <f>Speed_Calc!B$5*E186</f>
        <v>761.28897096552521</v>
      </c>
      <c r="G186" s="14">
        <f>Speed_Calc!G$3+Speed_Calc!G$5*A186^2</f>
        <v>20.902249999999999</v>
      </c>
      <c r="H186" s="7">
        <f>(F186-G186)/Speed_Calc!G$2*9.806</f>
        <v>5.3779497672503256</v>
      </c>
      <c r="I186" s="4">
        <f t="shared" si="12"/>
        <v>4.166666666666667</v>
      </c>
    </row>
    <row r="187" spans="1:9" x14ac:dyDescent="0.2">
      <c r="A187" s="11">
        <v>15.1</v>
      </c>
      <c r="B187" s="14">
        <v>3.133</v>
      </c>
      <c r="C187" s="11">
        <f t="shared" si="13"/>
        <v>1956.8080667523836</v>
      </c>
      <c r="D187" s="11">
        <f t="shared" si="10"/>
        <v>47.380734675038163</v>
      </c>
      <c r="E187" s="11">
        <f t="shared" si="11"/>
        <v>847.20518955366265</v>
      </c>
      <c r="F187" s="11">
        <f>Speed_Calc!B$5*E187</f>
        <v>762.48467059829636</v>
      </c>
      <c r="G187" s="14">
        <f>Speed_Calc!G$3+Speed_Calc!G$5*A187^2</f>
        <v>20.914320100000001</v>
      </c>
      <c r="H187" s="7">
        <f>(F187-G187)/Speed_Calc!G$2*9.806</f>
        <v>5.3865473014713281</v>
      </c>
      <c r="I187" s="4">
        <f t="shared" si="12"/>
        <v>4.1944444444444446</v>
      </c>
    </row>
    <row r="188" spans="1:9" x14ac:dyDescent="0.2">
      <c r="A188" s="11">
        <v>15.2</v>
      </c>
      <c r="B188" s="14">
        <v>3.133</v>
      </c>
      <c r="C188" s="11">
        <f t="shared" si="13"/>
        <v>1969.7670605719359</v>
      </c>
      <c r="D188" s="11">
        <f t="shared" si="10"/>
        <v>47.768054911117318</v>
      </c>
      <c r="E188" s="11">
        <f t="shared" si="11"/>
        <v>848.51150171063659</v>
      </c>
      <c r="F188" s="11">
        <f>Speed_Calc!B$5*E188</f>
        <v>763.66035153957296</v>
      </c>
      <c r="G188" s="14">
        <f>Speed_Calc!G$3+Speed_Calc!G$5*A188^2</f>
        <v>20.926470399999999</v>
      </c>
      <c r="H188" s="7">
        <f>(F188-G188)/Speed_Calc!G$2*9.806</f>
        <v>5.3949988432997422</v>
      </c>
      <c r="I188" s="4">
        <f t="shared" si="12"/>
        <v>4.2222222222222223</v>
      </c>
    </row>
    <row r="189" spans="1:9" x14ac:dyDescent="0.2">
      <c r="A189" s="11">
        <v>15.3</v>
      </c>
      <c r="B189" s="14">
        <v>3.133</v>
      </c>
      <c r="C189" s="11">
        <f t="shared" si="13"/>
        <v>1982.7260543914888</v>
      </c>
      <c r="D189" s="11">
        <f t="shared" si="10"/>
        <v>48.155096455026033</v>
      </c>
      <c r="E189" s="11">
        <f t="shared" si="11"/>
        <v>849.79581979457691</v>
      </c>
      <c r="F189" s="11">
        <f>Speed_Calc!B$5*E189</f>
        <v>764.81623781511928</v>
      </c>
      <c r="G189" s="14">
        <f>Speed_Calc!G$3+Speed_Calc!G$5*A189^2</f>
        <v>20.938700900000001</v>
      </c>
      <c r="H189" s="7">
        <f>(F189-G189)/Speed_Calc!G$2*9.806</f>
        <v>5.4033060199923399</v>
      </c>
      <c r="I189" s="4">
        <f t="shared" si="12"/>
        <v>4.25</v>
      </c>
    </row>
    <row r="190" spans="1:9" x14ac:dyDescent="0.2">
      <c r="A190" s="11">
        <v>15.4</v>
      </c>
      <c r="B190" s="14">
        <v>3.133</v>
      </c>
      <c r="C190" s="11">
        <f t="shared" si="13"/>
        <v>1995.6850482110408</v>
      </c>
      <c r="D190" s="11">
        <f t="shared" si="10"/>
        <v>48.541849003111253</v>
      </c>
      <c r="E190" s="11">
        <f t="shared" si="11"/>
        <v>851.05839161298934</v>
      </c>
      <c r="F190" s="11">
        <f>Speed_Calc!B$5*E190</f>
        <v>765.95255245169039</v>
      </c>
      <c r="G190" s="14">
        <f>Speed_Calc!G$3+Speed_Calc!G$5*A190^2</f>
        <v>20.951011600000001</v>
      </c>
      <c r="H190" s="7">
        <f>(F190-G190)/Speed_Calc!G$2*9.806</f>
        <v>5.4114704515493894</v>
      </c>
      <c r="I190" s="4">
        <f t="shared" si="12"/>
        <v>4.2777777777777777</v>
      </c>
    </row>
    <row r="191" spans="1:9" x14ac:dyDescent="0.2">
      <c r="A191" s="11">
        <v>15.5</v>
      </c>
      <c r="B191" s="14">
        <v>3.133</v>
      </c>
      <c r="C191" s="11">
        <f t="shared" si="13"/>
        <v>2008.6440420305926</v>
      </c>
      <c r="D191" s="11">
        <f t="shared" si="10"/>
        <v>48.928302555119544</v>
      </c>
      <c r="E191" s="11">
        <f t="shared" si="11"/>
        <v>852.29946386337269</v>
      </c>
      <c r="F191" s="11">
        <f>Speed_Calc!B$5*E191</f>
        <v>767.06951747703545</v>
      </c>
      <c r="G191" s="14">
        <f>Speed_Calc!G$3+Speed_Calc!G$5*A191^2</f>
        <v>20.963402500000001</v>
      </c>
      <c r="H191" s="7">
        <f>(F191-G191)/Speed_Calc!G$2*9.806</f>
        <v>5.4194937507146737</v>
      </c>
      <c r="I191" s="4">
        <f t="shared" si="12"/>
        <v>4.3055555555555554</v>
      </c>
    </row>
    <row r="192" spans="1:9" x14ac:dyDescent="0.2">
      <c r="A192" s="11">
        <v>15.6</v>
      </c>
      <c r="B192" s="14">
        <v>3.133</v>
      </c>
      <c r="C192" s="11">
        <f t="shared" si="13"/>
        <v>2021.6030358501446</v>
      </c>
      <c r="D192" s="11">
        <f t="shared" si="10"/>
        <v>49.314447412141362</v>
      </c>
      <c r="E192" s="11">
        <f t="shared" si="11"/>
        <v>853.51928213321617</v>
      </c>
      <c r="F192" s="11">
        <f>Speed_Calc!B$5*E192</f>
        <v>768.16735391989459</v>
      </c>
      <c r="G192" s="14">
        <f>Speed_Calc!G$3+Speed_Calc!G$5*A192^2</f>
        <v>20.9758736</v>
      </c>
      <c r="H192" s="7">
        <f>(F192-G192)/Speed_Calc!G$2*9.806</f>
        <v>5.4273775229754708</v>
      </c>
      <c r="I192" s="4">
        <f t="shared" si="12"/>
        <v>4.333333333333333</v>
      </c>
    </row>
    <row r="193" spans="1:9" x14ac:dyDescent="0.2">
      <c r="A193" s="11">
        <v>15.7</v>
      </c>
      <c r="B193" s="14">
        <v>3.133</v>
      </c>
      <c r="C193" s="11">
        <f t="shared" si="13"/>
        <v>2034.5620296696966</v>
      </c>
      <c r="D193" s="11">
        <f t="shared" si="10"/>
        <v>49.700274174555538</v>
      </c>
      <c r="E193" s="11">
        <f t="shared" si="11"/>
        <v>854.71809089999999</v>
      </c>
      <c r="F193" s="11">
        <f>Speed_Calc!B$5*E193</f>
        <v>769.24628181000003</v>
      </c>
      <c r="G193" s="14">
        <f>Speed_Calc!G$3+Speed_Calc!G$5*A193^2</f>
        <v>20.988424899999998</v>
      </c>
      <c r="H193" s="7">
        <f>(F193-G193)/Speed_Calc!G$2*9.806</f>
        <v>5.4351233665625625</v>
      </c>
      <c r="I193" s="4">
        <f t="shared" si="12"/>
        <v>4.3611111111111107</v>
      </c>
    </row>
    <row r="194" spans="1:9" x14ac:dyDescent="0.2">
      <c r="A194" s="11">
        <v>15.8</v>
      </c>
      <c r="B194" s="14">
        <v>3.133</v>
      </c>
      <c r="C194" s="11">
        <f t="shared" si="13"/>
        <v>2047.5210234892493</v>
      </c>
      <c r="D194" s="11">
        <f t="shared" si="10"/>
        <v>50.085773739973739</v>
      </c>
      <c r="E194" s="11">
        <f t="shared" si="11"/>
        <v>855.89613353119682</v>
      </c>
      <c r="F194" s="11">
        <f>Speed_Calc!B$5*E194</f>
        <v>770.30652017807711</v>
      </c>
      <c r="G194" s="14">
        <f>Speed_Calc!G$3+Speed_Calc!G$5*A194^2</f>
        <v>21.0010564</v>
      </c>
      <c r="H194" s="7">
        <f>(F194-G194)/Speed_Calc!G$2*9.806</f>
        <v>5.4427328724502386</v>
      </c>
      <c r="I194" s="4">
        <f t="shared" si="12"/>
        <v>4.3888888888888893</v>
      </c>
    </row>
    <row r="195" spans="1:9" x14ac:dyDescent="0.2">
      <c r="A195" s="11">
        <v>15.9</v>
      </c>
      <c r="B195" s="14">
        <v>3.133</v>
      </c>
      <c r="C195" s="11">
        <f t="shared" si="13"/>
        <v>2060.4800173088015</v>
      </c>
      <c r="D195" s="11">
        <f t="shared" si="10"/>
        <v>50.470937301184733</v>
      </c>
      <c r="E195" s="11">
        <f t="shared" si="11"/>
        <v>857.05365228426911</v>
      </c>
      <c r="F195" s="11">
        <f>Speed_Calc!B$5*E195</f>
        <v>771.34828705584221</v>
      </c>
      <c r="G195" s="14">
        <f>Speed_Calc!G$3+Speed_Calc!G$5*A195^2</f>
        <v>21.0137681</v>
      </c>
      <c r="H195" s="7">
        <f>(F195-G195)/Speed_Calc!G$2*9.806</f>
        <v>5.4502076243562874</v>
      </c>
      <c r="I195" s="4">
        <f t="shared" si="12"/>
        <v>4.416666666666667</v>
      </c>
    </row>
    <row r="196" spans="1:9" x14ac:dyDescent="0.2">
      <c r="A196" s="11">
        <v>16</v>
      </c>
      <c r="B196" s="14">
        <v>3.133</v>
      </c>
      <c r="C196" s="11">
        <f t="shared" si="13"/>
        <v>2073.4390111283542</v>
      </c>
      <c r="D196" s="11">
        <f t="shared" si="10"/>
        <v>50.855756344099106</v>
      </c>
      <c r="E196" s="11">
        <f t="shared" si="11"/>
        <v>858.19088830667226</v>
      </c>
      <c r="F196" s="11">
        <f>Speed_Calc!B$5*E196</f>
        <v>772.37179947600509</v>
      </c>
      <c r="G196" s="14">
        <f>Speed_Calc!G$3+Speed_Calc!G$5*A196^2</f>
        <v>21.02656</v>
      </c>
      <c r="H196" s="7">
        <f>(F196-G196)/Speed_Calc!G$2*9.806</f>
        <v>5.4575491987420044</v>
      </c>
      <c r="I196" s="4">
        <f t="shared" si="12"/>
        <v>4.4444444444444446</v>
      </c>
    </row>
    <row r="197" spans="1:9" x14ac:dyDescent="0.2">
      <c r="A197" s="11">
        <v>16.100000000000001</v>
      </c>
      <c r="B197" s="14">
        <v>3.133</v>
      </c>
      <c r="C197" s="11">
        <f t="shared" si="13"/>
        <v>2086.398004947906</v>
      </c>
      <c r="D197" s="11">
        <f t="shared" si="10"/>
        <v>51.240222645693379</v>
      </c>
      <c r="E197" s="11">
        <f t="shared" si="11"/>
        <v>859.30808163585164</v>
      </c>
      <c r="F197" s="11">
        <f>Speed_Calc!B$5*E197</f>
        <v>773.37727347226644</v>
      </c>
      <c r="G197" s="14">
        <f>Speed_Calc!G$3+Speed_Calc!G$5*A197^2</f>
        <v>21.039432099999999</v>
      </c>
      <c r="H197" s="7">
        <f>(F197-G197)/Speed_Calc!G$2*9.806</f>
        <v>5.4647591648121807</v>
      </c>
      <c r="I197" s="4">
        <f t="shared" si="12"/>
        <v>4.4722222222222223</v>
      </c>
    </row>
    <row r="198" spans="1:9" x14ac:dyDescent="0.2">
      <c r="A198" s="11">
        <v>16.2</v>
      </c>
      <c r="B198" s="14">
        <v>3.133</v>
      </c>
      <c r="C198" s="11">
        <f t="shared" si="13"/>
        <v>2099.3569987674582</v>
      </c>
      <c r="D198" s="11">
        <f t="shared" si="10"/>
        <v>51.624328271954688</v>
      </c>
      <c r="E198" s="11">
        <f t="shared" si="11"/>
        <v>860.40547119924463</v>
      </c>
      <c r="F198" s="11">
        <f>Speed_Calc!B$5*E198</f>
        <v>774.36492407932019</v>
      </c>
      <c r="G198" s="14">
        <f>Speed_Calc!G$3+Speed_Calc!G$5*A198^2</f>
        <v>21.052384400000001</v>
      </c>
      <c r="H198" s="7">
        <f>(F198-G198)/Speed_Calc!G$2*9.806</f>
        <v>5.4718390845151204</v>
      </c>
      <c r="I198" s="4">
        <f t="shared" si="12"/>
        <v>4.5</v>
      </c>
    </row>
    <row r="199" spans="1:9" x14ac:dyDescent="0.2">
      <c r="A199" s="11">
        <v>16.3</v>
      </c>
      <c r="B199" s="14">
        <v>3.133</v>
      </c>
      <c r="C199" s="11">
        <f t="shared" si="13"/>
        <v>2112.3159925870104</v>
      </c>
      <c r="D199" s="11">
        <f t="shared" si="10"/>
        <v>52.008065575825071</v>
      </c>
      <c r="E199" s="11">
        <f t="shared" si="11"/>
        <v>861.48329481428027</v>
      </c>
      <c r="F199" s="11">
        <f>Speed_Calc!B$5*E199</f>
        <v>775.33496533285222</v>
      </c>
      <c r="G199" s="14">
        <f>Speed_Calc!G$3+Speed_Calc!G$5*A199^2</f>
        <v>21.065416899999999</v>
      </c>
      <c r="H199" s="7">
        <f>(F199-G199)/Speed_Calc!G$2*9.806</f>
        <v>5.4787905125426288</v>
      </c>
      <c r="I199" s="4">
        <f t="shared" si="12"/>
        <v>4.5277777777777777</v>
      </c>
    </row>
    <row r="200" spans="1:9" x14ac:dyDescent="0.2">
      <c r="A200" s="11">
        <v>16.399999999999999</v>
      </c>
      <c r="B200" s="14">
        <v>3.133</v>
      </c>
      <c r="C200" s="11">
        <f t="shared" si="13"/>
        <v>2125.2749864065622</v>
      </c>
      <c r="D200" s="11">
        <f t="shared" si="10"/>
        <v>52.391427195145916</v>
      </c>
      <c r="E200" s="11">
        <f t="shared" si="11"/>
        <v>862.54178918837783</v>
      </c>
      <c r="F200" s="11">
        <f>Speed_Calc!B$5*E200</f>
        <v>776.2876102695401</v>
      </c>
      <c r="G200" s="14">
        <f>Speed_Calc!G$3+Speed_Calc!G$5*A200^2</f>
        <v>21.0785296</v>
      </c>
      <c r="H200" s="7">
        <f>(F200-G200)/Speed_Calc!G$2*9.806</f>
        <v>5.4856149963300069</v>
      </c>
      <c r="I200" s="4">
        <f t="shared" si="12"/>
        <v>4.5555555555555554</v>
      </c>
    </row>
    <row r="201" spans="1:9" x14ac:dyDescent="0.2">
      <c r="A201" s="11">
        <v>16.5</v>
      </c>
      <c r="B201" s="14">
        <v>3.133</v>
      </c>
      <c r="C201" s="11">
        <f t="shared" si="13"/>
        <v>2138.2339802261145</v>
      </c>
      <c r="D201" s="11">
        <f t="shared" si="10"/>
        <v>52.774406050602408</v>
      </c>
      <c r="E201" s="11">
        <f t="shared" si="11"/>
        <v>863.58118991894867</v>
      </c>
      <c r="F201" s="11">
        <f>Speed_Calc!B$5*E201</f>
        <v>777.22307092705387</v>
      </c>
      <c r="G201" s="14">
        <f>Speed_Calc!G$3+Speed_Calc!G$5*A201^2</f>
        <v>21.091722499999999</v>
      </c>
      <c r="H201" s="7">
        <f>(F201-G201)/Speed_Calc!G$2*9.806</f>
        <v>5.4923140760560667</v>
      </c>
      <c r="I201" s="4">
        <f t="shared" si="12"/>
        <v>4.583333333333333</v>
      </c>
    </row>
    <row r="202" spans="1:9" x14ac:dyDescent="0.2">
      <c r="A202" s="11">
        <v>16.600000000000001</v>
      </c>
      <c r="B202" s="14">
        <v>3.133</v>
      </c>
      <c r="C202" s="11">
        <f t="shared" si="13"/>
        <v>2151.1929740456671</v>
      </c>
      <c r="D202" s="11">
        <f t="shared" si="10"/>
        <v>53.156995343668036</v>
      </c>
      <c r="E202" s="11">
        <f t="shared" si="11"/>
        <v>864.60173149339573</v>
      </c>
      <c r="F202" s="11">
        <f>Speed_Calc!B$5*E202</f>
        <v>778.14155834405619</v>
      </c>
      <c r="G202" s="14">
        <f>Speed_Calc!G$3+Speed_Calc!G$5*A202^2</f>
        <v>21.104995599999999</v>
      </c>
      <c r="H202" s="7">
        <f>(F202-G202)/Speed_Calc!G$2*9.806</f>
        <v>5.4988892846431217</v>
      </c>
      <c r="I202" s="4">
        <f t="shared" si="12"/>
        <v>4.6111111111111116</v>
      </c>
    </row>
    <row r="203" spans="1:9" x14ac:dyDescent="0.2">
      <c r="A203" s="11">
        <v>16.7</v>
      </c>
      <c r="B203" s="14">
        <v>3.133</v>
      </c>
      <c r="C203" s="11">
        <f t="shared" si="13"/>
        <v>2164.1519678652189</v>
      </c>
      <c r="D203" s="11">
        <f t="shared" si="10"/>
        <v>53.539188554548815</v>
      </c>
      <c r="E203" s="11">
        <f t="shared" si="11"/>
        <v>865.60364728911259</v>
      </c>
      <c r="F203" s="11">
        <f>Speed_Calc!B$5*E203</f>
        <v>779.04328256020131</v>
      </c>
      <c r="G203" s="14">
        <f>Speed_Calc!G$3+Speed_Calc!G$5*A203^2</f>
        <v>21.118348900000001</v>
      </c>
      <c r="H203" s="7">
        <f>(F203-G203)/Speed_Calc!G$2*9.806</f>
        <v>5.5053421477569877</v>
      </c>
      <c r="I203" s="4">
        <f t="shared" si="12"/>
        <v>4.6388888888888884</v>
      </c>
    </row>
    <row r="204" spans="1:9" x14ac:dyDescent="0.2">
      <c r="A204" s="11">
        <v>16.8</v>
      </c>
      <c r="B204" s="14">
        <v>3.133</v>
      </c>
      <c r="C204" s="11">
        <f t="shared" si="13"/>
        <v>2177.1109616847716</v>
      </c>
      <c r="D204" s="11">
        <f t="shared" si="10"/>
        <v>53.920979440127937</v>
      </c>
      <c r="E204" s="11">
        <f t="shared" si="11"/>
        <v>866.58716957348474</v>
      </c>
      <c r="F204" s="11">
        <f>Speed_Calc!B$5*E204</f>
        <v>779.92845261613627</v>
      </c>
      <c r="G204" s="14">
        <f>Speed_Calc!G$3+Speed_Calc!G$5*A204^2</f>
        <v>21.131782399999999</v>
      </c>
      <c r="H204" s="7">
        <f>(F204-G204)/Speed_Calc!G$2*9.806</f>
        <v>5.5116741838069858</v>
      </c>
      <c r="I204" s="4">
        <f t="shared" si="12"/>
        <v>4.666666666666667</v>
      </c>
    </row>
    <row r="205" spans="1:9" x14ac:dyDescent="0.2">
      <c r="A205" s="11">
        <v>16.899999999999999</v>
      </c>
      <c r="B205" s="14">
        <v>3.133</v>
      </c>
      <c r="C205" s="11">
        <f t="shared" si="13"/>
        <v>2190.0699555043234</v>
      </c>
      <c r="D205" s="11">
        <f t="shared" si="10"/>
        <v>54.302362031910008</v>
      </c>
      <c r="E205" s="11">
        <f t="shared" si="11"/>
        <v>867.55252950388785</v>
      </c>
      <c r="F205" s="11">
        <f>Speed_Calc!B$5*E205</f>
        <v>780.79727655349905</v>
      </c>
      <c r="G205" s="14">
        <f>Speed_Calc!G$3+Speed_Calc!G$5*A205^2</f>
        <v>21.145296099999999</v>
      </c>
      <c r="H205" s="7">
        <f>(F205-G205)/Speed_Calc!G$2*9.806</f>
        <v>5.517886903945934</v>
      </c>
      <c r="I205" s="4">
        <f t="shared" si="12"/>
        <v>4.6944444444444438</v>
      </c>
    </row>
    <row r="206" spans="1:9" x14ac:dyDescent="0.2">
      <c r="A206" s="11">
        <v>17</v>
      </c>
      <c r="B206" s="14">
        <v>3.133</v>
      </c>
      <c r="C206" s="11">
        <f t="shared" si="13"/>
        <v>2203.0289493238761</v>
      </c>
      <c r="D206" s="11">
        <f t="shared" si="10"/>
        <v>54.68333063396571</v>
      </c>
      <c r="E206" s="11">
        <f t="shared" si="11"/>
        <v>868.49995712769055</v>
      </c>
      <c r="F206" s="11">
        <f>Speed_Calc!B$5*E206</f>
        <v>781.64996141492156</v>
      </c>
      <c r="G206" s="14">
        <f>Speed_Calc!G$3+Speed_Calc!G$5*A206^2</f>
        <v>21.15889</v>
      </c>
      <c r="H206" s="7">
        <f>(F206-G206)/Speed_Calc!G$2*9.806</f>
        <v>5.5239818120701623</v>
      </c>
      <c r="I206" s="4">
        <f t="shared" si="12"/>
        <v>4.7222222222222223</v>
      </c>
    </row>
    <row r="207" spans="1:9" x14ac:dyDescent="0.2">
      <c r="A207" s="11">
        <v>17.100000000000001</v>
      </c>
      <c r="B207" s="14">
        <v>3.133</v>
      </c>
      <c r="C207" s="11">
        <f t="shared" si="13"/>
        <v>2215.9879431434279</v>
      </c>
      <c r="D207" s="11">
        <f t="shared" si="10"/>
        <v>55.063879820875961</v>
      </c>
      <c r="E207" s="11">
        <f t="shared" si="11"/>
        <v>869.42968138225217</v>
      </c>
      <c r="F207" s="11">
        <f>Speed_Calc!B$5*E207</f>
        <v>782.48671324402699</v>
      </c>
      <c r="G207" s="14">
        <f>Speed_Calc!G$3+Speed_Calc!G$5*A207^2</f>
        <v>21.172564099999999</v>
      </c>
      <c r="H207" s="7">
        <f>(F207-G207)/Speed_Calc!G$2*9.806</f>
        <v>5.5299604048195024</v>
      </c>
      <c r="I207" s="4">
        <f t="shared" si="12"/>
        <v>4.75</v>
      </c>
    </row>
    <row r="208" spans="1:9" x14ac:dyDescent="0.2">
      <c r="A208" s="11">
        <v>17.2</v>
      </c>
      <c r="B208" s="14">
        <v>3.133</v>
      </c>
      <c r="C208" s="11">
        <f t="shared" si="13"/>
        <v>2228.9469369629801</v>
      </c>
      <c r="D208" s="11">
        <f t="shared" si="10"/>
        <v>55.444004435676547</v>
      </c>
      <c r="E208" s="11">
        <f t="shared" si="11"/>
        <v>870.34193009492265</v>
      </c>
      <c r="F208" s="11">
        <f>Speed_Calc!B$5*E208</f>
        <v>783.3077370854304</v>
      </c>
      <c r="G208" s="14">
        <f>Speed_Calc!G$3+Speed_Calc!G$5*A208^2</f>
        <v>21.186318400000001</v>
      </c>
      <c r="H208" s="7">
        <f>(F208-G208)/Speed_Calc!G$2*9.806</f>
        <v>5.5358241715772811</v>
      </c>
      <c r="I208" s="4">
        <f t="shared" si="12"/>
        <v>4.7777777777777777</v>
      </c>
    </row>
    <row r="209" spans="1:9" x14ac:dyDescent="0.2">
      <c r="A209" s="11">
        <v>17.3</v>
      </c>
      <c r="B209" s="14">
        <v>3.133</v>
      </c>
      <c r="C209" s="11">
        <f t="shared" si="13"/>
        <v>2241.9059307825323</v>
      </c>
      <c r="D209" s="11">
        <f t="shared" si="10"/>
        <v>55.823699587802459</v>
      </c>
      <c r="E209" s="11">
        <f t="shared" si="11"/>
        <v>871.23692998304432</v>
      </c>
      <c r="F209" s="11">
        <f>Speed_Calc!B$5*E209</f>
        <v>784.11323698473996</v>
      </c>
      <c r="G209" s="14">
        <f>Speed_Calc!G$3+Speed_Calc!G$5*A209^2</f>
        <v>21.200152899999999</v>
      </c>
      <c r="H209" s="7">
        <f>(F209-G209)/Speed_Calc!G$2*9.806</f>
        <v>5.5415745944703403</v>
      </c>
      <c r="I209" s="4">
        <f t="shared" si="12"/>
        <v>4.8055555555555554</v>
      </c>
    </row>
    <row r="210" spans="1:9" x14ac:dyDescent="0.2">
      <c r="A210" s="11">
        <v>17.399999999999999</v>
      </c>
      <c r="B210" s="14">
        <v>3.133</v>
      </c>
      <c r="C210" s="11">
        <f t="shared" si="13"/>
        <v>2254.8649246020846</v>
      </c>
      <c r="D210" s="11">
        <f t="shared" si="10"/>
        <v>56.202960651032313</v>
      </c>
      <c r="E210" s="11">
        <f t="shared" si="11"/>
        <v>872.11490665394979</v>
      </c>
      <c r="F210" s="11">
        <f>Speed_Calc!B$5*E210</f>
        <v>784.9034159885548</v>
      </c>
      <c r="G210" s="14">
        <f>Speed_Calc!G$3+Speed_Calc!G$5*A210^2</f>
        <v>21.2140676</v>
      </c>
      <c r="H210" s="7">
        <f>(F210-G210)/Speed_Calc!G$2*9.806</f>
        <v>5.5472131483690132</v>
      </c>
      <c r="I210" s="4">
        <f t="shared" si="12"/>
        <v>4.833333333333333</v>
      </c>
    </row>
    <row r="211" spans="1:9" x14ac:dyDescent="0.2">
      <c r="A211" s="11">
        <v>17.5</v>
      </c>
      <c r="B211" s="14">
        <v>3.133</v>
      </c>
      <c r="C211" s="11">
        <f t="shared" si="13"/>
        <v>2267.8239184216363</v>
      </c>
      <c r="D211" s="11">
        <f t="shared" si="10"/>
        <v>56.581783261432847</v>
      </c>
      <c r="E211" s="11">
        <f t="shared" si="11"/>
        <v>872.97608460496406</v>
      </c>
      <c r="F211" s="11">
        <f>Speed_Calc!B$5*E211</f>
        <v>785.67847614446771</v>
      </c>
      <c r="G211" s="14">
        <f>Speed_Calc!G$3+Speed_Calc!G$5*A211^2</f>
        <v>21.2280625</v>
      </c>
      <c r="H211" s="7">
        <f>(F211-G211)/Speed_Calc!G$2*9.806</f>
        <v>5.5527413008871482</v>
      </c>
      <c r="I211" s="4">
        <f t="shared" si="12"/>
        <v>4.8611111111111107</v>
      </c>
    </row>
    <row r="212" spans="1:9" x14ac:dyDescent="0.2">
      <c r="A212" s="11">
        <v>17.600000000000001</v>
      </c>
      <c r="B212" s="14">
        <v>3.133</v>
      </c>
      <c r="C212" s="11">
        <f t="shared" si="13"/>
        <v>2280.7829122411899</v>
      </c>
      <c r="D212" s="11">
        <f t="shared" si="10"/>
        <v>56.960163315303305</v>
      </c>
      <c r="E212" s="11">
        <f t="shared" si="11"/>
        <v>873.82068722340262</v>
      </c>
      <c r="F212" s="11">
        <f>Speed_Calc!B$5*E212</f>
        <v>786.43861850106236</v>
      </c>
      <c r="G212" s="14">
        <f>Speed_Calc!G$3+Speed_Calc!G$5*A212^2</f>
        <v>21.2421376</v>
      </c>
      <c r="H212" s="7">
        <f>(F212-G212)/Speed_Calc!G$2*9.806</f>
        <v>5.5581605123820861</v>
      </c>
      <c r="I212" s="4">
        <f t="shared" si="12"/>
        <v>4.8888888888888893</v>
      </c>
    </row>
    <row r="213" spans="1:9" x14ac:dyDescent="0.2">
      <c r="A213" s="11">
        <v>17.7</v>
      </c>
      <c r="B213" s="14">
        <v>3.133</v>
      </c>
      <c r="C213" s="11">
        <f t="shared" si="13"/>
        <v>2293.7419060607413</v>
      </c>
      <c r="D213" s="11">
        <f t="shared" si="10"/>
        <v>57.33809696711976</v>
      </c>
      <c r="E213" s="11">
        <f t="shared" si="11"/>
        <v>874.64893678657268</v>
      </c>
      <c r="F213" s="11">
        <f>Speed_Calc!B$5*E213</f>
        <v>787.18404310791539</v>
      </c>
      <c r="G213" s="14">
        <f>Speed_Calc!G$3+Speed_Calc!G$5*A213^2</f>
        <v>21.256292899999998</v>
      </c>
      <c r="H213" s="7">
        <f>(F213-G213)/Speed_Calc!G$2*9.806</f>
        <v>5.5634722359546798</v>
      </c>
      <c r="I213" s="4">
        <f t="shared" si="12"/>
        <v>4.9166666666666661</v>
      </c>
    </row>
    <row r="214" spans="1:9" x14ac:dyDescent="0.2">
      <c r="A214" s="11">
        <v>17.8</v>
      </c>
      <c r="B214" s="14">
        <v>3.133</v>
      </c>
      <c r="C214" s="11">
        <f t="shared" si="13"/>
        <v>2306.700899880293</v>
      </c>
      <c r="D214" s="11">
        <f t="shared" si="10"/>
        <v>57.71558062747981</v>
      </c>
      <c r="E214" s="11">
        <f t="shared" si="11"/>
        <v>875.46105446177273</v>
      </c>
      <c r="F214" s="11">
        <f>Speed_Calc!B$5*E214</f>
        <v>787.91494901559543</v>
      </c>
      <c r="G214" s="14">
        <f>Speed_Calc!G$3+Speed_Calc!G$5*A214^2</f>
        <v>21.2705284</v>
      </c>
      <c r="H214" s="7">
        <f>(F214-G214)/Speed_Calc!G$2*9.806</f>
        <v>5.5686779174492802</v>
      </c>
      <c r="I214" s="4">
        <f t="shared" si="12"/>
        <v>4.9444444444444446</v>
      </c>
    </row>
    <row r="215" spans="1:9" x14ac:dyDescent="0.2">
      <c r="A215" s="11">
        <v>17.899999999999999</v>
      </c>
      <c r="B215" s="14">
        <v>3.133</v>
      </c>
      <c r="C215" s="11">
        <f t="shared" si="13"/>
        <v>2319.6598936998453</v>
      </c>
      <c r="D215" s="11">
        <f t="shared" si="10"/>
        <v>58.092610961046802</v>
      </c>
      <c r="E215" s="11">
        <f t="shared" si="11"/>
        <v>876.25726030629278</v>
      </c>
      <c r="F215" s="11">
        <f>Speed_Calc!B$5*E215</f>
        <v>788.63153427566351</v>
      </c>
      <c r="G215" s="14">
        <f>Speed_Calc!G$3+Speed_Calc!G$5*A215^2</f>
        <v>21.284844100000001</v>
      </c>
      <c r="H215" s="7">
        <f>(F215-G215)/Speed_Calc!G$2*9.806</f>
        <v>5.5737789954537451</v>
      </c>
      <c r="I215" s="4">
        <f t="shared" si="12"/>
        <v>4.9722222222222214</v>
      </c>
    </row>
    <row r="216" spans="1:9" x14ac:dyDescent="0.2">
      <c r="A216" s="11">
        <v>18</v>
      </c>
      <c r="B216" s="14">
        <v>3.133</v>
      </c>
      <c r="C216" s="11">
        <f t="shared" si="13"/>
        <v>2332.618887519398</v>
      </c>
      <c r="D216" s="11">
        <f t="shared" si="10"/>
        <v>58.469184884494226</v>
      </c>
      <c r="E216" s="11">
        <f t="shared" si="11"/>
        <v>877.03777326741363</v>
      </c>
      <c r="F216" s="11">
        <f>Speed_Calc!B$5*E216</f>
        <v>789.33399594067225</v>
      </c>
      <c r="G216" s="14">
        <f>Speed_Calc!G$3+Speed_Calc!G$5*A216^2</f>
        <v>21.299240000000001</v>
      </c>
      <c r="H216" s="7">
        <f>(F216-G216)/Speed_Calc!G$2*9.806</f>
        <v>5.5787769012994302</v>
      </c>
      <c r="I216" s="4">
        <f t="shared" si="12"/>
        <v>5</v>
      </c>
    </row>
    <row r="217" spans="1:9" x14ac:dyDescent="0.2">
      <c r="A217" s="11">
        <v>18.100000000000001</v>
      </c>
      <c r="B217" s="14">
        <v>3.133</v>
      </c>
      <c r="C217" s="11">
        <f t="shared" si="13"/>
        <v>2345.5778813389497</v>
      </c>
      <c r="D217" s="11">
        <f t="shared" si="10"/>
        <v>58.845299564450237</v>
      </c>
      <c r="E217" s="11">
        <f t="shared" si="11"/>
        <v>877.80281118240703</v>
      </c>
      <c r="F217" s="11">
        <f>Speed_Calc!B$5*E217</f>
        <v>790.02253006416629</v>
      </c>
      <c r="G217" s="14">
        <f>Speed_Calc!G$3+Speed_Calc!G$5*A217^2</f>
        <v>21.313716100000001</v>
      </c>
      <c r="H217" s="7">
        <f>(F217-G217)/Speed_Calc!G$2*9.806</f>
        <v>5.5836730590611952</v>
      </c>
      <c r="I217" s="4">
        <f t="shared" si="12"/>
        <v>5.0277777777777777</v>
      </c>
    </row>
    <row r="218" spans="1:9" x14ac:dyDescent="0.2">
      <c r="A218" s="11">
        <v>18.2</v>
      </c>
      <c r="B218" s="14">
        <v>3.133</v>
      </c>
      <c r="C218" s="11">
        <f t="shared" si="13"/>
        <v>2358.5368751585024</v>
      </c>
      <c r="D218" s="11">
        <f t="shared" si="10"/>
        <v>59.220952415442177</v>
      </c>
      <c r="E218" s="11">
        <f t="shared" si="11"/>
        <v>878.55259077853771</v>
      </c>
      <c r="F218" s="11">
        <f>Speed_Calc!B$5*E218</f>
        <v>790.697331700684</v>
      </c>
      <c r="G218" s="14">
        <f>Speed_Calc!G$3+Speed_Calc!G$5*A218^2</f>
        <v>21.328272399999999</v>
      </c>
      <c r="H218" s="7">
        <f>(F218-G218)/Speed_Calc!G$2*9.806</f>
        <v>5.5884688855574121</v>
      </c>
      <c r="I218" s="4">
        <f t="shared" si="12"/>
        <v>5.0555555555555554</v>
      </c>
    </row>
    <row r="219" spans="1:9" x14ac:dyDescent="0.2">
      <c r="A219" s="11">
        <v>18.3</v>
      </c>
      <c r="B219" s="14">
        <v>3.133</v>
      </c>
      <c r="C219" s="11">
        <f t="shared" si="13"/>
        <v>2371.4958689780547</v>
      </c>
      <c r="D219" s="11">
        <f t="shared" si="10"/>
        <v>59.596141097840786</v>
      </c>
      <c r="E219" s="11">
        <f t="shared" si="11"/>
        <v>879.28732767306087</v>
      </c>
      <c r="F219" s="11">
        <f>Speed_Calc!B$5*E219</f>
        <v>791.35859490575479</v>
      </c>
      <c r="G219" s="14">
        <f>Speed_Calc!G$3+Speed_Calc!G$5*A219^2</f>
        <v>21.342908900000001</v>
      </c>
      <c r="H219" s="7">
        <f>(F219-G219)/Speed_Calc!G$2*9.806</f>
        <v>5.593165790349949</v>
      </c>
      <c r="I219" s="4">
        <f t="shared" si="12"/>
        <v>5.083333333333333</v>
      </c>
    </row>
    <row r="220" spans="1:9" x14ac:dyDescent="0.2">
      <c r="A220" s="11">
        <v>18.399999999999999</v>
      </c>
      <c r="B220" s="14">
        <v>3.133</v>
      </c>
      <c r="C220" s="11">
        <f t="shared" si="13"/>
        <v>2384.4548627976064</v>
      </c>
      <c r="D220" s="11">
        <f t="shared" si="10"/>
        <v>59.970863515804766</v>
      </c>
      <c r="E220" s="11">
        <f t="shared" si="11"/>
        <v>880.00723637322221</v>
      </c>
      <c r="F220" s="11">
        <f>Speed_Calc!B$5*E220</f>
        <v>792.00651273590006</v>
      </c>
      <c r="G220" s="14">
        <f>Speed_Calc!G$3+Speed_Calc!G$5*A220^2</f>
        <v>21.357625599999999</v>
      </c>
      <c r="H220" s="7">
        <f>(F220-G220)/Speed_Calc!G$2*9.806</f>
        <v>5.5977651757441746</v>
      </c>
      <c r="I220" s="4">
        <f t="shared" si="12"/>
        <v>5.1111111111111107</v>
      </c>
    </row>
    <row r="221" spans="1:9" x14ac:dyDescent="0.2">
      <c r="A221" s="11">
        <v>18.5</v>
      </c>
      <c r="B221" s="14">
        <v>3.133</v>
      </c>
      <c r="C221" s="11">
        <f t="shared" si="13"/>
        <v>2397.4138566171591</v>
      </c>
      <c r="D221" s="11">
        <f t="shared" si="10"/>
        <v>60.345117815225201</v>
      </c>
      <c r="E221" s="11">
        <f t="shared" si="11"/>
        <v>880.71253027625971</v>
      </c>
      <c r="F221" s="11">
        <f>Speed_Calc!B$5*E221</f>
        <v>792.64127724863374</v>
      </c>
      <c r="G221" s="14">
        <f>Speed_Calc!G$3+Speed_Calc!G$5*A221^2</f>
        <v>21.372422499999999</v>
      </c>
      <c r="H221" s="7">
        <f>(F221-G221)/Speed_Calc!G$2*9.806</f>
        <v>5.6022684367889646</v>
      </c>
      <c r="I221" s="4">
        <f t="shared" si="12"/>
        <v>5.1388888888888884</v>
      </c>
    </row>
    <row r="222" spans="1:9" x14ac:dyDescent="0.2">
      <c r="A222" s="11">
        <v>18.600000000000001</v>
      </c>
      <c r="B222" s="14">
        <v>3.133</v>
      </c>
      <c r="C222" s="11">
        <f t="shared" si="13"/>
        <v>2410.3728504367114</v>
      </c>
      <c r="D222" s="11">
        <f t="shared" si="10"/>
        <v>60.718902381669956</v>
      </c>
      <c r="E222" s="11">
        <f t="shared" si="11"/>
        <v>881.40342166940229</v>
      </c>
      <c r="F222" s="11">
        <f>Speed_Calc!B$5*E222</f>
        <v>793.26307950246212</v>
      </c>
      <c r="G222" s="14">
        <f>Speed_Calc!G$3+Speed_Calc!G$5*A222^2</f>
        <v>21.387299599999999</v>
      </c>
      <c r="H222" s="7">
        <f>(F222-G222)/Speed_Calc!G$2*9.806</f>
        <v>5.6066769612766985</v>
      </c>
      <c r="I222" s="4">
        <f t="shared" si="12"/>
        <v>5.166666666666667</v>
      </c>
    </row>
    <row r="223" spans="1:9" x14ac:dyDescent="0.2">
      <c r="A223" s="11">
        <v>18.7</v>
      </c>
      <c r="B223" s="14">
        <v>3.133</v>
      </c>
      <c r="C223" s="11">
        <f t="shared" si="13"/>
        <v>2423.3318442562627</v>
      </c>
      <c r="D223" s="11">
        <f t="shared" si="10"/>
        <v>61.092215838328102</v>
      </c>
      <c r="E223" s="11">
        <f t="shared" si="11"/>
        <v>882.08012172987117</v>
      </c>
      <c r="F223" s="11">
        <f>Speed_Calc!B$5*E223</f>
        <v>793.87210955688408</v>
      </c>
      <c r="G223" s="14">
        <f>Speed_Calc!G$3+Speed_Calc!G$5*A223^2</f>
        <v>21.402256900000001</v>
      </c>
      <c r="H223" s="7">
        <f>(F223-G223)/Speed_Calc!G$2*9.806</f>
        <v>5.6109921297432628</v>
      </c>
      <c r="I223" s="4">
        <f t="shared" si="12"/>
        <v>5.1944444444444438</v>
      </c>
    </row>
    <row r="224" spans="1:9" x14ac:dyDescent="0.2">
      <c r="A224" s="11">
        <v>18.8</v>
      </c>
      <c r="B224" s="14">
        <v>3.133</v>
      </c>
      <c r="C224" s="11">
        <f t="shared" si="13"/>
        <v>2436.2908380758158</v>
      </c>
      <c r="D224" s="11">
        <f t="shared" si="10"/>
        <v>61.465057043954381</v>
      </c>
      <c r="E224" s="11">
        <f t="shared" si="11"/>
        <v>882.74284052487678</v>
      </c>
      <c r="F224" s="11">
        <f>Speed_Calc!B$5*E224</f>
        <v>794.46855647238908</v>
      </c>
      <c r="G224" s="14">
        <f>Speed_Calc!G$3+Speed_Calc!G$5*A224^2</f>
        <v>21.417294399999999</v>
      </c>
      <c r="H224" s="7">
        <f>(F224-G224)/Speed_Calc!G$2*9.806</f>
        <v>5.6152153154680349</v>
      </c>
      <c r="I224" s="4">
        <f t="shared" si="12"/>
        <v>5.2222222222222223</v>
      </c>
    </row>
    <row r="225" spans="1:9" x14ac:dyDescent="0.2">
      <c r="A225" s="11">
        <v>18.899999999999999</v>
      </c>
      <c r="B225" s="14">
        <v>3.133</v>
      </c>
      <c r="C225" s="11">
        <f t="shared" si="13"/>
        <v>2449.2498318953681</v>
      </c>
      <c r="D225" s="11">
        <f t="shared" si="10"/>
        <v>61.83742509081361</v>
      </c>
      <c r="E225" s="11">
        <f t="shared" si="11"/>
        <v>883.39178701162302</v>
      </c>
      <c r="F225" s="11">
        <f>Speed_Calc!B$5*E225</f>
        <v>795.05260831046076</v>
      </c>
      <c r="G225" s="14">
        <f>Speed_Calc!G$3+Speed_Calc!G$5*A225^2</f>
        <v>21.432412100000001</v>
      </c>
      <c r="H225" s="7">
        <f>(F225-G225)/Speed_Calc!G$2*9.806</f>
        <v>5.6193478844739086</v>
      </c>
      <c r="I225" s="4">
        <f t="shared" si="12"/>
        <v>5.2499999999999991</v>
      </c>
    </row>
    <row r="226" spans="1:9" x14ac:dyDescent="0.2">
      <c r="A226" s="11">
        <v>19</v>
      </c>
      <c r="B226" s="14">
        <v>3.133</v>
      </c>
      <c r="C226" s="11">
        <f t="shared" si="13"/>
        <v>2462.2088257149198</v>
      </c>
      <c r="D226" s="11">
        <f t="shared" si="10"/>
        <v>62.209319302625062</v>
      </c>
      <c r="E226" s="11">
        <f t="shared" si="11"/>
        <v>884.02716903730357</v>
      </c>
      <c r="F226" s="11">
        <f>Speed_Calc!B$5*E226</f>
        <v>795.62445213357319</v>
      </c>
      <c r="G226" s="14">
        <f>Speed_Calc!G$3+Speed_Calc!G$5*A226^2</f>
        <v>21.447610000000001</v>
      </c>
      <c r="H226" s="7">
        <f>(F226-G226)/Speed_Calc!G$2*9.806</f>
        <v>5.6233911955272724</v>
      </c>
      <c r="I226" s="4">
        <f t="shared" si="12"/>
        <v>5.2777777777777777</v>
      </c>
    </row>
    <row r="227" spans="1:9" x14ac:dyDescent="0.2">
      <c r="A227" s="11">
        <v>19.100000000000001</v>
      </c>
      <c r="B227" s="14">
        <v>3.133</v>
      </c>
      <c r="C227" s="11">
        <f t="shared" si="13"/>
        <v>2475.167819534473</v>
      </c>
      <c r="D227" s="11">
        <f t="shared" si="10"/>
        <v>62.580739232507071</v>
      </c>
      <c r="E227" s="11">
        <f t="shared" si="11"/>
        <v>884.64919333910507</v>
      </c>
      <c r="F227" s="11">
        <f>Speed_Calc!B$5*E227</f>
        <v>796.18427400519454</v>
      </c>
      <c r="G227" s="14">
        <f>Speed_Calc!G$3+Speed_Calc!G$5*A227^2</f>
        <v>21.462888100000001</v>
      </c>
      <c r="H227" s="7">
        <f>(F227-G227)/Speed_Calc!G$2*9.806</f>
        <v>5.6273466001380275</v>
      </c>
      <c r="I227" s="4">
        <f t="shared" si="12"/>
        <v>5.3055555555555562</v>
      </c>
    </row>
    <row r="228" spans="1:9" x14ac:dyDescent="0.2">
      <c r="A228" s="11">
        <v>19.2</v>
      </c>
      <c r="B228" s="14">
        <v>3.133</v>
      </c>
      <c r="C228" s="11">
        <f t="shared" si="13"/>
        <v>2488.1268133540243</v>
      </c>
      <c r="D228" s="11">
        <f t="shared" si="10"/>
        <v>62.951684660921103</v>
      </c>
      <c r="E228" s="11">
        <f t="shared" si="11"/>
        <v>885.25806554420296</v>
      </c>
      <c r="F228" s="11">
        <f>Speed_Calc!B$5*E228</f>
        <v>796.73225898978274</v>
      </c>
      <c r="G228" s="14">
        <f>Speed_Calc!G$3+Speed_Calc!G$5*A228^2</f>
        <v>21.4782464</v>
      </c>
      <c r="H228" s="7">
        <f>(F228-G228)/Speed_Calc!G$2*9.806</f>
        <v>5.6312154425595615</v>
      </c>
      <c r="I228" s="4">
        <f t="shared" si="12"/>
        <v>5.333333333333333</v>
      </c>
    </row>
    <row r="229" spans="1:9" x14ac:dyDescent="0.2">
      <c r="A229" s="11">
        <v>19.3</v>
      </c>
      <c r="B229" s="14">
        <v>3.133</v>
      </c>
      <c r="C229" s="11">
        <f t="shared" si="13"/>
        <v>2501.0858071735765</v>
      </c>
      <c r="D229" s="11">
        <f t="shared" ref="D229:D292" si="14">-4.687*10^(-17)*C229^5+9.129*10^(-13)*C229^4-6.175*10^(-9)*C229^3+1.799*10^(-5)*C229^2+6.502*10^(-3)*C229</f>
        <v>63.322155593616714</v>
      </c>
      <c r="E229" s="11">
        <f t="shared" si="11"/>
        <v>885.85399016976771</v>
      </c>
      <c r="F229" s="11">
        <f>Speed_Calc!B$5*E229</f>
        <v>797.26859115279092</v>
      </c>
      <c r="G229" s="14">
        <f>Speed_Calc!G$3+Speed_Calc!G$5*A229^2</f>
        <v>21.493684899999998</v>
      </c>
      <c r="H229" s="7">
        <f>(F229-G229)/Speed_Calc!G$2*9.806</f>
        <v>5.6349990597887905</v>
      </c>
      <c r="I229" s="4">
        <f t="shared" si="12"/>
        <v>5.3611111111111116</v>
      </c>
    </row>
    <row r="230" spans="1:9" x14ac:dyDescent="0.2">
      <c r="A230" s="11">
        <v>19.399999999999999</v>
      </c>
      <c r="B230" s="14">
        <v>3.133</v>
      </c>
      <c r="C230" s="11">
        <f t="shared" si="13"/>
        <v>2514.0448009931288</v>
      </c>
      <c r="D230" s="11">
        <f t="shared" si="14"/>
        <v>63.692152259575415</v>
      </c>
      <c r="E230" s="11">
        <f t="shared" ref="E230:E293" si="15">D230*75*B230*B$31*B$32/B$23/C230/2/PI()*60</f>
        <v>886.43717062295696</v>
      </c>
      <c r="F230" s="11">
        <f>Speed_Calc!B$5*E230</f>
        <v>797.79345356066131</v>
      </c>
      <c r="G230" s="14">
        <f>Speed_Calc!G$3+Speed_Calc!G$5*A230^2</f>
        <v>21.509203599999999</v>
      </c>
      <c r="H230" s="7">
        <f>(F230-G230)/Speed_Calc!G$2*9.806</f>
        <v>5.6386987815661067</v>
      </c>
      <c r="I230" s="4">
        <f t="shared" ref="I230:I293" si="16">A230/3.6</f>
        <v>5.3888888888888884</v>
      </c>
    </row>
    <row r="231" spans="1:9" x14ac:dyDescent="0.2">
      <c r="A231" s="11">
        <v>19.5</v>
      </c>
      <c r="B231" s="14">
        <v>3.133</v>
      </c>
      <c r="C231" s="11">
        <f t="shared" si="13"/>
        <v>2527.0037948126815</v>
      </c>
      <c r="D231" s="11">
        <f t="shared" si="14"/>
        <v>64.061675108955541</v>
      </c>
      <c r="E231" s="11">
        <f t="shared" si="15"/>
        <v>887.00780920092279</v>
      </c>
      <c r="F231" s="11">
        <f>Speed_Calc!B$5*E231</f>
        <v>798.30702828083054</v>
      </c>
      <c r="G231" s="14">
        <f>Speed_Calc!G$3+Speed_Calc!G$5*A231^2</f>
        <v>21.5248025</v>
      </c>
      <c r="H231" s="7">
        <f>(F231-G231)/Speed_Calc!G$2*9.806</f>
        <v>5.6423159303754247</v>
      </c>
      <c r="I231" s="4">
        <f t="shared" si="16"/>
        <v>5.416666666666667</v>
      </c>
    </row>
    <row r="232" spans="1:9" x14ac:dyDescent="0.2">
      <c r="A232" s="11">
        <v>19.600000000000001</v>
      </c>
      <c r="B232" s="14">
        <v>3.133</v>
      </c>
      <c r="C232" s="11">
        <f t="shared" si="13"/>
        <v>2539.9627886322332</v>
      </c>
      <c r="D232" s="11">
        <f t="shared" si="14"/>
        <v>64.430724811036356</v>
      </c>
      <c r="E232" s="11">
        <f t="shared" si="15"/>
        <v>887.56610709080701</v>
      </c>
      <c r="F232" s="11">
        <f>Speed_Calc!B$5*E232</f>
        <v>798.80949638172638</v>
      </c>
      <c r="G232" s="14">
        <f>Speed_Calc!G$3+Speed_Calc!G$5*A232^2</f>
        <v>21.5404816</v>
      </c>
      <c r="H232" s="7">
        <f>(F232-G232)/Speed_Calc!G$2*9.806</f>
        <v>5.645851821444154</v>
      </c>
      <c r="I232" s="4">
        <f t="shared" si="16"/>
        <v>5.4444444444444446</v>
      </c>
    </row>
    <row r="233" spans="1:9" x14ac:dyDescent="0.2">
      <c r="A233" s="11">
        <v>19.7</v>
      </c>
      <c r="B233" s="14">
        <v>3.133</v>
      </c>
      <c r="C233" s="11">
        <f t="shared" si="13"/>
        <v>2552.9217824517859</v>
      </c>
      <c r="D233" s="11">
        <f t="shared" si="14"/>
        <v>64.799302252162761</v>
      </c>
      <c r="E233" s="11">
        <f t="shared" si="15"/>
        <v>888.11226436974334</v>
      </c>
      <c r="F233" s="11">
        <f>Speed_Calc!B$5*E233</f>
        <v>799.30103793276908</v>
      </c>
      <c r="G233" s="14">
        <f>Speed_Calc!G$3+Speed_Calc!G$5*A233^2</f>
        <v>21.556240899999999</v>
      </c>
      <c r="H233" s="7">
        <f>(F233-G233)/Speed_Calc!G$2*9.806</f>
        <v>5.6493077627432093</v>
      </c>
      <c r="I233" s="4">
        <f t="shared" si="16"/>
        <v>5.4722222222222223</v>
      </c>
    </row>
    <row r="234" spans="1:9" x14ac:dyDescent="0.2">
      <c r="A234" s="11">
        <v>19.8</v>
      </c>
      <c r="B234" s="14">
        <v>3.133</v>
      </c>
      <c r="C234" s="11">
        <f t="shared" si="13"/>
        <v>2565.8807762713377</v>
      </c>
      <c r="D234" s="11">
        <f t="shared" si="14"/>
        <v>65.167408533689525</v>
      </c>
      <c r="E234" s="11">
        <f t="shared" si="15"/>
        <v>888.64648000485727</v>
      </c>
      <c r="F234" s="11">
        <f>Speed_Calc!B$5*E234</f>
        <v>799.78183200437161</v>
      </c>
      <c r="G234" s="14">
        <f>Speed_Calc!G$3+Speed_Calc!G$5*A234^2</f>
        <v>21.572080400000001</v>
      </c>
      <c r="H234" s="7">
        <f>(F234-G234)/Speed_Calc!G$2*9.806</f>
        <v>5.6526850549870122</v>
      </c>
      <c r="I234" s="4">
        <f t="shared" si="16"/>
        <v>5.5</v>
      </c>
    </row>
    <row r="235" spans="1:9" x14ac:dyDescent="0.2">
      <c r="A235" s="11">
        <v>19.899999999999999</v>
      </c>
      <c r="B235" s="14">
        <v>3.133</v>
      </c>
      <c r="C235" s="11">
        <f t="shared" ref="C235:C298" si="17">A235/3.6/B$23/2/PI()*B$32*B$31*B235*60</f>
        <v>2578.8397700908899</v>
      </c>
      <c r="D235" s="11">
        <f t="shared" si="14"/>
        <v>65.535044969925778</v>
      </c>
      <c r="E235" s="11">
        <f t="shared" si="15"/>
        <v>889.1689518532645</v>
      </c>
      <c r="F235" s="11">
        <f>Speed_Calc!B$5*E235</f>
        <v>800.25205666793806</v>
      </c>
      <c r="G235" s="14">
        <f>Speed_Calc!G$3+Speed_Calc!G$5*A235^2</f>
        <v>21.588000099999999</v>
      </c>
      <c r="H235" s="7">
        <f>(F235-G235)/Speed_Calc!G$2*9.806</f>
        <v>5.6559849916334812</v>
      </c>
      <c r="I235" s="4">
        <f t="shared" si="16"/>
        <v>5.5277777777777777</v>
      </c>
    </row>
    <row r="236" spans="1:9" x14ac:dyDescent="0.2">
      <c r="A236" s="11">
        <v>20</v>
      </c>
      <c r="B236" s="14">
        <v>3.133</v>
      </c>
      <c r="C236" s="11">
        <f t="shared" si="17"/>
        <v>2591.7987639104422</v>
      </c>
      <c r="D236" s="11">
        <f t="shared" si="14"/>
        <v>65.902213086079385</v>
      </c>
      <c r="E236" s="11">
        <f t="shared" si="15"/>
        <v>889.67987666207171</v>
      </c>
      <c r="F236" s="11">
        <f>Speed_Calc!B$5*E236</f>
        <v>800.71188899586457</v>
      </c>
      <c r="G236" s="14">
        <f>Speed_Calc!G$3+Speed_Calc!G$5*A236^2</f>
        <v>21.603999999999999</v>
      </c>
      <c r="H236" s="7">
        <f>(F236-G236)/Speed_Calc!G$2*9.806</f>
        <v>5.6592088588840346</v>
      </c>
      <c r="I236" s="4">
        <f t="shared" si="16"/>
        <v>5.5555555555555554</v>
      </c>
    </row>
    <row r="237" spans="1:9" x14ac:dyDescent="0.2">
      <c r="A237" s="11">
        <v>20.100000000000001</v>
      </c>
      <c r="B237" s="14">
        <v>3.133</v>
      </c>
      <c r="C237" s="11">
        <f t="shared" si="17"/>
        <v>2604.7577577299949</v>
      </c>
      <c r="D237" s="11">
        <f t="shared" si="14"/>
        <v>66.268914616201613</v>
      </c>
      <c r="E237" s="11">
        <f t="shared" si="15"/>
        <v>890.17945006837965</v>
      </c>
      <c r="F237" s="11">
        <f>Speed_Calc!B$5*E237</f>
        <v>801.16150506154167</v>
      </c>
      <c r="G237" s="14">
        <f>Speed_Calc!G$3+Speed_Calc!G$5*A237^2</f>
        <v>21.620080099999999</v>
      </c>
      <c r="H237" s="7">
        <f>(F237-G237)/Speed_Calc!G$2*9.806</f>
        <v>5.6623579356836125</v>
      </c>
      <c r="I237" s="4">
        <f t="shared" si="16"/>
        <v>5.5833333333333339</v>
      </c>
    </row>
    <row r="238" spans="1:9" x14ac:dyDescent="0.2">
      <c r="A238" s="11">
        <v>20.2</v>
      </c>
      <c r="B238" s="14">
        <v>3.133</v>
      </c>
      <c r="C238" s="11">
        <f t="shared" si="17"/>
        <v>2617.7167515495462</v>
      </c>
      <c r="D238" s="11">
        <f t="shared" si="14"/>
        <v>66.635151501131162</v>
      </c>
      <c r="E238" s="11">
        <f t="shared" si="15"/>
        <v>890.66786659927811</v>
      </c>
      <c r="F238" s="11">
        <f>Speed_Calc!B$5*E238</f>
        <v>801.60107993935037</v>
      </c>
      <c r="G238" s="14">
        <f>Speed_Calc!G$3+Speed_Calc!G$5*A238^2</f>
        <v>21.636240399999998</v>
      </c>
      <c r="H238" s="7">
        <f>(F238-G238)/Speed_Calc!G$2*9.806</f>
        <v>5.6654334937206432</v>
      </c>
      <c r="I238" s="4">
        <f t="shared" si="16"/>
        <v>5.6111111111111107</v>
      </c>
    </row>
    <row r="239" spans="1:9" x14ac:dyDescent="0.2">
      <c r="A239" s="11">
        <v>20.3</v>
      </c>
      <c r="B239" s="14">
        <v>3.133</v>
      </c>
      <c r="C239" s="11">
        <f t="shared" si="17"/>
        <v>2630.6757453690984</v>
      </c>
      <c r="D239" s="11">
        <f t="shared" si="14"/>
        <v>67.000925886438935</v>
      </c>
      <c r="E239" s="11">
        <f t="shared" si="15"/>
        <v>891.14531967184814</v>
      </c>
      <c r="F239" s="11">
        <f>Speed_Calc!B$5*E239</f>
        <v>802.03078770466334</v>
      </c>
      <c r="G239" s="14">
        <f>Speed_Calc!G$3+Speed_Calc!G$5*A239^2</f>
        <v>21.6524809</v>
      </c>
      <c r="H239" s="7">
        <f>(F239-G239)/Speed_Calc!G$2*9.806</f>
        <v>5.6684367974270575</v>
      </c>
      <c r="I239" s="4">
        <f t="shared" si="16"/>
        <v>5.6388888888888893</v>
      </c>
    </row>
    <row r="240" spans="1:9" x14ac:dyDescent="0.2">
      <c r="A240" s="11">
        <v>20.399999999999999</v>
      </c>
      <c r="B240" s="14">
        <v>3.133</v>
      </c>
      <c r="C240" s="11">
        <f t="shared" si="17"/>
        <v>2643.6347391886507</v>
      </c>
      <c r="D240" s="11">
        <f t="shared" si="14"/>
        <v>67.366240120372225</v>
      </c>
      <c r="E240" s="11">
        <f t="shared" si="15"/>
        <v>891.61200159316206</v>
      </c>
      <c r="F240" s="11">
        <f>Speed_Calc!B$5*E240</f>
        <v>802.45080143384587</v>
      </c>
      <c r="G240" s="14">
        <f>Speed_Calc!G$3+Speed_Calc!G$5*A240^2</f>
        <v>21.668801599999998</v>
      </c>
      <c r="H240" s="7">
        <f>(F240-G240)/Speed_Calc!G$2*9.806</f>
        <v>5.6713691039782903</v>
      </c>
      <c r="I240" s="4">
        <f t="shared" si="16"/>
        <v>5.6666666666666661</v>
      </c>
    </row>
    <row r="241" spans="1:9" x14ac:dyDescent="0.2">
      <c r="A241" s="11">
        <v>20.5</v>
      </c>
      <c r="B241" s="14">
        <v>3.133</v>
      </c>
      <c r="C241" s="11">
        <f t="shared" si="17"/>
        <v>2656.5937330082033</v>
      </c>
      <c r="D241" s="11">
        <f t="shared" si="14"/>
        <v>67.73109675179947</v>
      </c>
      <c r="E241" s="11">
        <f t="shared" si="15"/>
        <v>892.06810356028586</v>
      </c>
      <c r="F241" s="11">
        <f>Speed_Calc!B$5*E241</f>
        <v>802.86129320425732</v>
      </c>
      <c r="G241" s="14">
        <f>Speed_Calc!G$3+Speed_Calc!G$5*A241^2</f>
        <v>21.685202499999999</v>
      </c>
      <c r="H241" s="7">
        <f>(F241-G241)/Speed_Calc!G$2*9.806</f>
        <v>5.6742316632932939</v>
      </c>
      <c r="I241" s="4">
        <f t="shared" si="16"/>
        <v>5.6944444444444446</v>
      </c>
    </row>
    <row r="242" spans="1:9" x14ac:dyDescent="0.2">
      <c r="A242" s="11">
        <v>20.6</v>
      </c>
      <c r="B242" s="14">
        <v>3.133</v>
      </c>
      <c r="C242" s="11">
        <f t="shared" si="17"/>
        <v>2669.5527268277551</v>
      </c>
      <c r="D242" s="11">
        <f t="shared" si="14"/>
        <v>68.095498528154167</v>
      </c>
      <c r="E242" s="11">
        <f t="shared" si="15"/>
        <v>892.51381566027328</v>
      </c>
      <c r="F242" s="11">
        <f>Speed_Calc!B$5*E242</f>
        <v>803.26243409424592</v>
      </c>
      <c r="G242" s="14">
        <f>Speed_Calc!G$3+Speed_Calc!G$5*A242^2</f>
        <v>21.701683599999999</v>
      </c>
      <c r="H242" s="7">
        <f>(F242-G242)/Speed_Calc!G$2*9.806</f>
        <v>5.6770257180344998</v>
      </c>
      <c r="I242" s="4">
        <f t="shared" si="16"/>
        <v>5.7222222222222223</v>
      </c>
    </row>
    <row r="243" spans="1:9" x14ac:dyDescent="0.2">
      <c r="A243" s="11">
        <v>20.7</v>
      </c>
      <c r="B243" s="14">
        <v>3.133</v>
      </c>
      <c r="C243" s="11">
        <f t="shared" si="17"/>
        <v>2682.5117206473074</v>
      </c>
      <c r="D243" s="11">
        <f t="shared" si="14"/>
        <v>68.459448393379816</v>
      </c>
      <c r="E243" s="11">
        <f t="shared" si="15"/>
        <v>892.9493268701716</v>
      </c>
      <c r="F243" s="11">
        <f>Speed_Calc!B$5*E243</f>
        <v>803.65439418315441</v>
      </c>
      <c r="G243" s="14">
        <f>Speed_Calc!G$3+Speed_Calc!G$5*A243^2</f>
        <v>21.718244899999998</v>
      </c>
      <c r="H243" s="7">
        <f>(F243-G243)/Speed_Calc!G$2*9.806</f>
        <v>5.6797525036078609</v>
      </c>
      <c r="I243" s="4">
        <f t="shared" si="16"/>
        <v>5.75</v>
      </c>
    </row>
    <row r="244" spans="1:9" x14ac:dyDescent="0.2">
      <c r="A244" s="11">
        <v>20.8</v>
      </c>
      <c r="B244" s="14">
        <v>3.133</v>
      </c>
      <c r="C244" s="11">
        <f t="shared" si="17"/>
        <v>2695.4707144668596</v>
      </c>
      <c r="D244" s="11">
        <f t="shared" si="14"/>
        <v>68.822949485874133</v>
      </c>
      <c r="E244" s="11">
        <f t="shared" si="15"/>
        <v>893.37482505702019</v>
      </c>
      <c r="F244" s="11">
        <f>Speed_Calc!B$5*E244</f>
        <v>804.03734255131815</v>
      </c>
      <c r="G244" s="14">
        <f>Speed_Calc!G$3+Speed_Calc!G$5*A244^2</f>
        <v>21.734886400000001</v>
      </c>
      <c r="H244" s="7">
        <f>(F244-G244)/Speed_Calc!G$2*9.806</f>
        <v>5.6824132481628329</v>
      </c>
      <c r="I244" s="4">
        <f t="shared" si="16"/>
        <v>5.7777777777777777</v>
      </c>
    </row>
    <row r="245" spans="1:9" x14ac:dyDescent="0.2">
      <c r="A245" s="11">
        <v>20.9</v>
      </c>
      <c r="B245" s="14">
        <v>3.133</v>
      </c>
      <c r="C245" s="11">
        <f t="shared" si="17"/>
        <v>2708.4297082864118</v>
      </c>
      <c r="D245" s="11">
        <f t="shared" si="14"/>
        <v>69.186005136433337</v>
      </c>
      <c r="E245" s="11">
        <f t="shared" si="15"/>
        <v>893.79049697784717</v>
      </c>
      <c r="F245" s="11">
        <f>Speed_Calc!B$5*E245</f>
        <v>804.41144728006248</v>
      </c>
      <c r="G245" s="14">
        <f>Speed_Calc!G$3+Speed_Calc!G$5*A245^2</f>
        <v>21.751608099999999</v>
      </c>
      <c r="H245" s="7">
        <f>(F245-G245)/Speed_Calc!G$2*9.806</f>
        <v>5.6850091725923644</v>
      </c>
      <c r="I245" s="4">
        <f t="shared" si="16"/>
        <v>5.8055555555555554</v>
      </c>
    </row>
    <row r="246" spans="1:9" x14ac:dyDescent="0.2">
      <c r="A246" s="11">
        <v>21</v>
      </c>
      <c r="B246" s="14">
        <v>3.133</v>
      </c>
      <c r="C246" s="11">
        <f t="shared" si="17"/>
        <v>2721.3887021059645</v>
      </c>
      <c r="D246" s="11">
        <f t="shared" si="14"/>
        <v>69.548618866196875</v>
      </c>
      <c r="E246" s="11">
        <f t="shared" si="15"/>
        <v>894.19652827967388</v>
      </c>
      <c r="F246" s="11">
        <f>Speed_Calc!B$5*E246</f>
        <v>804.77687545170647</v>
      </c>
      <c r="G246" s="14">
        <f>Speed_Calc!G$3+Speed_Calc!G$5*A246^2</f>
        <v>21.768409999999999</v>
      </c>
      <c r="H246" s="7">
        <f>(F246-G246)/Speed_Calc!G$2*9.806</f>
        <v>5.6875414905329134</v>
      </c>
      <c r="I246" s="4">
        <f t="shared" si="16"/>
        <v>5.833333333333333</v>
      </c>
    </row>
    <row r="247" spans="1:9" x14ac:dyDescent="0.2">
      <c r="A247" s="11">
        <v>21.1</v>
      </c>
      <c r="B247" s="14">
        <v>3.133</v>
      </c>
      <c r="C247" s="11">
        <f t="shared" si="17"/>
        <v>2734.3476959255167</v>
      </c>
      <c r="D247" s="11">
        <f t="shared" si="14"/>
        <v>69.910794384591568</v>
      </c>
      <c r="E247" s="11">
        <f t="shared" si="15"/>
        <v>894.59310349951306</v>
      </c>
      <c r="F247" s="11">
        <f>Speed_Calc!B$5*E247</f>
        <v>805.13379314956182</v>
      </c>
      <c r="G247" s="14">
        <f>Speed_Calc!G$3+Speed_Calc!G$5*A247^2</f>
        <v>21.785292099999999</v>
      </c>
      <c r="H247" s="7">
        <f>(F247-G247)/Speed_Calc!G$2*9.806</f>
        <v>5.6900114083644464</v>
      </c>
      <c r="I247" s="4">
        <f t="shared" si="16"/>
        <v>5.8611111111111116</v>
      </c>
    </row>
    <row r="248" spans="1:9" x14ac:dyDescent="0.2">
      <c r="A248" s="11">
        <v>21.2</v>
      </c>
      <c r="B248" s="14">
        <v>3.133</v>
      </c>
      <c r="C248" s="11">
        <f t="shared" si="17"/>
        <v>2747.3066897450681</v>
      </c>
      <c r="D248" s="11">
        <f t="shared" si="14"/>
        <v>70.272535587276181</v>
      </c>
      <c r="E248" s="11">
        <f t="shared" si="15"/>
        <v>894.98040606436678</v>
      </c>
      <c r="F248" s="11">
        <f>Speed_Calc!B$5*E248</f>
        <v>805.48236545793009</v>
      </c>
      <c r="G248" s="14">
        <f>Speed_Calc!G$3+Speed_Calc!G$5*A248^2</f>
        <v>21.802254399999999</v>
      </c>
      <c r="H248" s="7">
        <f>(F248-G248)/Speed_Calc!G$2*9.806</f>
        <v>5.6924201252104165</v>
      </c>
      <c r="I248" s="4">
        <f t="shared" si="16"/>
        <v>5.8888888888888884</v>
      </c>
    </row>
    <row r="249" spans="1:9" x14ac:dyDescent="0.2">
      <c r="A249" s="11">
        <v>21.3</v>
      </c>
      <c r="B249" s="14">
        <v>3.133</v>
      </c>
      <c r="C249" s="11">
        <f t="shared" si="17"/>
        <v>2760.2656835646212</v>
      </c>
      <c r="D249" s="11">
        <f t="shared" si="14"/>
        <v>70.633846554086006</v>
      </c>
      <c r="E249" s="11">
        <f t="shared" si="15"/>
        <v>895.35861829123087</v>
      </c>
      <c r="F249" s="11">
        <f>Speed_Calc!B$5*E249</f>
        <v>805.8227564621078</v>
      </c>
      <c r="G249" s="14">
        <f>Speed_Calc!G$3+Speed_Calc!G$5*A249^2</f>
        <v>21.819296900000001</v>
      </c>
      <c r="H249" s="7">
        <f>(F249-G249)/Speed_Calc!G$2*9.806</f>
        <v>5.6947688329377986</v>
      </c>
      <c r="I249" s="4">
        <f t="shared" si="16"/>
        <v>5.916666666666667</v>
      </c>
    </row>
    <row r="250" spans="1:9" x14ac:dyDescent="0.2">
      <c r="A250" s="11">
        <v>21.4</v>
      </c>
      <c r="B250" s="14">
        <v>3.133</v>
      </c>
      <c r="C250" s="11">
        <f t="shared" si="17"/>
        <v>2773.224677384173</v>
      </c>
      <c r="D250" s="11">
        <f t="shared" si="14"/>
        <v>70.994731546976936</v>
      </c>
      <c r="E250" s="11">
        <f t="shared" si="15"/>
        <v>895.72792138709224</v>
      </c>
      <c r="F250" s="11">
        <f>Speed_Calc!B$5*E250</f>
        <v>806.15512924838299</v>
      </c>
      <c r="G250" s="14">
        <f>Speed_Calc!G$3+Speed_Calc!G$5*A250^2</f>
        <v>21.836419599999999</v>
      </c>
      <c r="H250" s="7">
        <f>(F250-G250)/Speed_Calc!G$2*9.806</f>
        <v>5.6970587161570689</v>
      </c>
      <c r="I250" s="4">
        <f t="shared" si="16"/>
        <v>5.9444444444444438</v>
      </c>
    </row>
    <row r="251" spans="1:9" x14ac:dyDescent="0.2">
      <c r="A251" s="11">
        <v>21.5</v>
      </c>
      <c r="B251" s="14">
        <v>3.133</v>
      </c>
      <c r="C251" s="11">
        <f t="shared" si="17"/>
        <v>2786.1836712037257</v>
      </c>
      <c r="D251" s="11">
        <f t="shared" si="14"/>
        <v>71.355195007970082</v>
      </c>
      <c r="E251" s="11">
        <f t="shared" si="15"/>
        <v>896.08849544892644</v>
      </c>
      <c r="F251" s="11">
        <f>Speed_Calc!B$5*E251</f>
        <v>806.47964590403376</v>
      </c>
      <c r="G251" s="14">
        <f>Speed_Calc!G$3+Speed_Calc!G$5*A251^2</f>
        <v>21.8536225</v>
      </c>
      <c r="H251" s="7">
        <f>(F251-G251)/Speed_Calc!G$2*9.806</f>
        <v>5.6992909522221877</v>
      </c>
      <c r="I251" s="4">
        <f t="shared" si="16"/>
        <v>5.9722222222222223</v>
      </c>
    </row>
    <row r="252" spans="1:9" x14ac:dyDescent="0.2">
      <c r="A252" s="11">
        <v>21.6</v>
      </c>
      <c r="B252" s="14">
        <v>3.133</v>
      </c>
      <c r="C252" s="11">
        <f t="shared" si="17"/>
        <v>2799.1426650232779</v>
      </c>
      <c r="D252" s="11">
        <f t="shared" si="14"/>
        <v>71.715241557096306</v>
      </c>
      <c r="E252" s="11">
        <f t="shared" si="15"/>
        <v>896.44051946370382</v>
      </c>
      <c r="F252" s="11">
        <f>Speed_Calc!B$5*E252</f>
        <v>806.79646751733344</v>
      </c>
      <c r="G252" s="14">
        <f>Speed_Calc!G$3+Speed_Calc!G$5*A252^2</f>
        <v>21.8709056</v>
      </c>
      <c r="H252" s="7">
        <f>(F252-G252)/Speed_Calc!G$2*9.806</f>
        <v>5.7014667112306459</v>
      </c>
      <c r="I252" s="4">
        <f t="shared" si="16"/>
        <v>6</v>
      </c>
    </row>
    <row r="253" spans="1:9" x14ac:dyDescent="0.2">
      <c r="A253" s="11">
        <v>21.7</v>
      </c>
      <c r="B253" s="14">
        <v>3.133</v>
      </c>
      <c r="C253" s="11">
        <f t="shared" si="17"/>
        <v>2812.1016588428297</v>
      </c>
      <c r="D253" s="11">
        <f t="shared" si="14"/>
        <v>72.074875990340445</v>
      </c>
      <c r="E253" s="11">
        <f t="shared" si="15"/>
        <v>896.78417130838352</v>
      </c>
      <c r="F253" s="11">
        <f>Speed_Calc!B$5*E253</f>
        <v>807.10575417754524</v>
      </c>
      <c r="G253" s="14">
        <f>Speed_Calc!G$3+Speed_Calc!G$5*A253^2</f>
        <v>21.8882689</v>
      </c>
      <c r="H253" s="7">
        <f>(F253-G253)/Speed_Calc!G$2*9.806</f>
        <v>5.7035871560234144</v>
      </c>
      <c r="I253" s="4">
        <f t="shared" si="16"/>
        <v>6.0277777777777777</v>
      </c>
    </row>
    <row r="254" spans="1:9" x14ac:dyDescent="0.2">
      <c r="A254" s="11">
        <v>21.8</v>
      </c>
      <c r="B254" s="14">
        <v>3.133</v>
      </c>
      <c r="C254" s="11">
        <f t="shared" si="17"/>
        <v>2825.0606526623819</v>
      </c>
      <c r="D254" s="11">
        <f t="shared" si="14"/>
        <v>72.434103277585947</v>
      </c>
      <c r="E254" s="11">
        <f t="shared" si="15"/>
        <v>897.11962774991787</v>
      </c>
      <c r="F254" s="11">
        <f>Speed_Calc!B$5*E254</f>
        <v>807.40766497492609</v>
      </c>
      <c r="G254" s="14">
        <f>Speed_Calc!G$3+Speed_Calc!G$5*A254^2</f>
        <v>21.905712399999999</v>
      </c>
      <c r="H254" s="7">
        <f>(F254-G254)/Speed_Calc!G$2*9.806</f>
        <v>5.7056534421849809</v>
      </c>
      <c r="I254" s="4">
        <f t="shared" si="16"/>
        <v>6.0555555555555554</v>
      </c>
    </row>
    <row r="255" spans="1:9" x14ac:dyDescent="0.2">
      <c r="A255" s="11">
        <v>21.9</v>
      </c>
      <c r="B255" s="14">
        <v>3.133</v>
      </c>
      <c r="C255" s="11">
        <f t="shared" si="17"/>
        <v>2838.0196464819342</v>
      </c>
      <c r="D255" s="11">
        <f t="shared" si="14"/>
        <v>72.792928560559048</v>
      </c>
      <c r="E255" s="11">
        <f t="shared" si="15"/>
        <v>897.44706444524854</v>
      </c>
      <c r="F255" s="11">
        <f>Speed_Calc!B$5*E255</f>
        <v>807.70235800072373</v>
      </c>
      <c r="G255" s="14">
        <f>Speed_Calc!G$3+Speed_Calc!G$5*A255^2</f>
        <v>21.9232361</v>
      </c>
      <c r="H255" s="7">
        <f>(F255-G255)/Speed_Calc!G$2*9.806</f>
        <v>5.7076667180433303</v>
      </c>
      <c r="I255" s="4">
        <f t="shared" si="16"/>
        <v>6.083333333333333</v>
      </c>
    </row>
    <row r="256" spans="1:9" x14ac:dyDescent="0.2">
      <c r="A256" s="11">
        <v>22</v>
      </c>
      <c r="B256" s="14">
        <v>3.133</v>
      </c>
      <c r="C256" s="11">
        <f t="shared" si="17"/>
        <v>2850.9786403014864</v>
      </c>
      <c r="D256" s="11">
        <f t="shared" si="14"/>
        <v>73.151357150773435</v>
      </c>
      <c r="E256" s="11">
        <f t="shared" si="15"/>
        <v>897.7666559413102</v>
      </c>
      <c r="F256" s="11">
        <f>Speed_Calc!B$5*E256</f>
        <v>807.98999034717917</v>
      </c>
      <c r="G256" s="14">
        <f>Speed_Calc!G$3+Speed_Calc!G$5*A256^2</f>
        <v>21.940840000000001</v>
      </c>
      <c r="H256" s="7">
        <f>(F256-G256)/Speed_Calc!G$2*9.806</f>
        <v>5.7096281246699547</v>
      </c>
      <c r="I256" s="4">
        <f t="shared" si="16"/>
        <v>6.1111111111111107</v>
      </c>
    </row>
    <row r="257" spans="1:9" x14ac:dyDescent="0.2">
      <c r="A257" s="11">
        <v>22.1</v>
      </c>
      <c r="B257" s="14">
        <v>3.133</v>
      </c>
      <c r="C257" s="11">
        <f t="shared" si="17"/>
        <v>2863.9376341210391</v>
      </c>
      <c r="D257" s="11">
        <f t="shared" si="14"/>
        <v>73.509394527474569</v>
      </c>
      <c r="E257" s="11">
        <f t="shared" si="15"/>
        <v>898.07857567502845</v>
      </c>
      <c r="F257" s="11">
        <f>Speed_Calc!B$5*E257</f>
        <v>808.27071810752557</v>
      </c>
      <c r="G257" s="14">
        <f>Speed_Calc!G$3+Speed_Calc!G$5*A257^2</f>
        <v>21.958524100000002</v>
      </c>
      <c r="H257" s="7">
        <f>(F257-G257)/Speed_Calc!G$2*9.806</f>
        <v>5.7115387958798483</v>
      </c>
      <c r="I257" s="4">
        <f t="shared" si="16"/>
        <v>6.1388888888888893</v>
      </c>
    </row>
    <row r="258" spans="1:9" x14ac:dyDescent="0.2">
      <c r="A258" s="11">
        <v>22.2</v>
      </c>
      <c r="B258" s="14">
        <v>3.133</v>
      </c>
      <c r="C258" s="11">
        <f t="shared" si="17"/>
        <v>2876.8966279405904</v>
      </c>
      <c r="D258" s="11">
        <f t="shared" si="14"/>
        <v>73.867046335584092</v>
      </c>
      <c r="E258" s="11">
        <f t="shared" si="15"/>
        <v>898.38299597332025</v>
      </c>
      <c r="F258" s="11">
        <f>Speed_Calc!B$5*E258</f>
        <v>808.54469637598822</v>
      </c>
      <c r="G258" s="14">
        <f>Speed_Calc!G$3+Speed_Calc!G$5*A258^2</f>
        <v>21.976288400000001</v>
      </c>
      <c r="H258" s="7">
        <f>(F258-G258)/Speed_Calc!G$2*9.806</f>
        <v>5.7133998582315106</v>
      </c>
      <c r="I258" s="4">
        <f t="shared" si="16"/>
        <v>6.1666666666666661</v>
      </c>
    </row>
    <row r="259" spans="1:9" x14ac:dyDescent="0.2">
      <c r="A259" s="11">
        <v>22.3</v>
      </c>
      <c r="B259" s="14">
        <v>3.133</v>
      </c>
      <c r="C259" s="11">
        <f t="shared" si="17"/>
        <v>2889.8556217601431</v>
      </c>
      <c r="D259" s="11">
        <f t="shared" si="14"/>
        <v>74.224318383644288</v>
      </c>
      <c r="E259" s="11">
        <f t="shared" si="15"/>
        <v>898.68008805309228</v>
      </c>
      <c r="F259" s="11">
        <f>Speed_Calc!B$5*E259</f>
        <v>808.81207924778312</v>
      </c>
      <c r="G259" s="14">
        <f>Speed_Calc!G$3+Speed_Calc!G$5*A259^2</f>
        <v>21.9941329</v>
      </c>
      <c r="H259" s="7">
        <f>(F259-G259)/Speed_Calc!G$2*9.806</f>
        <v>5.7152124310269334</v>
      </c>
      <c r="I259" s="4">
        <f t="shared" si="16"/>
        <v>6.1944444444444446</v>
      </c>
    </row>
    <row r="260" spans="1:9" x14ac:dyDescent="0.2">
      <c r="A260" s="11">
        <v>22.4</v>
      </c>
      <c r="B260" s="14">
        <v>3.133</v>
      </c>
      <c r="C260" s="11">
        <f t="shared" si="17"/>
        <v>2902.8146155796949</v>
      </c>
      <c r="D260" s="11">
        <f t="shared" si="14"/>
        <v>74.581216641762595</v>
      </c>
      <c r="E260" s="11">
        <f t="shared" si="15"/>
        <v>898.97002202124565</v>
      </c>
      <c r="F260" s="11">
        <f>Speed_Calc!B$5*E260</f>
        <v>809.0730198191211</v>
      </c>
      <c r="G260" s="14">
        <f>Speed_Calc!G$3+Speed_Calc!G$5*A260^2</f>
        <v>22.012057599999999</v>
      </c>
      <c r="H260" s="7">
        <f>(F260-G260)/Speed_Calc!G$2*9.806</f>
        <v>5.7169776263116292</v>
      </c>
      <c r="I260" s="4">
        <f t="shared" si="16"/>
        <v>6.2222222222222214</v>
      </c>
    </row>
    <row r="261" spans="1:9" x14ac:dyDescent="0.2">
      <c r="A261" s="11">
        <v>22.5</v>
      </c>
      <c r="B261" s="14">
        <v>3.133</v>
      </c>
      <c r="C261" s="11">
        <f t="shared" si="17"/>
        <v>2915.7736093992476</v>
      </c>
      <c r="D261" s="11">
        <f t="shared" si="14"/>
        <v>74.937747239555804</v>
      </c>
      <c r="E261" s="11">
        <f t="shared" si="15"/>
        <v>899.25296687466937</v>
      </c>
      <c r="F261" s="11">
        <f>Speed_Calc!B$5*E261</f>
        <v>809.32767018720244</v>
      </c>
      <c r="G261" s="14">
        <f>Speed_Calc!G$3+Speed_Calc!G$5*A261^2</f>
        <v>22.0300625</v>
      </c>
      <c r="H261" s="7">
        <f>(F261-G261)/Speed_Calc!G$2*9.806</f>
        <v>5.7186965488745978</v>
      </c>
      <c r="I261" s="4">
        <f t="shared" si="16"/>
        <v>6.25</v>
      </c>
    </row>
    <row r="262" spans="1:9" x14ac:dyDescent="0.2">
      <c r="A262" s="11">
        <v>22.6</v>
      </c>
      <c r="B262" s="14">
        <v>3.133</v>
      </c>
      <c r="C262" s="11">
        <f t="shared" si="17"/>
        <v>2928.7326032187998</v>
      </c>
      <c r="D262" s="11">
        <f t="shared" si="14"/>
        <v>75.293916464094792</v>
      </c>
      <c r="E262" s="11">
        <f t="shared" si="15"/>
        <v>899.52909050024755</v>
      </c>
      <c r="F262" s="11">
        <f>Speed_Calc!B$5*E262</f>
        <v>809.57618145022286</v>
      </c>
      <c r="G262" s="14">
        <f>Speed_Calc!G$3+Speed_Calc!G$5*A262^2</f>
        <v>22.0481476</v>
      </c>
      <c r="H262" s="7">
        <f>(F262-G262)/Speed_Calc!G$2*9.806</f>
        <v>5.7203702962483591</v>
      </c>
      <c r="I262" s="4">
        <f t="shared" si="16"/>
        <v>6.2777777777777777</v>
      </c>
    </row>
    <row r="263" spans="1:9" x14ac:dyDescent="0.2">
      <c r="A263" s="11">
        <v>22.7</v>
      </c>
      <c r="B263" s="14">
        <v>3.133</v>
      </c>
      <c r="C263" s="11">
        <f t="shared" si="17"/>
        <v>2941.6915970383516</v>
      </c>
      <c r="D263" s="11">
        <f t="shared" si="14"/>
        <v>75.649730757848658</v>
      </c>
      <c r="E263" s="11">
        <f t="shared" si="15"/>
        <v>899.79855967485184</v>
      </c>
      <c r="F263" s="11">
        <f>Speed_Calc!B$5*E263</f>
        <v>809.81870370736669</v>
      </c>
      <c r="G263" s="14">
        <f>Speed_Calc!G$3+Speed_Calc!G$5*A263^2</f>
        <v>22.0663129</v>
      </c>
      <c r="H263" s="7">
        <f>(F263-G263)/Speed_Calc!G$2*9.806</f>
        <v>5.721999958708917</v>
      </c>
      <c r="I263" s="4">
        <f t="shared" si="16"/>
        <v>6.3055555555555554</v>
      </c>
    </row>
    <row r="264" spans="1:9" x14ac:dyDescent="0.2">
      <c r="A264" s="11">
        <v>22.8</v>
      </c>
      <c r="B264" s="14">
        <v>3.133</v>
      </c>
      <c r="C264" s="11">
        <f t="shared" si="17"/>
        <v>2954.6505908579038</v>
      </c>
      <c r="D264" s="11">
        <f t="shared" si="14"/>
        <v>76.005196716629314</v>
      </c>
      <c r="E264" s="11">
        <f t="shared" si="15"/>
        <v>900.06154006534712</v>
      </c>
      <c r="F264" s="11">
        <f>Speed_Calc!B$5*E264</f>
        <v>810.05538605881247</v>
      </c>
      <c r="G264" s="14">
        <f>Speed_Calc!G$3+Speed_Calc!G$5*A264^2</f>
        <v>22.084558399999999</v>
      </c>
      <c r="H264" s="7">
        <f>(F264-G264)/Speed_Calc!G$2*9.806</f>
        <v>5.723586619275788</v>
      </c>
      <c r="I264" s="4">
        <f t="shared" si="16"/>
        <v>6.333333333333333</v>
      </c>
    </row>
    <row r="265" spans="1:9" x14ac:dyDescent="0.2">
      <c r="A265" s="11">
        <v>22.9</v>
      </c>
      <c r="B265" s="14">
        <v>3.133</v>
      </c>
      <c r="C265" s="11">
        <f t="shared" si="17"/>
        <v>2967.609584677456</v>
      </c>
      <c r="D265" s="11">
        <f t="shared" si="14"/>
        <v>76.360321087535993</v>
      </c>
      <c r="E265" s="11">
        <f t="shared" si="15"/>
        <v>900.31819622859041</v>
      </c>
      <c r="F265" s="11">
        <f>Speed_Calc!B$5*E265</f>
        <v>810.28637660573133</v>
      </c>
      <c r="G265" s="14">
        <f>Speed_Calc!G$3+Speed_Calc!G$5*A265^2</f>
        <v>22.102884100000001</v>
      </c>
      <c r="H265" s="7">
        <f>(F265-G265)/Speed_Calc!G$2*9.806</f>
        <v>5.7251313537120012</v>
      </c>
      <c r="I265" s="4">
        <f t="shared" si="16"/>
        <v>6.3611111111111107</v>
      </c>
    </row>
    <row r="266" spans="1:9" x14ac:dyDescent="0.2">
      <c r="A266" s="11">
        <v>23</v>
      </c>
      <c r="B266" s="14">
        <v>3.133</v>
      </c>
      <c r="C266" s="11">
        <f t="shared" si="17"/>
        <v>2980.5685784970083</v>
      </c>
      <c r="D266" s="11">
        <f t="shared" si="14"/>
        <v>76.715110766899443</v>
      </c>
      <c r="E266" s="11">
        <f t="shared" si="15"/>
        <v>900.56869161142833</v>
      </c>
      <c r="F266" s="11">
        <f>Speed_Calc!B$5*E266</f>
        <v>810.51182245028554</v>
      </c>
      <c r="G266" s="14">
        <f>Speed_Calc!G$3+Speed_Calc!G$5*A266^2</f>
        <v>22.121289999999998</v>
      </c>
      <c r="H266" s="7">
        <f>(F266-G266)/Speed_Calc!G$2*9.806</f>
        <v>5.7266352305240735</v>
      </c>
      <c r="I266" s="4">
        <f t="shared" si="16"/>
        <v>6.3888888888888884</v>
      </c>
    </row>
    <row r="267" spans="1:9" x14ac:dyDescent="0.2">
      <c r="A267" s="11">
        <v>23.1</v>
      </c>
      <c r="B267" s="14">
        <v>3.133</v>
      </c>
      <c r="C267" s="11">
        <f t="shared" si="17"/>
        <v>2993.5275723165614</v>
      </c>
      <c r="D267" s="11">
        <f t="shared" si="14"/>
        <v>77.069572798226488</v>
      </c>
      <c r="E267" s="11">
        <f t="shared" si="15"/>
        <v>900.81318855069878</v>
      </c>
      <c r="F267" s="11">
        <f>Speed_Calc!B$5*E267</f>
        <v>810.73186969562892</v>
      </c>
      <c r="G267" s="14">
        <f>Speed_Calc!G$3+Speed_Calc!G$5*A267^2</f>
        <v>22.139776099999999</v>
      </c>
      <c r="H267" s="7">
        <f>(F267-G267)/Speed_Calc!G$2*9.806</f>
        <v>5.728099310962028</v>
      </c>
      <c r="I267" s="4">
        <f t="shared" si="16"/>
        <v>6.416666666666667</v>
      </c>
    </row>
    <row r="268" spans="1:9" x14ac:dyDescent="0.2">
      <c r="A268" s="11">
        <v>23.2</v>
      </c>
      <c r="B268" s="14">
        <v>3.133</v>
      </c>
      <c r="C268" s="11">
        <f t="shared" si="17"/>
        <v>3006.4865661361127</v>
      </c>
      <c r="D268" s="11">
        <f t="shared" si="14"/>
        <v>77.423714370144523</v>
      </c>
      <c r="E268" s="11">
        <f t="shared" si="15"/>
        <v>901.05184827323376</v>
      </c>
      <c r="F268" s="11">
        <f>Speed_Calc!B$5*E268</f>
        <v>810.94666344591042</v>
      </c>
      <c r="G268" s="14">
        <f>Speed_Calc!G$3+Speed_Calc!G$5*A268^2</f>
        <v>22.158342399999999</v>
      </c>
      <c r="H268" s="7">
        <f>(F268-G268)/Speed_Calc!G$2*9.806</f>
        <v>5.7295246490194049</v>
      </c>
      <c r="I268" s="4">
        <f t="shared" si="16"/>
        <v>6.4444444444444438</v>
      </c>
    </row>
    <row r="269" spans="1:9" x14ac:dyDescent="0.2">
      <c r="A269" s="11">
        <v>23.3</v>
      </c>
      <c r="B269" s="14">
        <v>3.133</v>
      </c>
      <c r="C269" s="11">
        <f t="shared" si="17"/>
        <v>3019.4455599556654</v>
      </c>
      <c r="D269" s="11">
        <f t="shared" si="14"/>
        <v>77.777542814345736</v>
      </c>
      <c r="E269" s="11">
        <f t="shared" si="15"/>
        <v>901.28483089585188</v>
      </c>
      <c r="F269" s="11">
        <f>Speed_Calc!B$5*E269</f>
        <v>811.15634780626669</v>
      </c>
      <c r="G269" s="14">
        <f>Speed_Calc!G$3+Speed_Calc!G$5*A269^2</f>
        <v>22.176988899999998</v>
      </c>
      <c r="H269" s="7">
        <f>(F269-G269)/Speed_Calc!G$2*9.806</f>
        <v>5.7309122914332224</v>
      </c>
      <c r="I269" s="4">
        <f t="shared" si="16"/>
        <v>6.4722222222222223</v>
      </c>
    </row>
    <row r="270" spans="1:9" x14ac:dyDescent="0.2">
      <c r="A270" s="11">
        <v>23.4</v>
      </c>
      <c r="B270" s="14">
        <v>3.133</v>
      </c>
      <c r="C270" s="11">
        <f t="shared" si="17"/>
        <v>3032.4045537752172</v>
      </c>
      <c r="D270" s="11">
        <f t="shared" si="14"/>
        <v>78.131065603531866</v>
      </c>
      <c r="E270" s="11">
        <f t="shared" si="15"/>
        <v>901.51229542536771</v>
      </c>
      <c r="F270" s="11">
        <f>Speed_Calc!B$5*E270</f>
        <v>811.36106588283099</v>
      </c>
      <c r="G270" s="14">
        <f>Speed_Calc!G$3+Speed_Calc!G$5*A270^2</f>
        <v>22.1957156</v>
      </c>
      <c r="H270" s="7">
        <f>(F270-G270)/Speed_Calc!G$2*9.806</f>
        <v>5.7322632776840301</v>
      </c>
      <c r="I270" s="4">
        <f t="shared" si="16"/>
        <v>6.4999999999999991</v>
      </c>
    </row>
    <row r="271" spans="1:9" x14ac:dyDescent="0.2">
      <c r="A271" s="11">
        <v>23.5</v>
      </c>
      <c r="B271" s="14">
        <v>3.133</v>
      </c>
      <c r="C271" s="11">
        <f t="shared" si="17"/>
        <v>3045.3635475947694</v>
      </c>
      <c r="D271" s="11">
        <f t="shared" si="14"/>
        <v>78.484290349358361</v>
      </c>
      <c r="E271" s="11">
        <f t="shared" si="15"/>
        <v>901.73439975858525</v>
      </c>
      <c r="F271" s="11">
        <f>Speed_Calc!B$5*E271</f>
        <v>811.56095978272674</v>
      </c>
      <c r="G271" s="14">
        <f>Speed_Calc!G$3+Speed_Calc!G$5*A271^2</f>
        <v>22.214522500000001</v>
      </c>
      <c r="H271" s="7">
        <f>(F271-G271)/Speed_Calc!G$2*9.806</f>
        <v>5.7335786399958648</v>
      </c>
      <c r="I271" s="4">
        <f t="shared" si="16"/>
        <v>6.5277777777777777</v>
      </c>
    </row>
    <row r="272" spans="1:9" x14ac:dyDescent="0.2">
      <c r="A272" s="11">
        <v>23.6</v>
      </c>
      <c r="B272" s="14">
        <v>3.133</v>
      </c>
      <c r="C272" s="11">
        <f t="shared" si="17"/>
        <v>3058.3225414143217</v>
      </c>
      <c r="D272" s="11">
        <f t="shared" si="14"/>
        <v>78.837224800378749</v>
      </c>
      <c r="E272" s="11">
        <f t="shared" si="15"/>
        <v>901.95130068229935</v>
      </c>
      <c r="F272" s="11">
        <f>Speed_Calc!B$5*E272</f>
        <v>811.75617061406945</v>
      </c>
      <c r="G272" s="14">
        <f>Speed_Calc!G$3+Speed_Calc!G$5*A272^2</f>
        <v>22.233409600000002</v>
      </c>
      <c r="H272" s="7">
        <f>(F272-G272)/Speed_Calc!G$2*9.806</f>
        <v>5.7348594033362703</v>
      </c>
      <c r="I272" s="4">
        <f t="shared" si="16"/>
        <v>6.5555555555555554</v>
      </c>
    </row>
    <row r="273" spans="1:9" x14ac:dyDescent="0.2">
      <c r="A273" s="11">
        <v>23.7</v>
      </c>
      <c r="B273" s="14">
        <v>3.133</v>
      </c>
      <c r="C273" s="11">
        <f t="shared" si="17"/>
        <v>3071.2815352338744</v>
      </c>
      <c r="D273" s="11">
        <f t="shared" si="14"/>
        <v>79.189876839989296</v>
      </c>
      <c r="E273" s="11">
        <f t="shared" si="15"/>
        <v>902.16315387329587</v>
      </c>
      <c r="F273" s="11">
        <f>Speed_Calc!B$5*E273</f>
        <v>811.94683848596628</v>
      </c>
      <c r="G273" s="14">
        <f>Speed_Calc!G$3+Speed_Calc!G$5*A273^2</f>
        <v>22.252376900000002</v>
      </c>
      <c r="H273" s="7">
        <f>(F273-G273)/Speed_Calc!G$2*9.806</f>
        <v>5.7361065854162847</v>
      </c>
      <c r="I273" s="4">
        <f t="shared" si="16"/>
        <v>6.583333333333333</v>
      </c>
    </row>
    <row r="274" spans="1:9" x14ac:dyDescent="0.2">
      <c r="A274" s="11">
        <v>23.8</v>
      </c>
      <c r="B274" s="14">
        <v>3.133</v>
      </c>
      <c r="C274" s="11">
        <f t="shared" si="17"/>
        <v>3084.2405290534261</v>
      </c>
      <c r="D274" s="11">
        <f t="shared" si="14"/>
        <v>79.542254484373373</v>
      </c>
      <c r="E274" s="11">
        <f t="shared" si="15"/>
        <v>902.37011389835322</v>
      </c>
      <c r="F274" s="11">
        <f>Speed_Calc!B$5*E274</f>
        <v>812.13310250851794</v>
      </c>
      <c r="G274" s="14">
        <f>Speed_Calc!G$3+Speed_Calc!G$5*A274^2</f>
        <v>22.271424400000001</v>
      </c>
      <c r="H274" s="7">
        <f>(F274-G274)/Speed_Calc!G$2*9.806</f>
        <v>5.7373211966904645</v>
      </c>
      <c r="I274" s="4">
        <f t="shared" si="16"/>
        <v>6.6111111111111107</v>
      </c>
    </row>
    <row r="275" spans="1:9" x14ac:dyDescent="0.2">
      <c r="A275" s="11">
        <v>23.9</v>
      </c>
      <c r="B275" s="14">
        <v>3.133</v>
      </c>
      <c r="C275" s="11">
        <f t="shared" si="17"/>
        <v>3097.1995228729784</v>
      </c>
      <c r="D275" s="11">
        <f t="shared" si="14"/>
        <v>79.894365880445775</v>
      </c>
      <c r="E275" s="11">
        <f t="shared" si="15"/>
        <v>902.57233421424121</v>
      </c>
      <c r="F275" s="11">
        <f>Speed_Calc!B$5*E275</f>
        <v>812.31510079281713</v>
      </c>
      <c r="G275" s="14">
        <f>Speed_Calc!G$3+Speed_Calc!G$5*A275^2</f>
        <v>22.290552099999999</v>
      </c>
      <c r="H275" s="7">
        <f>(F275-G275)/Speed_Calc!G$2*9.806</f>
        <v>5.7385042403568622</v>
      </c>
      <c r="I275" s="4">
        <f t="shared" si="16"/>
        <v>6.6388888888888884</v>
      </c>
    </row>
    <row r="276" spans="1:9" x14ac:dyDescent="0.2">
      <c r="A276" s="11">
        <v>24</v>
      </c>
      <c r="B276" s="14">
        <v>3.133</v>
      </c>
      <c r="C276" s="11">
        <f t="shared" si="17"/>
        <v>3110.1585166925311</v>
      </c>
      <c r="D276" s="11">
        <f t="shared" si="14"/>
        <v>80.246219303797346</v>
      </c>
      <c r="E276" s="11">
        <f t="shared" si="15"/>
        <v>902.76996716771998</v>
      </c>
      <c r="F276" s="11">
        <f>Speed_Calc!B$5*E276</f>
        <v>812.49297045094795</v>
      </c>
      <c r="G276" s="14">
        <f>Speed_Calc!G$3+Speed_Calc!G$5*A276^2</f>
        <v>22.309760000000001</v>
      </c>
      <c r="H276" s="7">
        <f>(F276-G276)/Speed_Calc!G$2*9.806</f>
        <v>5.739656712357033</v>
      </c>
      <c r="I276" s="4">
        <f t="shared" si="16"/>
        <v>6.6666666666666661</v>
      </c>
    </row>
    <row r="277" spans="1:9" x14ac:dyDescent="0.2">
      <c r="A277" s="11">
        <v>24.1</v>
      </c>
      <c r="B277" s="14">
        <v>3.133</v>
      </c>
      <c r="C277" s="11">
        <f t="shared" si="17"/>
        <v>3123.1175105120828</v>
      </c>
      <c r="D277" s="11">
        <f t="shared" si="14"/>
        <v>80.597823156639066</v>
      </c>
      <c r="E277" s="11">
        <f t="shared" si="15"/>
        <v>902.96316399554132</v>
      </c>
      <c r="F277" s="11">
        <f>Speed_Calc!B$5*E277</f>
        <v>812.66684759598718</v>
      </c>
      <c r="G277" s="14">
        <f>Speed_Calc!G$3+Speed_Calc!G$5*A277^2</f>
        <v>22.329048100000001</v>
      </c>
      <c r="H277" s="7">
        <f>(F277-G277)/Speed_Calc!G$2*9.806</f>
        <v>5.7407796013760368</v>
      </c>
      <c r="I277" s="4">
        <f t="shared" si="16"/>
        <v>6.6944444444444446</v>
      </c>
    </row>
    <row r="278" spans="1:9" x14ac:dyDescent="0.2">
      <c r="A278" s="11">
        <v>24.2</v>
      </c>
      <c r="B278" s="14">
        <v>3.133</v>
      </c>
      <c r="C278" s="11">
        <f t="shared" si="17"/>
        <v>3136.0765043316342</v>
      </c>
      <c r="D278" s="11">
        <f t="shared" si="14"/>
        <v>80.949185965746878</v>
      </c>
      <c r="E278" s="11">
        <f t="shared" si="15"/>
        <v>903.15207482444885</v>
      </c>
      <c r="F278" s="11">
        <f>Speed_Calc!B$5*E278</f>
        <v>812.83686734200398</v>
      </c>
      <c r="G278" s="14">
        <f>Speed_Calc!G$3+Speed_Calc!G$5*A278^2</f>
        <v>22.348416399999998</v>
      </c>
      <c r="H278" s="7">
        <f>(F278-G278)/Speed_Calc!G$2*9.806</f>
        <v>5.7418738888424379</v>
      </c>
      <c r="I278" s="4">
        <f t="shared" si="16"/>
        <v>6.7222222222222214</v>
      </c>
    </row>
    <row r="279" spans="1:9" x14ac:dyDescent="0.2">
      <c r="A279" s="11">
        <v>24.3</v>
      </c>
      <c r="B279" s="14">
        <v>3.133</v>
      </c>
      <c r="C279" s="11">
        <f t="shared" si="17"/>
        <v>3149.0354981511878</v>
      </c>
      <c r="D279" s="11">
        <f t="shared" si="14"/>
        <v>81.300316380405874</v>
      </c>
      <c r="E279" s="11">
        <f t="shared" si="15"/>
        <v>903.33684867117643</v>
      </c>
      <c r="F279" s="11">
        <f>Speed_Calc!B$5*E279</f>
        <v>813.00316380405877</v>
      </c>
      <c r="G279" s="14">
        <f>Speed_Calc!G$3+Speed_Calc!G$5*A279^2</f>
        <v>22.367864900000001</v>
      </c>
      <c r="H279" s="7">
        <f>(F279-G279)/Speed_Calc!G$2*9.806</f>
        <v>5.7429405489282965</v>
      </c>
      <c r="I279" s="4">
        <f t="shared" si="16"/>
        <v>6.75</v>
      </c>
    </row>
    <row r="280" spans="1:9" x14ac:dyDescent="0.2">
      <c r="A280" s="11">
        <v>24.4</v>
      </c>
      <c r="B280" s="14">
        <v>3.133</v>
      </c>
      <c r="C280" s="11">
        <f t="shared" si="17"/>
        <v>3161.9944919707386</v>
      </c>
      <c r="D280" s="11">
        <f t="shared" si="14"/>
        <v>81.65122317035474</v>
      </c>
      <c r="E280" s="11">
        <f t="shared" si="15"/>
        <v>903.51763344245012</v>
      </c>
      <c r="F280" s="11">
        <f>Speed_Calc!B$5*E280</f>
        <v>813.16587009820512</v>
      </c>
      <c r="G280" s="14">
        <f>Speed_Calc!G$3+Speed_Calc!G$5*A280^2</f>
        <v>22.387393599999999</v>
      </c>
      <c r="H280" s="7">
        <f>(F280-G280)/Speed_Calc!G$2*9.806</f>
        <v>5.7439805485491844</v>
      </c>
      <c r="I280" s="4">
        <f t="shared" si="16"/>
        <v>6.7777777777777768</v>
      </c>
    </row>
    <row r="281" spans="1:9" x14ac:dyDescent="0.2">
      <c r="A281" s="11">
        <v>24.5</v>
      </c>
      <c r="B281" s="14">
        <v>3.133</v>
      </c>
      <c r="C281" s="11">
        <f t="shared" si="17"/>
        <v>3174.9534857902918</v>
      </c>
      <c r="D281" s="11">
        <f t="shared" si="14"/>
        <v>82.001915223730435</v>
      </c>
      <c r="E281" s="11">
        <f t="shared" si="15"/>
        <v>903.69457593498851</v>
      </c>
      <c r="F281" s="11">
        <f>Speed_Calc!B$5*E281</f>
        <v>813.32511834148966</v>
      </c>
      <c r="G281" s="14">
        <f>Speed_Calc!G$3+Speed_Calc!G$5*A281^2</f>
        <v>22.407002500000001</v>
      </c>
      <c r="H281" s="7">
        <f>(F281-G281)/Speed_Calc!G$2*9.806</f>
        <v>5.7449948473641825</v>
      </c>
      <c r="I281" s="4">
        <f t="shared" si="16"/>
        <v>6.8055555555555554</v>
      </c>
    </row>
    <row r="282" spans="1:9" x14ac:dyDescent="0.2">
      <c r="A282" s="11">
        <v>24.6</v>
      </c>
      <c r="B282" s="14">
        <v>3.133</v>
      </c>
      <c r="C282" s="11">
        <f t="shared" si="17"/>
        <v>3187.9124796098445</v>
      </c>
      <c r="D282" s="11">
        <f t="shared" si="14"/>
        <v>82.352401545012043</v>
      </c>
      <c r="E282" s="11">
        <f t="shared" si="15"/>
        <v>903.86782183549792</v>
      </c>
      <c r="F282" s="11">
        <f>Speed_Calc!B$5*E282</f>
        <v>813.48103965194809</v>
      </c>
      <c r="G282" s="14">
        <f>Speed_Calc!G$3+Speed_Calc!G$5*A282^2</f>
        <v>22.426691600000002</v>
      </c>
      <c r="H282" s="7">
        <f>(F282-G282)/Speed_Calc!G$2*9.806</f>
        <v>5.745984397775854</v>
      </c>
      <c r="I282" s="4">
        <f t="shared" si="16"/>
        <v>6.8333333333333339</v>
      </c>
    </row>
    <row r="283" spans="1:9" x14ac:dyDescent="0.2">
      <c r="A283" s="11">
        <v>24.7</v>
      </c>
      <c r="B283" s="14">
        <v>3.133</v>
      </c>
      <c r="C283" s="11">
        <f t="shared" si="17"/>
        <v>3200.8714734293953</v>
      </c>
      <c r="D283" s="11">
        <f t="shared" si="14"/>
        <v>82.702691252965863</v>
      </c>
      <c r="E283" s="11">
        <f t="shared" si="15"/>
        <v>904.03751572067949</v>
      </c>
      <c r="F283" s="11">
        <f>Speed_Calc!B$5*E283</f>
        <v>813.63376414861159</v>
      </c>
      <c r="G283" s="14">
        <f>Speed_Calc!G$3+Speed_Calc!G$5*A283^2</f>
        <v>22.446460899999998</v>
      </c>
      <c r="H283" s="7">
        <f>(F283-G283)/Speed_Calc!G$2*9.806</f>
        <v>5.7469501449302838</v>
      </c>
      <c r="I283" s="4">
        <f t="shared" si="16"/>
        <v>6.8611111111111107</v>
      </c>
    </row>
    <row r="284" spans="1:9" x14ac:dyDescent="0.2">
      <c r="A284" s="11">
        <v>24.8</v>
      </c>
      <c r="B284" s="14">
        <v>3.133</v>
      </c>
      <c r="C284" s="11">
        <f t="shared" si="17"/>
        <v>3213.8304672489485</v>
      </c>
      <c r="D284" s="11">
        <f t="shared" si="14"/>
        <v>83.052793578589473</v>
      </c>
      <c r="E284" s="11">
        <f t="shared" si="15"/>
        <v>904.20380105722393</v>
      </c>
      <c r="F284" s="11">
        <f>Speed_Calc!B$5*E284</f>
        <v>813.78342095150151</v>
      </c>
      <c r="G284" s="14">
        <f>Speed_Calc!G$3+Speed_Calc!G$5*A284^2</f>
        <v>22.466310400000001</v>
      </c>
      <c r="H284" s="7">
        <f>(F284-G284)/Speed_Calc!G$2*9.806</f>
        <v>5.7478930267170547</v>
      </c>
      <c r="I284" s="4">
        <f t="shared" si="16"/>
        <v>6.8888888888888893</v>
      </c>
    </row>
    <row r="285" spans="1:9" x14ac:dyDescent="0.2">
      <c r="A285" s="11">
        <v>24.9</v>
      </c>
      <c r="B285" s="14">
        <v>3.133</v>
      </c>
      <c r="C285" s="11">
        <f t="shared" si="17"/>
        <v>3226.7894610685012</v>
      </c>
      <c r="D285" s="11">
        <f t="shared" si="14"/>
        <v>83.402717863056267</v>
      </c>
      <c r="E285" s="11">
        <f t="shared" si="15"/>
        <v>904.36682020181479</v>
      </c>
      <c r="F285" s="11">
        <f>Speed_Calc!B$5*E285</f>
        <v>813.93013818163331</v>
      </c>
      <c r="G285" s="14">
        <f>Speed_Calc!G$3+Speed_Calc!G$5*A285^2</f>
        <v>22.4862401</v>
      </c>
      <c r="H285" s="7">
        <f>(F285-G285)/Speed_Calc!G$2*9.806</f>
        <v>5.7488139737692556</v>
      </c>
      <c r="I285" s="4">
        <f t="shared" si="16"/>
        <v>6.9166666666666661</v>
      </c>
    </row>
    <row r="286" spans="1:9" x14ac:dyDescent="0.2">
      <c r="A286" s="11">
        <v>25</v>
      </c>
      <c r="B286" s="14">
        <v>3.133</v>
      </c>
      <c r="C286" s="11">
        <f t="shared" si="17"/>
        <v>3239.7484548880534</v>
      </c>
      <c r="D286" s="11">
        <f t="shared" si="14"/>
        <v>83.752473555659662</v>
      </c>
      <c r="E286" s="11">
        <f t="shared" si="15"/>
        <v>904.52671440112431</v>
      </c>
      <c r="F286" s="11">
        <f>Speed_Calc!B$5*E286</f>
        <v>814.07404296101186</v>
      </c>
      <c r="G286" s="14">
        <f>Speed_Calc!G$3+Speed_Calc!G$5*A286^2</f>
        <v>22.506250000000001</v>
      </c>
      <c r="H286" s="7">
        <f>(F286-G286)/Speed_Calc!G$2*9.806</f>
        <v>5.7497139094634679</v>
      </c>
      <c r="I286" s="4">
        <f t="shared" si="16"/>
        <v>6.9444444444444446</v>
      </c>
    </row>
    <row r="287" spans="1:9" x14ac:dyDescent="0.2">
      <c r="A287" s="11">
        <v>25.1</v>
      </c>
      <c r="B287" s="14">
        <v>3.133</v>
      </c>
      <c r="C287" s="11">
        <f t="shared" si="17"/>
        <v>3252.7074487076052</v>
      </c>
      <c r="D287" s="11">
        <f t="shared" si="14"/>
        <v>84.102070211757976</v>
      </c>
      <c r="E287" s="11">
        <f t="shared" si="15"/>
        <v>904.68362379181883</v>
      </c>
      <c r="F287" s="11">
        <f>Speed_Calc!B$5*E287</f>
        <v>814.21526141263701</v>
      </c>
      <c r="G287" s="14">
        <f>Speed_Calc!G$3+Speed_Calc!G$5*A287^2</f>
        <v>22.526340099999999</v>
      </c>
      <c r="H287" s="7">
        <f>(F287-G287)/Speed_Calc!G$2*9.806</f>
        <v>5.7505937499197906</v>
      </c>
      <c r="I287" s="4">
        <f t="shared" si="16"/>
        <v>6.9722222222222223</v>
      </c>
    </row>
    <row r="288" spans="1:9" x14ac:dyDescent="0.2">
      <c r="A288" s="11">
        <v>25.2</v>
      </c>
      <c r="B288" s="14">
        <v>3.133</v>
      </c>
      <c r="C288" s="11">
        <f t="shared" si="17"/>
        <v>3265.666442527157</v>
      </c>
      <c r="D288" s="11">
        <f t="shared" si="14"/>
        <v>84.451517490718388</v>
      </c>
      <c r="E288" s="11">
        <f t="shared" si="15"/>
        <v>904.83768740055427</v>
      </c>
      <c r="F288" s="11">
        <f>Speed_Calc!B$5*E288</f>
        <v>814.35391866049883</v>
      </c>
      <c r="G288" s="14">
        <f>Speed_Calc!G$3+Speed_Calc!G$5*A288^2</f>
        <v>22.546510399999999</v>
      </c>
      <c r="H288" s="7">
        <f>(F288-G288)/Speed_Calc!G$2*9.806</f>
        <v>5.751454404001815</v>
      </c>
      <c r="I288" s="4">
        <f t="shared" si="16"/>
        <v>7</v>
      </c>
    </row>
    <row r="289" spans="1:9" x14ac:dyDescent="0.2">
      <c r="A289" s="11">
        <v>25.3</v>
      </c>
      <c r="B289" s="14">
        <v>3.133</v>
      </c>
      <c r="C289" s="11">
        <f t="shared" si="17"/>
        <v>3278.6254363467096</v>
      </c>
      <c r="D289" s="11">
        <f t="shared" si="14"/>
        <v>84.800825153861595</v>
      </c>
      <c r="E289" s="11">
        <f t="shared" si="15"/>
        <v>904.98904314397748</v>
      </c>
      <c r="F289" s="11">
        <f>Speed_Calc!B$5*E289</f>
        <v>814.49013882957979</v>
      </c>
      <c r="G289" s="14">
        <f>Speed_Calc!G$3+Speed_Calc!G$5*A289^2</f>
        <v>22.566760899999998</v>
      </c>
      <c r="H289" s="7">
        <f>(F289-G289)/Speed_Calc!G$2*9.806</f>
        <v>5.7522967733166359</v>
      </c>
      <c r="I289" s="4">
        <f t="shared" si="16"/>
        <v>7.0277777777777777</v>
      </c>
    </row>
    <row r="290" spans="1:9" x14ac:dyDescent="0.2">
      <c r="A290" s="11">
        <v>25.4</v>
      </c>
      <c r="B290" s="14">
        <v>3.133</v>
      </c>
      <c r="C290" s="11">
        <f t="shared" si="17"/>
        <v>3291.5844301662619</v>
      </c>
      <c r="D290" s="11">
        <f t="shared" si="14"/>
        <v>85.150003062406455</v>
      </c>
      <c r="E290" s="11">
        <f t="shared" si="15"/>
        <v>905.13782782873</v>
      </c>
      <c r="F290" s="11">
        <f>Speed_Calc!B$5*E290</f>
        <v>814.62404504585697</v>
      </c>
      <c r="G290" s="14">
        <f>Speed_Calc!G$3+Speed_Calc!G$5*A290^2</f>
        <v>22.587091600000001</v>
      </c>
      <c r="H290" s="7">
        <f>(F290-G290)/Speed_Calc!G$2*9.806</f>
        <v>5.7531217522148692</v>
      </c>
      <c r="I290" s="4">
        <f t="shared" si="16"/>
        <v>7.0555555555555554</v>
      </c>
    </row>
    <row r="291" spans="1:9" x14ac:dyDescent="0.2">
      <c r="A291" s="11">
        <v>25.5</v>
      </c>
      <c r="B291" s="14">
        <v>3.133</v>
      </c>
      <c r="C291" s="11">
        <f t="shared" si="17"/>
        <v>3304.5434239858132</v>
      </c>
      <c r="D291" s="11">
        <f t="shared" si="14"/>
        <v>85.499061175413743</v>
      </c>
      <c r="E291" s="11">
        <f t="shared" si="15"/>
        <v>905.28417715144008</v>
      </c>
      <c r="F291" s="11">
        <f>Speed_Calc!B$5*E291</f>
        <v>814.7557594362961</v>
      </c>
      <c r="G291" s="14">
        <f>Speed_Calc!G$3+Speed_Calc!G$5*A291^2</f>
        <v>22.607502499999999</v>
      </c>
      <c r="H291" s="7">
        <f>(F291-G291)/Speed_Calc!G$2*9.806</f>
        <v>5.7539302277906064</v>
      </c>
      <c r="I291" s="4">
        <f t="shared" si="16"/>
        <v>7.083333333333333</v>
      </c>
    </row>
    <row r="292" spans="1:9" x14ac:dyDescent="0.2">
      <c r="A292" s="11">
        <v>25.6</v>
      </c>
      <c r="B292" s="14">
        <v>3.133</v>
      </c>
      <c r="C292" s="11">
        <f t="shared" si="17"/>
        <v>3317.5024178053663</v>
      </c>
      <c r="D292" s="11">
        <f t="shared" si="14"/>
        <v>85.848009547731465</v>
      </c>
      <c r="E292" s="11">
        <f t="shared" si="15"/>
        <v>905.4282256987301</v>
      </c>
      <c r="F292" s="11">
        <f>Speed_Calc!B$5*E292</f>
        <v>814.88540312885709</v>
      </c>
      <c r="G292" s="14">
        <f>Speed_Calc!G$3+Speed_Calc!G$5*A292^2</f>
        <v>22.6279936</v>
      </c>
      <c r="H292" s="7">
        <f>(F292-G292)/Speed_Calc!G$2*9.806</f>
        <v>5.7547230798814608</v>
      </c>
      <c r="I292" s="4">
        <f t="shared" si="16"/>
        <v>7.1111111111111116</v>
      </c>
    </row>
    <row r="293" spans="1:9" x14ac:dyDescent="0.2">
      <c r="A293" s="11">
        <v>25.7</v>
      </c>
      <c r="B293" s="14">
        <v>3.133</v>
      </c>
      <c r="C293" s="11">
        <f t="shared" si="17"/>
        <v>3330.4614116249181</v>
      </c>
      <c r="D293" s="11">
        <f t="shared" ref="D293:D356" si="18">-4.687*10^(-17)*C293^5+9.129*10^(-13)*C293^4-6.175*10^(-9)*C293^3+1.799*10^(-5)*C293^2+6.502*10^(-3)*C293</f>
        <v>86.196858327938486</v>
      </c>
      <c r="E293" s="11">
        <f t="shared" si="15"/>
        <v>905.57010694721362</v>
      </c>
      <c r="F293" s="11">
        <f>Speed_Calc!B$5*E293</f>
        <v>815.01309625249223</v>
      </c>
      <c r="G293" s="14">
        <f>Speed_Calc!G$3+Speed_Calc!G$5*A293^2</f>
        <v>22.6485649</v>
      </c>
      <c r="H293" s="7">
        <f>(F293-G293)/Speed_Calc!G$2*9.806</f>
        <v>5.7555011810685466</v>
      </c>
      <c r="I293" s="4">
        <f t="shared" si="16"/>
        <v>7.1388888888888884</v>
      </c>
    </row>
    <row r="294" spans="1:9" x14ac:dyDescent="0.2">
      <c r="A294" s="11">
        <v>25.8</v>
      </c>
      <c r="B294" s="14">
        <v>3.133</v>
      </c>
      <c r="C294" s="11">
        <f t="shared" si="17"/>
        <v>3343.4204054444704</v>
      </c>
      <c r="D294" s="11">
        <f t="shared" si="18"/>
        <v>86.545617756289545</v>
      </c>
      <c r="E294" s="11">
        <f t="shared" ref="E294:E357" si="19">D294*75*B294*B$31*B$32/B$23/C294/2/PI()*60</f>
        <v>905.70995326349521</v>
      </c>
      <c r="F294" s="11">
        <f>Speed_Calc!B$5*E294</f>
        <v>815.13895793714573</v>
      </c>
      <c r="G294" s="14">
        <f>Speed_Calc!G$3+Speed_Calc!G$5*A294^2</f>
        <v>22.6692164</v>
      </c>
      <c r="H294" s="7">
        <f>(F294-G294)/Speed_Calc!G$2*9.806</f>
        <v>5.7562653966764827</v>
      </c>
      <c r="I294" s="4">
        <f t="shared" ref="I294:I357" si="20">A294/3.6</f>
        <v>7.166666666666667</v>
      </c>
    </row>
    <row r="295" spans="1:9" x14ac:dyDescent="0.2">
      <c r="A295" s="11">
        <v>25.9</v>
      </c>
      <c r="B295" s="14">
        <v>3.133</v>
      </c>
      <c r="C295" s="11">
        <f t="shared" si="17"/>
        <v>3356.3793992640226</v>
      </c>
      <c r="D295" s="11">
        <f t="shared" si="18"/>
        <v>86.894298162659268</v>
      </c>
      <c r="E295" s="11">
        <f t="shared" si="19"/>
        <v>905.84789590416995</v>
      </c>
      <c r="F295" s="11">
        <f>Speed_Calc!B$5*E295</f>
        <v>815.26310631375293</v>
      </c>
      <c r="G295" s="14">
        <f>Speed_Calc!G$3+Speed_Calc!G$5*A295^2</f>
        <v>22.689948099999999</v>
      </c>
      <c r="H295" s="7">
        <f>(F295-G295)/Speed_Calc!G$2*9.806</f>
        <v>5.7570165847733783</v>
      </c>
      <c r="I295" s="4">
        <f t="shared" si="20"/>
        <v>7.1944444444444438</v>
      </c>
    </row>
    <row r="296" spans="1:9" x14ac:dyDescent="0.2">
      <c r="A296" s="11">
        <v>26</v>
      </c>
      <c r="B296" s="14">
        <v>3.133</v>
      </c>
      <c r="C296" s="11">
        <f t="shared" si="17"/>
        <v>3369.3383930835753</v>
      </c>
      <c r="D296" s="11">
        <f t="shared" si="18"/>
        <v>87.242909964486856</v>
      </c>
      <c r="E296" s="11">
        <f t="shared" si="19"/>
        <v>905.98406501582485</v>
      </c>
      <c r="F296" s="11">
        <f>Speed_Calc!B$5*E296</f>
        <v>815.38565851424244</v>
      </c>
      <c r="G296" s="14">
        <f>Speed_Calc!G$3+Speed_Calc!G$5*A296^2</f>
        <v>22.710760000000001</v>
      </c>
      <c r="H296" s="7">
        <f>(F296-G296)/Speed_Calc!G$2*9.806</f>
        <v>5.7577555961708597</v>
      </c>
      <c r="I296" s="4">
        <f t="shared" si="20"/>
        <v>7.2222222222222223</v>
      </c>
    </row>
    <row r="297" spans="1:9" x14ac:dyDescent="0.2">
      <c r="A297" s="11">
        <v>26.1</v>
      </c>
      <c r="B297" s="14">
        <v>3.133</v>
      </c>
      <c r="C297" s="11">
        <f t="shared" si="17"/>
        <v>3382.2973869031266</v>
      </c>
      <c r="D297" s="11">
        <f t="shared" si="18"/>
        <v>87.591463664720465</v>
      </c>
      <c r="E297" s="11">
        <f t="shared" si="19"/>
        <v>906.11858963503937</v>
      </c>
      <c r="F297" s="11">
        <f>Speed_Calc!B$5*E297</f>
        <v>815.50673067153548</v>
      </c>
      <c r="G297" s="14">
        <f>Speed_Calc!G$3+Speed_Calc!G$5*A297^2</f>
        <v>22.731652099999998</v>
      </c>
      <c r="H297" s="7">
        <f>(F297-G297)/Speed_Calc!G$2*9.806</f>
        <v>5.7584832744240559</v>
      </c>
      <c r="I297" s="4">
        <f t="shared" si="20"/>
        <v>7.25</v>
      </c>
    </row>
    <row r="298" spans="1:9" x14ac:dyDescent="0.2">
      <c r="A298" s="11">
        <v>26.2</v>
      </c>
      <c r="B298" s="14">
        <v>3.133</v>
      </c>
      <c r="C298" s="11">
        <f t="shared" si="17"/>
        <v>3395.2563807226798</v>
      </c>
      <c r="D298" s="11">
        <f t="shared" si="18"/>
        <v>87.939969849761454</v>
      </c>
      <c r="E298" s="11">
        <f t="shared" si="19"/>
        <v>906.25159768838114</v>
      </c>
      <c r="F298" s="11">
        <f>Speed_Calc!B$5*E298</f>
        <v>815.62643791954304</v>
      </c>
      <c r="G298" s="14">
        <f>Speed_Calc!G$3+Speed_Calc!G$5*A298^2</f>
        <v>22.752624399999998</v>
      </c>
      <c r="H298" s="7">
        <f>(F298-G298)/Speed_Calc!G$2*9.806</f>
        <v>5.7592004558315839</v>
      </c>
      <c r="I298" s="4">
        <f t="shared" si="20"/>
        <v>7.2777777777777777</v>
      </c>
    </row>
    <row r="299" spans="1:9" x14ac:dyDescent="0.2">
      <c r="A299" s="11">
        <v>26.3</v>
      </c>
      <c r="B299" s="14">
        <v>3.133</v>
      </c>
      <c r="C299" s="11">
        <f t="shared" ref="C299:C362" si="21">A299/3.6/B$23/2/PI()*B$32*B$31*B299*60</f>
        <v>3408.2153745422315</v>
      </c>
      <c r="D299" s="11">
        <f t="shared" si="18"/>
        <v>88.288439187409153</v>
      </c>
      <c r="E299" s="11">
        <f t="shared" si="19"/>
        <v>906.3832159924134</v>
      </c>
      <c r="F299" s="11">
        <f>Speed_Calc!B$5*E299</f>
        <v>815.7448943931721</v>
      </c>
      <c r="G299" s="14">
        <f>Speed_Calc!G$3+Speed_Calc!G$5*A299^2</f>
        <v>22.773676899999998</v>
      </c>
      <c r="H299" s="7">
        <f>(F299-G299)/Speed_Calc!G$2*9.806</f>
        <v>5.7599079694355888</v>
      </c>
      <c r="I299" s="4">
        <f t="shared" si="20"/>
        <v>7.3055555555555554</v>
      </c>
    </row>
    <row r="300" spans="1:9" x14ac:dyDescent="0.2">
      <c r="A300" s="11">
        <v>26.4</v>
      </c>
      <c r="B300" s="14">
        <v>3.133</v>
      </c>
      <c r="C300" s="11">
        <f t="shared" si="21"/>
        <v>3421.1743683617833</v>
      </c>
      <c r="D300" s="11">
        <f t="shared" si="18"/>
        <v>88.636882424804952</v>
      </c>
      <c r="E300" s="11">
        <f t="shared" si="19"/>
        <v>906.51357025368736</v>
      </c>
      <c r="F300" s="11">
        <f>Speed_Calc!B$5*E300</f>
        <v>815.86221322831864</v>
      </c>
      <c r="G300" s="14">
        <f>Speed_Calc!G$3+Speed_Calc!G$5*A300^2</f>
        <v>22.794809600000001</v>
      </c>
      <c r="H300" s="7">
        <f>(F300-G300)/Speed_Calc!G$2*9.806</f>
        <v>5.7606066370216968</v>
      </c>
      <c r="I300" s="4">
        <f t="shared" si="20"/>
        <v>7.333333333333333</v>
      </c>
    </row>
    <row r="301" spans="1:9" x14ac:dyDescent="0.2">
      <c r="A301" s="11">
        <v>26.5</v>
      </c>
      <c r="B301" s="14">
        <v>3.133</v>
      </c>
      <c r="C301" s="11">
        <f t="shared" si="21"/>
        <v>3434.133362181336</v>
      </c>
      <c r="D301" s="11">
        <f t="shared" si="18"/>
        <v>88.985310386377023</v>
      </c>
      <c r="E301" s="11">
        <f t="shared" si="19"/>
        <v>906.64278506874689</v>
      </c>
      <c r="F301" s="11">
        <f>Speed_Calc!B$5*E301</f>
        <v>815.97850656187222</v>
      </c>
      <c r="G301" s="14">
        <f>Speed_Calc!G$3+Speed_Calc!G$5*A301^2</f>
        <v>22.816022499999999</v>
      </c>
      <c r="H301" s="7">
        <f>(F301-G301)/Speed_Calc!G$2*9.806</f>
        <v>5.7612972731190499</v>
      </c>
      <c r="I301" s="4">
        <f t="shared" si="20"/>
        <v>7.3611111111111107</v>
      </c>
    </row>
    <row r="302" spans="1:9" x14ac:dyDescent="0.2">
      <c r="A302" s="11">
        <v>26.6</v>
      </c>
      <c r="B302" s="14">
        <v>3.133</v>
      </c>
      <c r="C302" s="11">
        <f t="shared" si="21"/>
        <v>3447.0923560008887</v>
      </c>
      <c r="D302" s="11">
        <f t="shared" si="18"/>
        <v>89.333733971784454</v>
      </c>
      <c r="E302" s="11">
        <f t="shared" si="19"/>
        <v>906.77098392412779</v>
      </c>
      <c r="F302" s="11">
        <f>Speed_Calc!B$5*E302</f>
        <v>816.09388553171505</v>
      </c>
      <c r="G302" s="14">
        <f>Speed_Calc!G$3+Speed_Calc!G$5*A302^2</f>
        <v>22.8373156</v>
      </c>
      <c r="H302" s="7">
        <f>(F302-G302)/Speed_Calc!G$2*9.806</f>
        <v>5.7619806850002941</v>
      </c>
      <c r="I302" s="4">
        <f t="shared" si="20"/>
        <v>7.3888888888888893</v>
      </c>
    </row>
    <row r="303" spans="1:9" x14ac:dyDescent="0.2">
      <c r="A303" s="11">
        <v>26.7</v>
      </c>
      <c r="B303" s="14">
        <v>3.133</v>
      </c>
      <c r="C303" s="11">
        <f t="shared" si="21"/>
        <v>3460.05134982044</v>
      </c>
      <c r="D303" s="11">
        <f t="shared" si="18"/>
        <v>89.682164153861706</v>
      </c>
      <c r="E303" s="11">
        <f t="shared" si="19"/>
        <v>906.89828919635431</v>
      </c>
      <c r="F303" s="11">
        <f>Speed_Calc!B$5*E303</f>
        <v>816.20846027671894</v>
      </c>
      <c r="G303" s="14">
        <f>Speed_Calc!G$3+Speed_Calc!G$5*A303^2</f>
        <v>22.858688900000001</v>
      </c>
      <c r="H303" s="7">
        <f>(F303-G303)/Speed_Calc!G$2*9.806</f>
        <v>5.7626576726815593</v>
      </c>
      <c r="I303" s="4">
        <f t="shared" si="20"/>
        <v>7.4166666666666661</v>
      </c>
    </row>
    <row r="304" spans="1:9" x14ac:dyDescent="0.2">
      <c r="A304" s="11">
        <v>26.8</v>
      </c>
      <c r="B304" s="14">
        <v>3.133</v>
      </c>
      <c r="C304" s="11">
        <f t="shared" si="21"/>
        <v>3473.0103436399932</v>
      </c>
      <c r="D304" s="11">
        <f t="shared" si="18"/>
        <v>90.030611976563563</v>
      </c>
      <c r="E304" s="11">
        <f t="shared" si="19"/>
        <v>907.02482215194618</v>
      </c>
      <c r="F304" s="11">
        <f>Speed_Calc!B$5*E304</f>
        <v>816.32233993675163</v>
      </c>
      <c r="G304" s="14">
        <f>Speed_Calc!G$3+Speed_Calc!G$5*A304^2</f>
        <v>22.8801424</v>
      </c>
      <c r="H304" s="7">
        <f>(F304-G304)/Speed_Calc!G$2*9.806</f>
        <v>5.7633290289225085</v>
      </c>
      <c r="I304" s="4">
        <f t="shared" si="20"/>
        <v>7.4444444444444446</v>
      </c>
    </row>
    <row r="305" spans="1:9" x14ac:dyDescent="0.2">
      <c r="A305" s="11">
        <v>26.9</v>
      </c>
      <c r="B305" s="14">
        <v>3.133</v>
      </c>
      <c r="C305" s="11">
        <f t="shared" si="21"/>
        <v>3485.9693374595449</v>
      </c>
      <c r="D305" s="11">
        <f t="shared" si="18"/>
        <v>90.379088552908897</v>
      </c>
      <c r="E305" s="11">
        <f t="shared" si="19"/>
        <v>907.15070294741258</v>
      </c>
      <c r="F305" s="11">
        <f>Speed_Calc!B$5*E305</f>
        <v>816.4356326526713</v>
      </c>
      <c r="G305" s="14">
        <f>Speed_Calc!G$3+Speed_Calc!G$5*A305^2</f>
        <v>22.9016761</v>
      </c>
      <c r="H305" s="7">
        <f>(F305-G305)/Speed_Calc!G$2*9.806</f>
        <v>5.7639955392262925</v>
      </c>
      <c r="I305" s="4">
        <f t="shared" si="20"/>
        <v>7.4722222222222214</v>
      </c>
    </row>
    <row r="306" spans="1:9" x14ac:dyDescent="0.2">
      <c r="A306" s="11">
        <v>27</v>
      </c>
      <c r="B306" s="14">
        <v>3.133</v>
      </c>
      <c r="C306" s="11">
        <f t="shared" si="21"/>
        <v>3498.9283312790976</v>
      </c>
      <c r="D306" s="11">
        <f t="shared" si="18"/>
        <v>90.727605062925178</v>
      </c>
      <c r="E306" s="11">
        <f t="shared" si="19"/>
        <v>907.27605062925159</v>
      </c>
      <c r="F306" s="11">
        <f>Speed_Calc!B$5*E306</f>
        <v>816.54844556632645</v>
      </c>
      <c r="G306" s="14">
        <f>Speed_Calc!G$3+Speed_Calc!G$5*A306^2</f>
        <v>22.923290000000001</v>
      </c>
      <c r="H306" s="7">
        <f>(F306-G306)/Speed_Calc!G$2*9.806</f>
        <v>5.7646579818395525</v>
      </c>
      <c r="I306" s="4">
        <f t="shared" si="20"/>
        <v>7.5</v>
      </c>
    </row>
    <row r="307" spans="1:9" x14ac:dyDescent="0.2">
      <c r="A307" s="11">
        <v>27.1</v>
      </c>
      <c r="B307" s="14">
        <v>3.133</v>
      </c>
      <c r="C307" s="11">
        <f t="shared" si="21"/>
        <v>3511.8873250986494</v>
      </c>
      <c r="D307" s="11">
        <f t="shared" si="18"/>
        <v>91.076172751593418</v>
      </c>
      <c r="E307" s="11">
        <f t="shared" si="19"/>
        <v>907.40098313395652</v>
      </c>
      <c r="F307" s="11">
        <f>Speed_Calc!B$5*E307</f>
        <v>816.66088482056091</v>
      </c>
      <c r="G307" s="14">
        <f>Speed_Calc!G$3+Speed_Calc!G$5*A307^2</f>
        <v>22.944984099999999</v>
      </c>
      <c r="H307" s="7">
        <f>(F307-G307)/Speed_Calc!G$2*9.806</f>
        <v>5.7653171277524597</v>
      </c>
      <c r="I307" s="4">
        <f t="shared" si="20"/>
        <v>7.5277777777777777</v>
      </c>
    </row>
    <row r="308" spans="1:9" x14ac:dyDescent="0.2">
      <c r="A308" s="11">
        <v>27.2</v>
      </c>
      <c r="B308" s="14">
        <v>3.133</v>
      </c>
      <c r="C308" s="11">
        <f t="shared" si="21"/>
        <v>3524.8463189182007</v>
      </c>
      <c r="D308" s="11">
        <f t="shared" si="18"/>
        <v>91.424802926792154</v>
      </c>
      <c r="E308" s="11">
        <f t="shared" si="19"/>
        <v>907.52561728801061</v>
      </c>
      <c r="F308" s="11">
        <f>Speed_Calc!B$5*E308</f>
        <v>816.77305555920952</v>
      </c>
      <c r="G308" s="14">
        <f>Speed_Calc!G$3+Speed_Calc!G$5*A308^2</f>
        <v>22.9667584</v>
      </c>
      <c r="H308" s="7">
        <f>(F308-G308)/Speed_Calc!G$2*9.806</f>
        <v>5.7659737406986729</v>
      </c>
      <c r="I308" s="4">
        <f t="shared" si="20"/>
        <v>7.5555555555555554</v>
      </c>
    </row>
    <row r="309" spans="1:9" x14ac:dyDescent="0.2">
      <c r="A309" s="11">
        <v>27.3</v>
      </c>
      <c r="B309" s="14">
        <v>3.133</v>
      </c>
      <c r="C309" s="11">
        <f t="shared" si="21"/>
        <v>3537.8053127377534</v>
      </c>
      <c r="D309" s="11">
        <f t="shared" si="18"/>
        <v>91.773506957241835</v>
      </c>
      <c r="E309" s="11">
        <f t="shared" si="19"/>
        <v>907.65006880788633</v>
      </c>
      <c r="F309" s="11">
        <f>Speed_Calc!B$5*E309</f>
        <v>816.88506192709769</v>
      </c>
      <c r="G309" s="14">
        <f>Speed_Calc!G$3+Speed_Calc!G$5*A309^2</f>
        <v>22.9886129</v>
      </c>
      <c r="H309" s="7">
        <f>(F309-G309)/Speed_Calc!G$2*9.806</f>
        <v>5.7666285771553474</v>
      </c>
      <c r="I309" s="4">
        <f t="shared" si="20"/>
        <v>7.583333333333333</v>
      </c>
    </row>
    <row r="310" spans="1:9" x14ac:dyDescent="0.2">
      <c r="A310" s="11">
        <v>27.4</v>
      </c>
      <c r="B310" s="14">
        <v>3.133</v>
      </c>
      <c r="C310" s="11">
        <f t="shared" si="21"/>
        <v>3550.7643065573052</v>
      </c>
      <c r="D310" s="11">
        <f t="shared" si="18"/>
        <v>92.122296270449681</v>
      </c>
      <c r="E310" s="11">
        <f t="shared" si="19"/>
        <v>907.77445230005173</v>
      </c>
      <c r="F310" s="11">
        <f>Speed_Calc!B$5*E310</f>
        <v>816.99700707004661</v>
      </c>
      <c r="G310" s="14">
        <f>Speed_Calc!G$3+Speed_Calc!G$5*A310^2</f>
        <v>23.010547599999999</v>
      </c>
      <c r="H310" s="7">
        <f>(F310-G310)/Speed_Calc!G$2*9.806</f>
        <v>5.7672823863431679</v>
      </c>
      <c r="I310" s="4">
        <f t="shared" si="20"/>
        <v>7.6111111111111107</v>
      </c>
    </row>
    <row r="311" spans="1:9" x14ac:dyDescent="0.2">
      <c r="A311" s="11">
        <v>27.5</v>
      </c>
      <c r="B311" s="14">
        <v>3.133</v>
      </c>
      <c r="C311" s="11">
        <f t="shared" si="21"/>
        <v>3563.7233003768574</v>
      </c>
      <c r="D311" s="11">
        <f t="shared" si="18"/>
        <v>92.471182350653507</v>
      </c>
      <c r="E311" s="11">
        <f t="shared" si="19"/>
        <v>907.89888126096196</v>
      </c>
      <c r="F311" s="11">
        <f>Speed_Calc!B$5*E311</f>
        <v>817.10899313486573</v>
      </c>
      <c r="G311" s="14">
        <f>Speed_Calc!G$3+Speed_Calc!G$5*A311^2</f>
        <v>23.032562500000001</v>
      </c>
      <c r="H311" s="7">
        <f>(F311-G311)/Speed_Calc!G$2*9.806</f>
        <v>5.7679359102262904</v>
      </c>
      <c r="I311" s="4">
        <f t="shared" si="20"/>
        <v>7.6388888888888884</v>
      </c>
    </row>
    <row r="312" spans="1:9" x14ac:dyDescent="0.2">
      <c r="A312" s="11">
        <v>27.6</v>
      </c>
      <c r="B312" s="14">
        <v>3.133</v>
      </c>
      <c r="C312" s="11">
        <f t="shared" si="21"/>
        <v>3576.682294196411</v>
      </c>
      <c r="D312" s="11">
        <f t="shared" si="18"/>
        <v>92.820176736766797</v>
      </c>
      <c r="E312" s="11">
        <f t="shared" si="19"/>
        <v>908.02346807706624</v>
      </c>
      <c r="F312" s="11">
        <f>Speed_Calc!B$5*E312</f>
        <v>817.22112126935963</v>
      </c>
      <c r="G312" s="14">
        <f>Speed_Calc!G$3+Speed_Calc!G$5*A312^2</f>
        <v>23.054657599999999</v>
      </c>
      <c r="H312" s="7">
        <f>(F312-G312)/Speed_Calc!G$2*9.806</f>
        <v>5.7685898835123988</v>
      </c>
      <c r="I312" s="4">
        <f t="shared" si="20"/>
        <v>7.666666666666667</v>
      </c>
    </row>
    <row r="313" spans="1:9" x14ac:dyDescent="0.2">
      <c r="A313" s="11">
        <v>27.7</v>
      </c>
      <c r="B313" s="14">
        <v>3.133</v>
      </c>
      <c r="C313" s="11">
        <f t="shared" si="21"/>
        <v>3589.6412880159619</v>
      </c>
      <c r="D313" s="11">
        <f t="shared" si="18"/>
        <v>93.169291020322376</v>
      </c>
      <c r="E313" s="11">
        <f t="shared" si="19"/>
        <v>908.14832402480329</v>
      </c>
      <c r="F313" s="11">
        <f>Speed_Calc!B$5*E313</f>
        <v>817.33349162232298</v>
      </c>
      <c r="G313" s="14">
        <f>Speed_Calc!G$3+Speed_Calc!G$5*A313^2</f>
        <v>23.076832899999999</v>
      </c>
      <c r="H313" s="7">
        <f>(F313-G313)/Speed_Calc!G$2*9.806</f>
        <v>5.7692450336526662</v>
      </c>
      <c r="I313" s="4">
        <f t="shared" si="20"/>
        <v>7.6944444444444438</v>
      </c>
    </row>
    <row r="314" spans="1:9" x14ac:dyDescent="0.2">
      <c r="A314" s="11">
        <v>27.8</v>
      </c>
      <c r="B314" s="14">
        <v>3.133</v>
      </c>
      <c r="C314" s="11">
        <f t="shared" si="21"/>
        <v>3602.6002818355137</v>
      </c>
      <c r="D314" s="11">
        <f t="shared" si="18"/>
        <v>93.518536843417763</v>
      </c>
      <c r="E314" s="11">
        <f t="shared" si="19"/>
        <v>908.27355927060455</v>
      </c>
      <c r="F314" s="11">
        <f>Speed_Calc!B$5*E314</f>
        <v>817.44620334354408</v>
      </c>
      <c r="G314" s="14">
        <f>Speed_Calc!G$3+Speed_Calc!G$5*A314^2</f>
        <v>23.099088399999999</v>
      </c>
      <c r="H314" s="7">
        <f>(F314-G314)/Speed_Calc!G$2*9.806</f>
        <v>5.7699020808417725</v>
      </c>
      <c r="I314" s="4">
        <f t="shared" si="20"/>
        <v>7.7222222222222223</v>
      </c>
    </row>
    <row r="315" spans="1:9" x14ac:dyDescent="0.2">
      <c r="A315" s="11">
        <v>27.9</v>
      </c>
      <c r="B315" s="14">
        <v>3.133</v>
      </c>
      <c r="C315" s="11">
        <f t="shared" si="21"/>
        <v>3615.5592756550668</v>
      </c>
      <c r="D315" s="11">
        <f t="shared" si="18"/>
        <v>93.867925896658818</v>
      </c>
      <c r="E315" s="11">
        <f t="shared" si="19"/>
        <v>908.39928287089162</v>
      </c>
      <c r="F315" s="11">
        <f>Speed_Calc!B$5*E315</f>
        <v>817.55935458380247</v>
      </c>
      <c r="G315" s="14">
        <f>Speed_Calc!G$3+Speed_Calc!G$5*A315^2</f>
        <v>23.121424099999999</v>
      </c>
      <c r="H315" s="7">
        <f>(F315-G315)/Speed_Calc!G$2*9.806</f>
        <v>5.7705617380179008</v>
      </c>
      <c r="I315" s="4">
        <f t="shared" si="20"/>
        <v>7.7499999999999991</v>
      </c>
    </row>
    <row r="316" spans="1:9" x14ac:dyDescent="0.2">
      <c r="A316" s="11">
        <v>28</v>
      </c>
      <c r="B316" s="14">
        <v>3.133</v>
      </c>
      <c r="C316" s="11">
        <f t="shared" si="21"/>
        <v>3628.518269474619</v>
      </c>
      <c r="D316" s="11">
        <f t="shared" si="18"/>
        <v>94.217469917104523</v>
      </c>
      <c r="E316" s="11">
        <f t="shared" si="19"/>
        <v>908.52560277207931</v>
      </c>
      <c r="F316" s="11">
        <f>Speed_Calc!B$5*E316</f>
        <v>817.67304249487142</v>
      </c>
      <c r="G316" s="14">
        <f>Speed_Calc!G$3+Speed_Calc!G$5*A316^2</f>
        <v>23.143840000000001</v>
      </c>
      <c r="H316" s="7">
        <f>(F316-G316)/Speed_Calc!G$2*9.806</f>
        <v>5.7712247108627475</v>
      </c>
      <c r="I316" s="4">
        <f t="shared" si="20"/>
        <v>7.7777777777777777</v>
      </c>
    </row>
    <row r="317" spans="1:9" x14ac:dyDescent="0.2">
      <c r="A317" s="11">
        <v>28.1</v>
      </c>
      <c r="B317" s="14">
        <v>3.133</v>
      </c>
      <c r="C317" s="11">
        <f t="shared" si="21"/>
        <v>3641.4772632941708</v>
      </c>
      <c r="D317" s="11">
        <f t="shared" si="18"/>
        <v>94.567180686211344</v>
      </c>
      <c r="E317" s="11">
        <f t="shared" si="19"/>
        <v>908.65262581057175</v>
      </c>
      <c r="F317" s="11">
        <f>Speed_Calc!B$5*E317</f>
        <v>817.78736322951454</v>
      </c>
      <c r="G317" s="14">
        <f>Speed_Calc!G$3+Speed_Calc!G$5*A317^2</f>
        <v>23.166336099999999</v>
      </c>
      <c r="H317" s="7">
        <f>(F317-G317)/Speed_Calc!G$2*9.806</f>
        <v>5.7718916978014958</v>
      </c>
      <c r="I317" s="4">
        <f t="shared" si="20"/>
        <v>7.8055555555555554</v>
      </c>
    </row>
    <row r="318" spans="1:9" x14ac:dyDescent="0.2">
      <c r="A318" s="11">
        <v>28.2</v>
      </c>
      <c r="B318" s="14">
        <v>3.133</v>
      </c>
      <c r="C318" s="11">
        <f t="shared" si="21"/>
        <v>3654.4362571137231</v>
      </c>
      <c r="D318" s="11">
        <f t="shared" si="18"/>
        <v>94.917070027777754</v>
      </c>
      <c r="E318" s="11">
        <f t="shared" si="19"/>
        <v>908.78045771276584</v>
      </c>
      <c r="F318" s="11">
        <f>Speed_Calc!B$5*E318</f>
        <v>817.90241194148928</v>
      </c>
      <c r="G318" s="14">
        <f>Speed_Calc!G$3+Speed_Calc!G$5*A318^2</f>
        <v>23.1889124</v>
      </c>
      <c r="H318" s="7">
        <f>(F318-G318)/Speed_Calc!G$2*9.806</f>
        <v>5.7725633900028468</v>
      </c>
      <c r="I318" s="4">
        <f t="shared" si="20"/>
        <v>7.833333333333333</v>
      </c>
    </row>
    <row r="319" spans="1:9" x14ac:dyDescent="0.2">
      <c r="A319" s="11">
        <v>28.3</v>
      </c>
      <c r="B319" s="14">
        <v>3.133</v>
      </c>
      <c r="C319" s="11">
        <f t="shared" si="21"/>
        <v>3667.3952509332757</v>
      </c>
      <c r="D319" s="11">
        <f t="shared" si="18"/>
        <v>95.267149805888323</v>
      </c>
      <c r="E319" s="11">
        <f t="shared" si="19"/>
        <v>908.90920309504759</v>
      </c>
      <c r="F319" s="11">
        <f>Speed_Calc!B$5*E319</f>
        <v>818.01828278554285</v>
      </c>
      <c r="G319" s="14">
        <f>Speed_Calc!G$3+Speed_Calc!G$5*A319^2</f>
        <v>23.2115689</v>
      </c>
      <c r="H319" s="7">
        <f>(F319-G319)/Speed_Calc!G$2*9.806</f>
        <v>5.7732404713789869</v>
      </c>
      <c r="I319" s="4">
        <f t="shared" si="20"/>
        <v>7.8611111111111107</v>
      </c>
    </row>
    <row r="320" spans="1:9" x14ac:dyDescent="0.2">
      <c r="A320" s="11">
        <v>28.4</v>
      </c>
      <c r="B320" s="14">
        <v>3.133</v>
      </c>
      <c r="C320" s="11">
        <f t="shared" si="21"/>
        <v>3680.3542447528271</v>
      </c>
      <c r="D320" s="11">
        <f t="shared" si="18"/>
        <v>95.617431922858643</v>
      </c>
      <c r="E320" s="11">
        <f t="shared" si="19"/>
        <v>909.03896546379724</v>
      </c>
      <c r="F320" s="11">
        <f>Speed_Calc!B$5*E320</f>
        <v>818.13506891741758</v>
      </c>
      <c r="G320" s="14">
        <f>Speed_Calc!G$3+Speed_Calc!G$5*A320^2</f>
        <v>23.234305599999999</v>
      </c>
      <c r="H320" s="7">
        <f>(F320-G320)/Speed_Calc!G$2*9.806</f>
        <v>5.7739236185856271</v>
      </c>
      <c r="I320" s="4">
        <f t="shared" si="20"/>
        <v>7.8888888888888884</v>
      </c>
    </row>
    <row r="321" spans="1:9" x14ac:dyDescent="0.2">
      <c r="A321" s="11">
        <v>28.5</v>
      </c>
      <c r="B321" s="14">
        <v>3.133</v>
      </c>
      <c r="C321" s="11">
        <f t="shared" si="21"/>
        <v>3693.3132385723802</v>
      </c>
      <c r="D321" s="11">
        <f t="shared" si="18"/>
        <v>95.967928317179386</v>
      </c>
      <c r="E321" s="11">
        <f t="shared" si="19"/>
        <v>909.16984721538358</v>
      </c>
      <c r="F321" s="11">
        <f>Speed_Calc!B$5*E321</f>
        <v>818.25286249384521</v>
      </c>
      <c r="G321" s="14">
        <f>Speed_Calc!G$3+Speed_Calc!G$5*A321^2</f>
        <v>23.257122500000001</v>
      </c>
      <c r="H321" s="7">
        <f>(F321-G321)/Speed_Calc!G$2*9.806</f>
        <v>5.7746135010219595</v>
      </c>
      <c r="I321" s="4">
        <f t="shared" si="20"/>
        <v>7.9166666666666661</v>
      </c>
    </row>
    <row r="322" spans="1:9" x14ac:dyDescent="0.2">
      <c r="A322" s="11">
        <v>28.6</v>
      </c>
      <c r="B322" s="14">
        <v>3.133</v>
      </c>
      <c r="C322" s="11">
        <f t="shared" si="21"/>
        <v>3706.2722323919324</v>
      </c>
      <c r="D322" s="11">
        <f t="shared" si="18"/>
        <v>96.318650961460932</v>
      </c>
      <c r="E322" s="11">
        <f t="shared" si="19"/>
        <v>909.30194963616941</v>
      </c>
      <c r="F322" s="11">
        <f>Speed_Calc!B$5*E322</f>
        <v>818.37175467255247</v>
      </c>
      <c r="G322" s="14">
        <f>Speed_Calc!G$3+Speed_Calc!G$5*A322^2</f>
        <v>23.280019599999999</v>
      </c>
      <c r="H322" s="7">
        <f>(F322-G322)/Speed_Calc!G$2*9.806</f>
        <v>5.7753107808307034</v>
      </c>
      <c r="I322" s="4">
        <f t="shared" si="20"/>
        <v>7.9444444444444446</v>
      </c>
    </row>
    <row r="323" spans="1:9" x14ac:dyDescent="0.2">
      <c r="A323" s="11">
        <v>28.7</v>
      </c>
      <c r="B323" s="14">
        <v>3.133</v>
      </c>
      <c r="C323" s="11">
        <f t="shared" si="21"/>
        <v>3719.2312262114838</v>
      </c>
      <c r="D323" s="11">
        <f t="shared" si="18"/>
        <v>96.669611860377643</v>
      </c>
      <c r="E323" s="11">
        <f t="shared" si="19"/>
        <v>909.43537290250765</v>
      </c>
      <c r="F323" s="11">
        <f>Speed_Calc!B$5*E323</f>
        <v>818.49183561225686</v>
      </c>
      <c r="G323" s="14">
        <f>Speed_Calc!G$3+Speed_Calc!G$5*A323^2</f>
        <v>23.3029969</v>
      </c>
      <c r="H323" s="7">
        <f>(F323-G323)/Speed_Calc!G$2*9.806</f>
        <v>5.7760161128980663</v>
      </c>
      <c r="I323" s="4">
        <f t="shared" si="20"/>
        <v>7.9722222222222214</v>
      </c>
    </row>
    <row r="324" spans="1:9" x14ac:dyDescent="0.2">
      <c r="A324" s="11">
        <v>28.8</v>
      </c>
      <c r="B324" s="14">
        <v>3.133</v>
      </c>
      <c r="C324" s="11">
        <f t="shared" si="21"/>
        <v>3732.1902200310365</v>
      </c>
      <c r="D324" s="11">
        <f t="shared" si="18"/>
        <v>97.020823048612414</v>
      </c>
      <c r="E324" s="11">
        <f t="shared" si="19"/>
        <v>909.57021608074137</v>
      </c>
      <c r="F324" s="11">
        <f>Speed_Calc!B$5*E324</f>
        <v>818.61319447266726</v>
      </c>
      <c r="G324" s="14">
        <f>Speed_Calc!G$3+Speed_Calc!G$5*A324^2</f>
        <v>23.3260544</v>
      </c>
      <c r="H324" s="7">
        <f>(F324-G324)/Speed_Calc!G$2*9.806</f>
        <v>5.7767301448537589</v>
      </c>
      <c r="I324" s="4">
        <f t="shared" si="20"/>
        <v>8</v>
      </c>
    </row>
    <row r="325" spans="1:9" x14ac:dyDescent="0.2">
      <c r="A325" s="11">
        <v>28.9</v>
      </c>
      <c r="B325" s="14">
        <v>3.133</v>
      </c>
      <c r="C325" s="11">
        <f t="shared" si="21"/>
        <v>3745.1492138505891</v>
      </c>
      <c r="D325" s="11">
        <f t="shared" si="18"/>
        <v>97.372296588800992</v>
      </c>
      <c r="E325" s="11">
        <f t="shared" si="19"/>
        <v>909.7065771272064</v>
      </c>
      <c r="F325" s="11">
        <f>Speed_Calc!B$5*E325</f>
        <v>818.73591941448581</v>
      </c>
      <c r="G325" s="14">
        <f>Speed_Calc!G$3+Speed_Calc!G$5*A325^2</f>
        <v>23.3491921</v>
      </c>
      <c r="H325" s="7">
        <f>(F325-G325)/Speed_Calc!G$2*9.806</f>
        <v>5.777453517070998</v>
      </c>
      <c r="I325" s="4">
        <f t="shared" si="20"/>
        <v>8.0277777777777768</v>
      </c>
    </row>
    <row r="326" spans="1:9" x14ac:dyDescent="0.2">
      <c r="A326" s="11">
        <v>29</v>
      </c>
      <c r="B326" s="14">
        <v>3.133</v>
      </c>
      <c r="C326" s="11">
        <f t="shared" si="21"/>
        <v>3758.1082076701405</v>
      </c>
      <c r="D326" s="11">
        <f t="shared" si="18"/>
        <v>97.724044569476575</v>
      </c>
      <c r="E326" s="11">
        <f t="shared" si="19"/>
        <v>909.84455288823051</v>
      </c>
      <c r="F326" s="11">
        <f>Speed_Calc!B$5*E326</f>
        <v>818.86009759940748</v>
      </c>
      <c r="G326" s="14">
        <f>Speed_Calc!G$3+Speed_Calc!G$5*A326^2</f>
        <v>23.372409999999999</v>
      </c>
      <c r="H326" s="7">
        <f>(F326-G326)/Speed_Calc!G$2*9.806</f>
        <v>5.7781868626665105</v>
      </c>
      <c r="I326" s="4">
        <f t="shared" si="20"/>
        <v>8.0555555555555554</v>
      </c>
    </row>
    <row r="327" spans="1:9" x14ac:dyDescent="0.2">
      <c r="A327" s="11">
        <v>29.1</v>
      </c>
      <c r="B327" s="14">
        <v>3.133</v>
      </c>
      <c r="C327" s="11">
        <f t="shared" si="21"/>
        <v>3771.0672014896936</v>
      </c>
      <c r="D327" s="11">
        <f t="shared" si="18"/>
        <v>98.076079103014166</v>
      </c>
      <c r="E327" s="11">
        <f t="shared" si="19"/>
        <v>909.98423910013139</v>
      </c>
      <c r="F327" s="11">
        <f>Speed_Calc!B$5*E327</f>
        <v>818.98581519011827</v>
      </c>
      <c r="G327" s="14">
        <f>Speed_Calc!G$3+Speed_Calc!G$5*A327^2</f>
        <v>23.3957081</v>
      </c>
      <c r="H327" s="7">
        <f>(F327-G327)/Speed_Calc!G$2*9.806</f>
        <v>5.7789308075005179</v>
      </c>
      <c r="I327" s="4">
        <f t="shared" si="20"/>
        <v>8.0833333333333339</v>
      </c>
    </row>
    <row r="328" spans="1:9" x14ac:dyDescent="0.2">
      <c r="A328" s="11">
        <v>29.2</v>
      </c>
      <c r="B328" s="14">
        <v>3.133</v>
      </c>
      <c r="C328" s="11">
        <f t="shared" si="21"/>
        <v>3784.0261953092449</v>
      </c>
      <c r="D328" s="11">
        <f t="shared" si="18"/>
        <v>98.428412323574591</v>
      </c>
      <c r="E328" s="11">
        <f t="shared" si="19"/>
        <v>910.12573038921732</v>
      </c>
      <c r="F328" s="11">
        <f>Speed_Calc!B$5*E328</f>
        <v>819.11315735029564</v>
      </c>
      <c r="G328" s="14">
        <f>Speed_Calc!G$3+Speed_Calc!G$5*A328^2</f>
        <v>23.419086400000001</v>
      </c>
      <c r="H328" s="7">
        <f>(F328-G328)/Speed_Calc!G$2*9.806</f>
        <v>5.7796859701767396</v>
      </c>
      <c r="I328" s="4">
        <f t="shared" si="20"/>
        <v>8.1111111111111107</v>
      </c>
    </row>
    <row r="329" spans="1:9" x14ac:dyDescent="0.2">
      <c r="A329" s="11">
        <v>29.3</v>
      </c>
      <c r="B329" s="14">
        <v>3.133</v>
      </c>
      <c r="C329" s="11">
        <f t="shared" si="21"/>
        <v>3796.9851891287981</v>
      </c>
      <c r="D329" s="11">
        <f t="shared" si="18"/>
        <v>98.781056385049766</v>
      </c>
      <c r="E329" s="11">
        <f t="shared" si="19"/>
        <v>910.26912027178969</v>
      </c>
      <c r="F329" s="11">
        <f>Speed_Calc!B$5*E329</f>
        <v>819.24220824461077</v>
      </c>
      <c r="G329" s="14">
        <f>Speed_Calc!G$3+Speed_Calc!G$5*A329^2</f>
        <v>23.442544900000001</v>
      </c>
      <c r="H329" s="7">
        <f>(F329-G329)/Speed_Calc!G$2*9.806</f>
        <v>5.7804529620424097</v>
      </c>
      <c r="I329" s="4">
        <f t="shared" si="20"/>
        <v>8.1388888888888893</v>
      </c>
    </row>
    <row r="330" spans="1:9" x14ac:dyDescent="0.2">
      <c r="A330" s="11">
        <v>29.4</v>
      </c>
      <c r="B330" s="14">
        <v>3.133</v>
      </c>
      <c r="C330" s="11">
        <f t="shared" si="21"/>
        <v>3809.9441829483499</v>
      </c>
      <c r="D330" s="11">
        <f t="shared" si="18"/>
        <v>99.134023459006514</v>
      </c>
      <c r="E330" s="11">
        <f t="shared" si="19"/>
        <v>910.41450115414136</v>
      </c>
      <c r="F330" s="11">
        <f>Speed_Calc!B$5*E330</f>
        <v>819.37305103872723</v>
      </c>
      <c r="G330" s="14">
        <f>Speed_Calc!G$3+Speed_Calc!G$5*A330^2</f>
        <v>23.466083599999997</v>
      </c>
      <c r="H330" s="7">
        <f>(F330-G330)/Speed_Calc!G$2*9.806</f>
        <v>5.7812323871882656</v>
      </c>
      <c r="I330" s="4">
        <f t="shared" si="20"/>
        <v>8.1666666666666661</v>
      </c>
    </row>
    <row r="331" spans="1:9" x14ac:dyDescent="0.2">
      <c r="A331" s="11">
        <v>29.5</v>
      </c>
      <c r="B331" s="14">
        <v>3.133</v>
      </c>
      <c r="C331" s="11">
        <f t="shared" si="21"/>
        <v>3822.9031767679026</v>
      </c>
      <c r="D331" s="11">
        <f t="shared" si="18"/>
        <v>99.487325732631021</v>
      </c>
      <c r="E331" s="11">
        <f t="shared" si="19"/>
        <v>910.56196433255514</v>
      </c>
      <c r="F331" s="11">
        <f>Speed_Calc!B$5*E331</f>
        <v>819.5057678992996</v>
      </c>
      <c r="G331" s="14">
        <f>Speed_Calc!G$3+Speed_Calc!G$5*A331^2</f>
        <v>23.4897025</v>
      </c>
      <c r="H331" s="7">
        <f>(F331-G331)/Speed_Calc!G$2*9.806</f>
        <v>5.782024842448541</v>
      </c>
      <c r="I331" s="4">
        <f t="shared" si="20"/>
        <v>8.1944444444444446</v>
      </c>
    </row>
    <row r="332" spans="1:9" x14ac:dyDescent="0.2">
      <c r="A332" s="11">
        <v>29.6</v>
      </c>
      <c r="B332" s="14">
        <v>3.133</v>
      </c>
      <c r="C332" s="11">
        <f t="shared" si="21"/>
        <v>3835.8621705874552</v>
      </c>
      <c r="D332" s="11">
        <f t="shared" si="18"/>
        <v>99.840975406673621</v>
      </c>
      <c r="E332" s="11">
        <f t="shared" si="19"/>
        <v>910.71159999330632</v>
      </c>
      <c r="F332" s="11">
        <f>Speed_Calc!B$5*E332</f>
        <v>819.64043999397575</v>
      </c>
      <c r="G332" s="14">
        <f>Speed_Calc!G$3+Speed_Calc!G$5*A332^2</f>
        <v>23.513401600000002</v>
      </c>
      <c r="H332" s="7">
        <f>(F332-G332)/Speed_Calc!G$2*9.806</f>
        <v>5.7828309174009824</v>
      </c>
      <c r="I332" s="4">
        <f t="shared" si="20"/>
        <v>8.2222222222222232</v>
      </c>
    </row>
    <row r="333" spans="1:9" x14ac:dyDescent="0.2">
      <c r="A333" s="11">
        <v>29.7</v>
      </c>
      <c r="B333" s="14">
        <v>3.133</v>
      </c>
      <c r="C333" s="11">
        <f t="shared" si="21"/>
        <v>3848.8211644070066</v>
      </c>
      <c r="D333" s="11">
        <f t="shared" si="18"/>
        <v>100.1949846933926</v>
      </c>
      <c r="E333" s="11">
        <f t="shared" si="19"/>
        <v>910.86349721265992</v>
      </c>
      <c r="F333" s="11">
        <f>Speed_Calc!B$5*E333</f>
        <v>819.77714749139398</v>
      </c>
      <c r="G333" s="14">
        <f>Speed_Calc!G$3+Speed_Calc!G$5*A333^2</f>
        <v>23.537180899999999</v>
      </c>
      <c r="H333" s="7">
        <f>(F333-G333)/Speed_Calc!G$2*9.806</f>
        <v>5.7836511943668212</v>
      </c>
      <c r="I333" s="4">
        <f t="shared" si="20"/>
        <v>8.25</v>
      </c>
    </row>
    <row r="334" spans="1:9" x14ac:dyDescent="0.2">
      <c r="A334" s="11">
        <v>29.8</v>
      </c>
      <c r="B334" s="14">
        <v>3.133</v>
      </c>
      <c r="C334" s="11">
        <f t="shared" si="21"/>
        <v>3861.7801582265583</v>
      </c>
      <c r="D334" s="11">
        <f t="shared" si="18"/>
        <v>100.54936581449951</v>
      </c>
      <c r="E334" s="11">
        <f t="shared" si="19"/>
        <v>911.01774395687471</v>
      </c>
      <c r="F334" s="11">
        <f>Speed_Calc!B$5*E334</f>
        <v>819.91596956118724</v>
      </c>
      <c r="G334" s="14">
        <f>Speed_Calc!G$3+Speed_Calc!G$5*A334^2</f>
        <v>23.5610404</v>
      </c>
      <c r="H334" s="7">
        <f>(F334-G334)/Speed_Calc!G$2*9.806</f>
        <v>5.7844862484108157</v>
      </c>
      <c r="I334" s="4">
        <f t="shared" si="20"/>
        <v>8.2777777777777786</v>
      </c>
    </row>
    <row r="335" spans="1:9" x14ac:dyDescent="0.2">
      <c r="A335" s="11">
        <v>29.9</v>
      </c>
      <c r="B335" s="14">
        <v>3.133</v>
      </c>
      <c r="C335" s="11">
        <f t="shared" si="21"/>
        <v>3874.7391520461115</v>
      </c>
      <c r="D335" s="11">
        <f t="shared" si="18"/>
        <v>100.9041309991027</v>
      </c>
      <c r="E335" s="11">
        <f t="shared" si="19"/>
        <v>911.17442708219824</v>
      </c>
      <c r="F335" s="11">
        <f>Speed_Calc!B$5*E335</f>
        <v>820.05698437397848</v>
      </c>
      <c r="G335" s="14">
        <f>Speed_Calc!G$3+Speed_Calc!G$5*A335^2</f>
        <v>23.584980099999999</v>
      </c>
      <c r="H335" s="7">
        <f>(F335-G335)/Speed_Calc!G$2*9.806</f>
        <v>5.7853366473412082</v>
      </c>
      <c r="I335" s="4">
        <f t="shared" si="20"/>
        <v>8.3055555555555554</v>
      </c>
    </row>
    <row r="336" spans="1:9" x14ac:dyDescent="0.2">
      <c r="A336" s="11">
        <v>30</v>
      </c>
      <c r="B336" s="14">
        <v>3.133</v>
      </c>
      <c r="C336" s="11">
        <f t="shared" si="21"/>
        <v>3887.6981458656642</v>
      </c>
      <c r="D336" s="11">
        <f t="shared" si="18"/>
        <v>101.25929248165227</v>
      </c>
      <c r="E336" s="11">
        <f t="shared" si="19"/>
        <v>911.33363233487012</v>
      </c>
      <c r="F336" s="11">
        <f>Speed_Calc!B$5*E336</f>
        <v>820.20026910138313</v>
      </c>
      <c r="G336" s="14">
        <f>Speed_Calc!G$3+Speed_Calc!G$5*A336^2</f>
        <v>23.608999999999998</v>
      </c>
      <c r="H336" s="7">
        <f>(F336-G336)/Speed_Calc!G$2*9.806</f>
        <v>5.7862029517097495</v>
      </c>
      <c r="I336" s="4">
        <f t="shared" si="20"/>
        <v>8.3333333333333339</v>
      </c>
    </row>
    <row r="337" spans="1:9" x14ac:dyDescent="0.2">
      <c r="A337" s="11">
        <v>30.1</v>
      </c>
      <c r="B337" s="14">
        <v>3.133</v>
      </c>
      <c r="C337" s="11">
        <f t="shared" si="21"/>
        <v>3900.657139685216</v>
      </c>
      <c r="D337" s="11">
        <f t="shared" si="18"/>
        <v>101.61486249988459</v>
      </c>
      <c r="E337" s="11">
        <f t="shared" si="19"/>
        <v>911.49544435112421</v>
      </c>
      <c r="F337" s="11">
        <f>Speed_Calc!B$5*E337</f>
        <v>820.34589991601183</v>
      </c>
      <c r="G337" s="14">
        <f>Speed_Calc!G$3+Speed_Calc!G$5*A337^2</f>
        <v>23.6331001</v>
      </c>
      <c r="H337" s="7">
        <f>(F337-G337)/Speed_Calc!G$2*9.806</f>
        <v>5.7870857148117123</v>
      </c>
      <c r="I337" s="4">
        <f t="shared" si="20"/>
        <v>8.3611111111111107</v>
      </c>
    </row>
    <row r="338" spans="1:9" x14ac:dyDescent="0.2">
      <c r="A338" s="11">
        <v>30.2</v>
      </c>
      <c r="B338" s="14">
        <v>3.133</v>
      </c>
      <c r="C338" s="11">
        <f t="shared" si="21"/>
        <v>3913.6161335047673</v>
      </c>
      <c r="D338" s="11">
        <f t="shared" si="18"/>
        <v>101.97085329276614</v>
      </c>
      <c r="E338" s="11">
        <f t="shared" si="19"/>
        <v>911.65994665718097</v>
      </c>
      <c r="F338" s="11">
        <f>Speed_Calc!B$5*E338</f>
        <v>820.49395199146284</v>
      </c>
      <c r="G338" s="14">
        <f>Speed_Calc!G$3+Speed_Calc!G$5*A338^2</f>
        <v>23.657280399999998</v>
      </c>
      <c r="H338" s="7">
        <f>(F338-G338)/Speed_Calc!G$2*9.806</f>
        <v>5.7879854826858397</v>
      </c>
      <c r="I338" s="4">
        <f t="shared" si="20"/>
        <v>8.3888888888888893</v>
      </c>
    </row>
    <row r="339" spans="1:9" x14ac:dyDescent="0.2">
      <c r="A339" s="11">
        <v>30.3</v>
      </c>
      <c r="B339" s="14">
        <v>3.133</v>
      </c>
      <c r="C339" s="11">
        <f t="shared" si="21"/>
        <v>3926.57512732432</v>
      </c>
      <c r="D339" s="11">
        <f t="shared" si="18"/>
        <v>102.32727709843859</v>
      </c>
      <c r="E339" s="11">
        <f t="shared" si="19"/>
        <v>911.82722166925464</v>
      </c>
      <c r="F339" s="11">
        <f>Speed_Calc!B$5*E339</f>
        <v>820.64449950232915</v>
      </c>
      <c r="G339" s="14">
        <f>Speed_Calc!G$3+Speed_Calc!G$5*A339^2</f>
        <v>23.681540900000002</v>
      </c>
      <c r="H339" s="7">
        <f>(F339-G339)/Speed_Calc!G$2*9.806</f>
        <v>5.7889027941143993</v>
      </c>
      <c r="I339" s="4">
        <f t="shared" si="20"/>
        <v>8.4166666666666661</v>
      </c>
    </row>
    <row r="340" spans="1:9" x14ac:dyDescent="0.2">
      <c r="A340" s="11">
        <v>30.4</v>
      </c>
      <c r="B340" s="14">
        <v>3.133</v>
      </c>
      <c r="C340" s="11">
        <f t="shared" si="21"/>
        <v>3939.5341211438717</v>
      </c>
      <c r="D340" s="11">
        <f t="shared" si="18"/>
        <v>102.68414615216278</v>
      </c>
      <c r="E340" s="11">
        <f t="shared" si="19"/>
        <v>911.9973506935512</v>
      </c>
      <c r="F340" s="11">
        <f>Speed_Calc!B$5*E340</f>
        <v>820.79761562419606</v>
      </c>
      <c r="G340" s="14">
        <f>Speed_Calc!G$3+Speed_Calc!G$5*A340^2</f>
        <v>23.705881599999998</v>
      </c>
      <c r="H340" s="7">
        <f>(F340-G340)/Speed_Calc!G$2*9.806</f>
        <v>5.7898381806231596</v>
      </c>
      <c r="I340" s="4">
        <f t="shared" si="20"/>
        <v>8.4444444444444446</v>
      </c>
    </row>
    <row r="341" spans="1:9" x14ac:dyDescent="0.2">
      <c r="A341" s="11">
        <v>30.5</v>
      </c>
      <c r="B341" s="14">
        <v>3.133</v>
      </c>
      <c r="C341" s="11">
        <f t="shared" si="21"/>
        <v>3952.493114963424</v>
      </c>
      <c r="D341" s="11">
        <f t="shared" si="18"/>
        <v>103.04147268426348</v>
      </c>
      <c r="E341" s="11">
        <f t="shared" si="19"/>
        <v>912.17041392626697</v>
      </c>
      <c r="F341" s="11">
        <f>Speed_Calc!B$5*E341</f>
        <v>820.95337253364028</v>
      </c>
      <c r="G341" s="14">
        <f>Speed_Calc!G$3+Speed_Calc!G$5*A341^2</f>
        <v>23.730302500000001</v>
      </c>
      <c r="H341" s="7">
        <f>(F341-G341)/Speed_Calc!G$2*9.806</f>
        <v>5.7907921664813893</v>
      </c>
      <c r="I341" s="4">
        <f t="shared" si="20"/>
        <v>8.4722222222222214</v>
      </c>
    </row>
    <row r="342" spans="1:9" x14ac:dyDescent="0.2">
      <c r="A342" s="11">
        <v>30.6</v>
      </c>
      <c r="B342" s="14">
        <v>3.133</v>
      </c>
      <c r="C342" s="11">
        <f t="shared" si="21"/>
        <v>3965.4521087829776</v>
      </c>
      <c r="D342" s="11">
        <f t="shared" si="18"/>
        <v>103.39926891807364</v>
      </c>
      <c r="E342" s="11">
        <f t="shared" si="19"/>
        <v>912.34649045359072</v>
      </c>
      <c r="F342" s="11">
        <f>Speed_Calc!B$5*E342</f>
        <v>821.11184140823161</v>
      </c>
      <c r="G342" s="14">
        <f>Speed_Calc!G$3+Speed_Calc!G$5*A342^2</f>
        <v>23.754803599999999</v>
      </c>
      <c r="H342" s="7">
        <f>(F342-G342)/Speed_Calc!G$2*9.806</f>
        <v>5.7917652687018668</v>
      </c>
      <c r="I342" s="4">
        <f t="shared" si="20"/>
        <v>8.5</v>
      </c>
    </row>
    <row r="343" spans="1:9" x14ac:dyDescent="0.2">
      <c r="A343" s="11">
        <v>30.7</v>
      </c>
      <c r="B343" s="14">
        <v>3.133</v>
      </c>
      <c r="C343" s="11">
        <f t="shared" si="21"/>
        <v>3978.4111026025284</v>
      </c>
      <c r="D343" s="11">
        <f t="shared" si="18"/>
        <v>103.75754706787845</v>
      </c>
      <c r="E343" s="11">
        <f t="shared" si="19"/>
        <v>912.52565825169995</v>
      </c>
      <c r="F343" s="11">
        <f>Speed_Calc!B$5*E343</f>
        <v>821.27309242652996</v>
      </c>
      <c r="G343" s="14">
        <f>Speed_Calc!G$3+Speed_Calc!G$5*A343^2</f>
        <v>23.7793849</v>
      </c>
      <c r="H343" s="7">
        <f>(F343-G343)/Speed_Calc!G$2*9.806</f>
        <v>5.7927579970408534</v>
      </c>
      <c r="I343" s="4">
        <f t="shared" si="20"/>
        <v>8.5277777777777768</v>
      </c>
    </row>
    <row r="344" spans="1:9" x14ac:dyDescent="0.2">
      <c r="A344" s="11">
        <v>30.8</v>
      </c>
      <c r="B344" s="14">
        <v>3.133</v>
      </c>
      <c r="C344" s="11">
        <f t="shared" si="21"/>
        <v>3991.3700964220816</v>
      </c>
      <c r="D344" s="11">
        <f t="shared" si="18"/>
        <v>104.11631933686087</v>
      </c>
      <c r="E344" s="11">
        <f t="shared" si="19"/>
        <v>912.70799418676722</v>
      </c>
      <c r="F344" s="11">
        <f>Speed_Calc!B$5*E344</f>
        <v>821.43719476809054</v>
      </c>
      <c r="G344" s="14">
        <f>Speed_Calc!G$3+Speed_Calc!G$5*A344^2</f>
        <v>23.804046400000001</v>
      </c>
      <c r="H344" s="7">
        <f>(F344-G344)/Speed_Calc!G$2*9.806</f>
        <v>5.7937708539981445</v>
      </c>
      <c r="I344" s="4">
        <f t="shared" si="20"/>
        <v>8.5555555555555554</v>
      </c>
    </row>
    <row r="345" spans="1:9" x14ac:dyDescent="0.2">
      <c r="A345" s="11">
        <v>30.9</v>
      </c>
      <c r="B345" s="14">
        <v>3.133</v>
      </c>
      <c r="C345" s="11">
        <f t="shared" si="21"/>
        <v>4004.3290902416325</v>
      </c>
      <c r="D345" s="11">
        <f t="shared" si="18"/>
        <v>104.47559791504467</v>
      </c>
      <c r="E345" s="11">
        <f t="shared" si="19"/>
        <v>912.89357401495363</v>
      </c>
      <c r="F345" s="11">
        <f>Speed_Calc!B$5*E345</f>
        <v>821.60421661345833</v>
      </c>
      <c r="G345" s="14">
        <f>Speed_Calc!G$3+Speed_Calc!G$5*A345^2</f>
        <v>23.828788100000001</v>
      </c>
      <c r="H345" s="7">
        <f>(F345-G345)/Speed_Calc!G$2*9.806</f>
        <v>5.794804334817016</v>
      </c>
      <c r="I345" s="4">
        <f t="shared" si="20"/>
        <v>8.5833333333333321</v>
      </c>
    </row>
    <row r="346" spans="1:9" x14ac:dyDescent="0.2">
      <c r="A346" s="11">
        <v>31</v>
      </c>
      <c r="B346" s="14">
        <v>3.133</v>
      </c>
      <c r="C346" s="11">
        <f t="shared" si="21"/>
        <v>4017.2880840611851</v>
      </c>
      <c r="D346" s="11">
        <f t="shared" si="18"/>
        <v>104.83539497724003</v>
      </c>
      <c r="E346" s="11">
        <f t="shared" si="19"/>
        <v>913.08247238241324</v>
      </c>
      <c r="F346" s="11">
        <f>Speed_Calc!B$5*E346</f>
        <v>821.77422514417196</v>
      </c>
      <c r="G346" s="14">
        <f>Speed_Calc!G$3+Speed_Calc!G$5*A346^2</f>
        <v>23.85361</v>
      </c>
      <c r="H346" s="7">
        <f>(F346-G346)/Speed_Calc!G$2*9.806</f>
        <v>5.7958589274842591</v>
      </c>
      <c r="I346" s="4">
        <f t="shared" si="20"/>
        <v>8.6111111111111107</v>
      </c>
    </row>
    <row r="347" spans="1:9" x14ac:dyDescent="0.2">
      <c r="A347" s="11">
        <v>31.1</v>
      </c>
      <c r="B347" s="14">
        <v>3.133</v>
      </c>
      <c r="C347" s="11">
        <f t="shared" si="21"/>
        <v>4030.2470778807383</v>
      </c>
      <c r="D347" s="11">
        <f t="shared" si="18"/>
        <v>105.19572268098696</v>
      </c>
      <c r="E347" s="11">
        <f t="shared" si="19"/>
        <v>913.27476282528869</v>
      </c>
      <c r="F347" s="11">
        <f>Speed_Calc!B$5*E347</f>
        <v>821.9472865427598</v>
      </c>
      <c r="G347" s="14">
        <f>Speed_Calc!G$3+Speed_Calc!G$5*A347^2</f>
        <v>23.878512100000002</v>
      </c>
      <c r="H347" s="7">
        <f>(F347-G347)/Speed_Calc!G$2*9.806</f>
        <v>5.7969351127301501</v>
      </c>
      <c r="I347" s="4">
        <f t="shared" si="20"/>
        <v>8.6388888888888893</v>
      </c>
    </row>
    <row r="348" spans="1:9" x14ac:dyDescent="0.2">
      <c r="A348" s="11">
        <v>31.2</v>
      </c>
      <c r="B348" s="14">
        <v>3.133</v>
      </c>
      <c r="C348" s="11">
        <f t="shared" si="21"/>
        <v>4043.2060717002892</v>
      </c>
      <c r="D348" s="11">
        <f t="shared" si="18"/>
        <v>105.55659316450075</v>
      </c>
      <c r="E348" s="11">
        <f t="shared" si="19"/>
        <v>913.47051776971819</v>
      </c>
      <c r="F348" s="11">
        <f>Speed_Calc!B$5*E348</f>
        <v>822.12346599274633</v>
      </c>
      <c r="G348" s="14">
        <f>Speed_Calc!G$3+Speed_Calc!G$5*A348^2</f>
        <v>23.9034944</v>
      </c>
      <c r="H348" s="7">
        <f>(F348-G348)/Speed_Calc!G$2*9.806</f>
        <v>5.7980333640284956</v>
      </c>
      <c r="I348" s="4">
        <f t="shared" si="20"/>
        <v>8.6666666666666661</v>
      </c>
    </row>
    <row r="349" spans="1:9" x14ac:dyDescent="0.2">
      <c r="A349" s="11">
        <v>31.3</v>
      </c>
      <c r="B349" s="14">
        <v>3.133</v>
      </c>
      <c r="C349" s="11">
        <f t="shared" si="21"/>
        <v>4056.1650655198418</v>
      </c>
      <c r="D349" s="11">
        <f t="shared" si="18"/>
        <v>105.91801854461562</v>
      </c>
      <c r="E349" s="11">
        <f t="shared" si="19"/>
        <v>913.66980853182804</v>
      </c>
      <c r="F349" s="11">
        <f>Speed_Calc!B$5*E349</f>
        <v>822.30282767864526</v>
      </c>
      <c r="G349" s="14">
        <f>Speed_Calc!G$3+Speed_Calc!G$5*A349^2</f>
        <v>23.9285569</v>
      </c>
      <c r="H349" s="7">
        <f>(F349-G349)/Speed_Calc!G$2*9.806</f>
        <v>5.7991541475965889</v>
      </c>
      <c r="I349" s="4">
        <f t="shared" si="20"/>
        <v>8.6944444444444446</v>
      </c>
    </row>
    <row r="350" spans="1:9" x14ac:dyDescent="0.2">
      <c r="A350" s="11">
        <v>31.4</v>
      </c>
      <c r="B350" s="14">
        <v>3.133</v>
      </c>
      <c r="C350" s="11">
        <f t="shared" si="21"/>
        <v>4069.1240593393932</v>
      </c>
      <c r="D350" s="11">
        <f t="shared" si="18"/>
        <v>106.28001091472927</v>
      </c>
      <c r="E350" s="11">
        <f t="shared" si="19"/>
        <v>913.87270531773618</v>
      </c>
      <c r="F350" s="11">
        <f>Speed_Calc!B$5*E350</f>
        <v>822.48543478596252</v>
      </c>
      <c r="G350" s="14">
        <f>Speed_Calc!G$3+Speed_Calc!G$5*A350^2</f>
        <v>23.9536996</v>
      </c>
      <c r="H350" s="7">
        <f>(F350-G350)/Speed_Calc!G$2*9.806</f>
        <v>5.8002979223952202</v>
      </c>
      <c r="I350" s="4">
        <f t="shared" si="20"/>
        <v>8.7222222222222214</v>
      </c>
    </row>
    <row r="351" spans="1:9" x14ac:dyDescent="0.2">
      <c r="A351" s="11">
        <v>31.5</v>
      </c>
      <c r="B351" s="14">
        <v>3.133</v>
      </c>
      <c r="C351" s="11">
        <f t="shared" si="21"/>
        <v>4082.0830531589468</v>
      </c>
      <c r="D351" s="11">
        <f t="shared" si="18"/>
        <v>106.64258234274803</v>
      </c>
      <c r="E351" s="11">
        <f t="shared" si="19"/>
        <v>914.07927722355441</v>
      </c>
      <c r="F351" s="11">
        <f>Speed_Calc!B$5*E351</f>
        <v>822.67134950119896</v>
      </c>
      <c r="G351" s="14">
        <f>Speed_Calc!G$3+Speed_Calc!G$5*A351^2</f>
        <v>23.978922499999999</v>
      </c>
      <c r="H351" s="7">
        <f>(F351-G351)/Speed_Calc!G$2*9.806</f>
        <v>5.801465140128709</v>
      </c>
      <c r="I351" s="4">
        <f t="shared" si="20"/>
        <v>8.75</v>
      </c>
    </row>
    <row r="352" spans="1:9" x14ac:dyDescent="0.2">
      <c r="A352" s="11">
        <v>31.6</v>
      </c>
      <c r="B352" s="14">
        <v>3.133</v>
      </c>
      <c r="C352" s="11">
        <f t="shared" si="21"/>
        <v>4095.0420469784985</v>
      </c>
      <c r="D352" s="11">
        <f t="shared" si="18"/>
        <v>107.00574486902991</v>
      </c>
      <c r="E352" s="11">
        <f t="shared" si="19"/>
        <v>914.28959223538232</v>
      </c>
      <c r="F352" s="11">
        <f>Speed_Calc!B$5*E352</f>
        <v>822.86063301184413</v>
      </c>
      <c r="G352" s="14">
        <f>Speed_Calc!G$3+Speed_Calc!G$5*A352^2</f>
        <v>24.004225599999998</v>
      </c>
      <c r="H352" s="7">
        <f>(F352-G352)/Speed_Calc!G$2*9.806</f>
        <v>5.8026562452448465</v>
      </c>
      <c r="I352" s="4">
        <f t="shared" si="20"/>
        <v>8.7777777777777786</v>
      </c>
    </row>
    <row r="353" spans="1:9" x14ac:dyDescent="0.2">
      <c r="A353" s="11">
        <v>31.7</v>
      </c>
      <c r="B353" s="14">
        <v>3.133</v>
      </c>
      <c r="C353" s="11">
        <f t="shared" si="21"/>
        <v>4108.0010407980508</v>
      </c>
      <c r="D353" s="11">
        <f t="shared" si="18"/>
        <v>107.36951050433026</v>
      </c>
      <c r="E353" s="11">
        <f t="shared" si="19"/>
        <v>914.50371722931152</v>
      </c>
      <c r="F353" s="11">
        <f>Speed_Calc!B$5*E353</f>
        <v>823.05334550638042</v>
      </c>
      <c r="G353" s="14">
        <f>Speed_Calc!G$3+Speed_Calc!G$5*A353^2</f>
        <v>24.029608899999999</v>
      </c>
      <c r="H353" s="7">
        <f>(F353-G353)/Speed_Calc!G$2*9.806</f>
        <v>5.8038716749349382</v>
      </c>
      <c r="I353" s="4">
        <f t="shared" si="20"/>
        <v>8.8055555555555554</v>
      </c>
    </row>
    <row r="354" spans="1:9" x14ac:dyDescent="0.2">
      <c r="A354" s="11">
        <v>31.8</v>
      </c>
      <c r="B354" s="14">
        <v>3.133</v>
      </c>
      <c r="C354" s="11">
        <f t="shared" si="21"/>
        <v>4120.960034617603</v>
      </c>
      <c r="D354" s="11">
        <f t="shared" si="18"/>
        <v>107.73389122774606</v>
      </c>
      <c r="E354" s="11">
        <f t="shared" si="19"/>
        <v>914.72171797142892</v>
      </c>
      <c r="F354" s="11">
        <f>Speed_Calc!B$5*E354</f>
        <v>823.24954617428602</v>
      </c>
      <c r="G354" s="14">
        <f>Speed_Calc!G$3+Speed_Calc!G$5*A354^2</f>
        <v>24.0550724</v>
      </c>
      <c r="H354" s="7">
        <f>(F354-G354)/Speed_Calc!G$2*9.806</f>
        <v>5.805111859133814</v>
      </c>
      <c r="I354" s="4">
        <f t="shared" si="20"/>
        <v>8.8333333333333339</v>
      </c>
    </row>
    <row r="355" spans="1:9" x14ac:dyDescent="0.2">
      <c r="A355" s="11">
        <v>31.9</v>
      </c>
      <c r="B355" s="14">
        <v>3.133</v>
      </c>
      <c r="C355" s="11">
        <f t="shared" si="21"/>
        <v>4133.9190284371552</v>
      </c>
      <c r="D355" s="11">
        <f t="shared" si="18"/>
        <v>108.09889898465953</v>
      </c>
      <c r="E355" s="11">
        <f t="shared" si="19"/>
        <v>914.94365911780778</v>
      </c>
      <c r="F355" s="11">
        <f>Speed_Calc!B$5*E355</f>
        <v>823.44929320602705</v>
      </c>
      <c r="G355" s="14">
        <f>Speed_Calc!G$3+Speed_Calc!G$5*A355^2</f>
        <v>24.0806161</v>
      </c>
      <c r="H355" s="7">
        <f>(F355-G355)/Speed_Calc!G$2*9.806</f>
        <v>5.8063772205197779</v>
      </c>
      <c r="I355" s="4">
        <f t="shared" si="20"/>
        <v>8.8611111111111107</v>
      </c>
    </row>
    <row r="356" spans="1:9" x14ac:dyDescent="0.2">
      <c r="A356" s="11">
        <v>32</v>
      </c>
      <c r="B356" s="14">
        <v>3.133</v>
      </c>
      <c r="C356" s="11">
        <f t="shared" si="21"/>
        <v>4146.8780222567084</v>
      </c>
      <c r="D356" s="11">
        <f t="shared" si="18"/>
        <v>108.4645456846832</v>
      </c>
      <c r="E356" s="11">
        <f t="shared" si="19"/>
        <v>915.16960421451449</v>
      </c>
      <c r="F356" s="11">
        <f>Speed_Calc!B$5*E356</f>
        <v>823.65264379306302</v>
      </c>
      <c r="G356" s="14">
        <f>Speed_Calc!G$3+Speed_Calc!G$5*A356^2</f>
        <v>24.10624</v>
      </c>
      <c r="H356" s="7">
        <f>(F356-G356)/Speed_Calc!G$2*9.806</f>
        <v>5.8076681745146486</v>
      </c>
      <c r="I356" s="4">
        <f t="shared" si="20"/>
        <v>8.8888888888888893</v>
      </c>
    </row>
    <row r="357" spans="1:9" x14ac:dyDescent="0.2">
      <c r="A357" s="11">
        <v>32.1</v>
      </c>
      <c r="B357" s="14">
        <v>3.133</v>
      </c>
      <c r="C357" s="11">
        <f t="shared" si="21"/>
        <v>4159.8370160762597</v>
      </c>
      <c r="D357" s="11">
        <f t="shared" ref="D357:D420" si="22">-4.687*10^(-17)*C357^5+9.129*10^(-13)*C357^4-6.175*10^(-9)*C357^3+1.799*10^(-5)*C357^2+6.502*10^(-3)*C357</f>
        <v>108.83084319960453</v>
      </c>
      <c r="E357" s="11">
        <f t="shared" si="19"/>
        <v>915.3996156976084</v>
      </c>
      <c r="F357" s="11">
        <f>Speed_Calc!B$5*E357</f>
        <v>823.85965412784753</v>
      </c>
      <c r="G357" s="14">
        <f>Speed_Calc!G$3+Speed_Calc!G$5*A357^2</f>
        <v>24.131944099999998</v>
      </c>
      <c r="H357" s="7">
        <f>(F357-G357)/Speed_Calc!G$2*9.806</f>
        <v>5.8089851292837569</v>
      </c>
      <c r="I357" s="4">
        <f t="shared" si="20"/>
        <v>8.9166666666666661</v>
      </c>
    </row>
    <row r="358" spans="1:9" x14ac:dyDescent="0.2">
      <c r="A358" s="11">
        <v>32.200000000000003</v>
      </c>
      <c r="B358" s="14">
        <v>3.133</v>
      </c>
      <c r="C358" s="11">
        <f t="shared" si="21"/>
        <v>4172.7960098958119</v>
      </c>
      <c r="D358" s="11">
        <f t="shared" si="22"/>
        <v>109.19780336132965</v>
      </c>
      <c r="E358" s="11">
        <f t="shared" ref="E358:E421" si="23">D358*75*B358*B$31*B$32/B$23/C358/2/PI()*60</f>
        <v>915.63375489313682</v>
      </c>
      <c r="F358" s="11">
        <f>Speed_Calc!B$5*E358</f>
        <v>824.07037940382315</v>
      </c>
      <c r="G358" s="14">
        <f>Speed_Calc!G$3+Speed_Calc!G$5*A358^2</f>
        <v>24.1577284</v>
      </c>
      <c r="H358" s="7">
        <f>(F358-G358)/Speed_Calc!G$2*9.806</f>
        <v>5.8103284857359183</v>
      </c>
      <c r="I358" s="4">
        <f t="shared" ref="I358:I421" si="24">A358/3.6</f>
        <v>8.9444444444444446</v>
      </c>
    </row>
    <row r="359" spans="1:9" x14ac:dyDescent="0.2">
      <c r="A359" s="11">
        <v>32.299999999999997</v>
      </c>
      <c r="B359" s="14">
        <v>3.133</v>
      </c>
      <c r="C359" s="11">
        <f t="shared" si="21"/>
        <v>4185.7550037153642</v>
      </c>
      <c r="D359" s="11">
        <f t="shared" si="22"/>
        <v>109.56543795982844</v>
      </c>
      <c r="E359" s="11">
        <f t="shared" si="23"/>
        <v>915.87208201714168</v>
      </c>
      <c r="F359" s="11">
        <f>Speed_Calc!B$5*E359</f>
        <v>824.28487381542755</v>
      </c>
      <c r="G359" s="14">
        <f>Speed_Calc!G$3+Speed_Calc!G$5*A359^2</f>
        <v>24.183592900000001</v>
      </c>
      <c r="H359" s="7">
        <f>(F359-G359)/Speed_Calc!G$2*9.806</f>
        <v>5.8116986375234676</v>
      </c>
      <c r="I359" s="4">
        <f t="shared" si="24"/>
        <v>8.9722222222222214</v>
      </c>
    </row>
    <row r="360" spans="1:9" x14ac:dyDescent="0.2">
      <c r="A360" s="11">
        <v>32.4</v>
      </c>
      <c r="B360" s="14">
        <v>3.133</v>
      </c>
      <c r="C360" s="11">
        <f t="shared" si="21"/>
        <v>4198.7139975349164</v>
      </c>
      <c r="D360" s="11">
        <f t="shared" si="22"/>
        <v>109.93375874107846</v>
      </c>
      <c r="E360" s="11">
        <f t="shared" si="23"/>
        <v>916.11465617565386</v>
      </c>
      <c r="F360" s="11">
        <f>Speed_Calc!B$5*E360</f>
        <v>824.50319055808848</v>
      </c>
      <c r="G360" s="14">
        <f>Speed_Calc!G$3+Speed_Calc!G$5*A360^2</f>
        <v>24.209537600000001</v>
      </c>
      <c r="H360" s="7">
        <f>(F360-G360)/Speed_Calc!G$2*9.806</f>
        <v>5.8130959710422339</v>
      </c>
      <c r="I360" s="4">
        <f t="shared" si="24"/>
        <v>9</v>
      </c>
    </row>
    <row r="361" spans="1:9" x14ac:dyDescent="0.2">
      <c r="A361" s="11">
        <v>32.5</v>
      </c>
      <c r="B361" s="14">
        <v>3.133</v>
      </c>
      <c r="C361" s="11">
        <f t="shared" si="21"/>
        <v>4211.6729913544677</v>
      </c>
      <c r="D361" s="11">
        <f t="shared" si="22"/>
        <v>110.30277740500989</v>
      </c>
      <c r="E361" s="11">
        <f t="shared" si="23"/>
        <v>916.36153536469772</v>
      </c>
      <c r="F361" s="11">
        <f>Speed_Calc!B$5*E361</f>
        <v>824.72538182822791</v>
      </c>
      <c r="G361" s="14">
        <f>Speed_Calc!G$3+Speed_Calc!G$5*A361^2</f>
        <v>24.2355625</v>
      </c>
      <c r="H361" s="7">
        <f>(F361-G361)/Speed_Calc!G$2*9.806</f>
        <v>5.8145208654315566</v>
      </c>
      <c r="I361" s="4">
        <f t="shared" si="24"/>
        <v>9.0277777777777768</v>
      </c>
    </row>
    <row r="362" spans="1:9" x14ac:dyDescent="0.2">
      <c r="A362" s="11">
        <v>32.6</v>
      </c>
      <c r="B362" s="14">
        <v>3.133</v>
      </c>
      <c r="C362" s="11">
        <f t="shared" si="21"/>
        <v>4224.6319851740209</v>
      </c>
      <c r="D362" s="11">
        <f t="shared" si="22"/>
        <v>110.67250560344939</v>
      </c>
      <c r="E362" s="11">
        <f t="shared" si="23"/>
        <v>916.61277647028635</v>
      </c>
      <c r="F362" s="11">
        <f>Speed_Calc!B$5*E362</f>
        <v>824.95149882325768</v>
      </c>
      <c r="G362" s="14">
        <f>Speed_Calc!G$3+Speed_Calc!G$5*A362^2</f>
        <v>24.261667599999999</v>
      </c>
      <c r="H362" s="7">
        <f>(F362-G362)/Speed_Calc!G$2*9.806</f>
        <v>5.8159736925742695</v>
      </c>
      <c r="I362" s="4">
        <f t="shared" si="24"/>
        <v>9.0555555555555554</v>
      </c>
    </row>
    <row r="363" spans="1:9" x14ac:dyDescent="0.2">
      <c r="A363" s="11">
        <v>32.700000000000003</v>
      </c>
      <c r="B363" s="14">
        <v>3.133</v>
      </c>
      <c r="C363" s="11">
        <f t="shared" ref="C363:C426" si="25">A363/3.6/B$23/2/PI()*B$32*B$31*B363*60</f>
        <v>4237.590978993574</v>
      </c>
      <c r="D363" s="11">
        <f t="shared" si="22"/>
        <v>111.04295493806501</v>
      </c>
      <c r="E363" s="11">
        <f t="shared" si="23"/>
        <v>916.86843526842642</v>
      </c>
      <c r="F363" s="11">
        <f>Speed_Calc!B$5*E363</f>
        <v>825.18159174158382</v>
      </c>
      <c r="G363" s="14">
        <f>Speed_Calc!G$3+Speed_Calc!G$5*A363^2</f>
        <v>24.287852900000001</v>
      </c>
      <c r="H363" s="7">
        <f>(F363-G363)/Speed_Calc!G$2*9.806</f>
        <v>5.8174548170967189</v>
      </c>
      <c r="I363" s="4">
        <f t="shared" si="24"/>
        <v>9.0833333333333339</v>
      </c>
    </row>
    <row r="364" spans="1:9" x14ac:dyDescent="0.2">
      <c r="A364" s="11">
        <v>32.799999999999997</v>
      </c>
      <c r="B364" s="14">
        <v>3.133</v>
      </c>
      <c r="C364" s="11">
        <f t="shared" si="25"/>
        <v>4250.5499728131244</v>
      </c>
      <c r="D364" s="11">
        <f t="shared" si="22"/>
        <v>111.41413695831021</v>
      </c>
      <c r="E364" s="11">
        <f t="shared" si="23"/>
        <v>917.12856642511474</v>
      </c>
      <c r="F364" s="11">
        <f>Speed_Calc!B$5*E364</f>
        <v>825.41570978260324</v>
      </c>
      <c r="G364" s="14">
        <f>Speed_Calc!G$3+Speed_Calc!G$5*A364^2</f>
        <v>24.314118399999998</v>
      </c>
      <c r="H364" s="7">
        <f>(F364-G364)/Speed_Calc!G$2*9.806</f>
        <v>5.8189645963687466</v>
      </c>
      <c r="I364" s="4">
        <f t="shared" si="24"/>
        <v>9.1111111111111107</v>
      </c>
    </row>
    <row r="365" spans="1:9" x14ac:dyDescent="0.2">
      <c r="A365" s="11">
        <v>32.9</v>
      </c>
      <c r="B365" s="14">
        <v>3.133</v>
      </c>
      <c r="C365" s="11">
        <f t="shared" si="25"/>
        <v>4263.5089666326767</v>
      </c>
      <c r="D365" s="11">
        <f t="shared" si="22"/>
        <v>111.78606315936872</v>
      </c>
      <c r="E365" s="11">
        <f t="shared" si="23"/>
        <v>917.39322349633915</v>
      </c>
      <c r="F365" s="11">
        <f>Speed_Calc!B$5*E365</f>
        <v>825.65390114670527</v>
      </c>
      <c r="G365" s="14">
        <f>Speed_Calc!G$3+Speed_Calc!G$5*A365^2</f>
        <v>24.340464099999998</v>
      </c>
      <c r="H365" s="7">
        <f>(F365-G365)/Speed_Calc!G$2*9.806</f>
        <v>5.8205033805036965</v>
      </c>
      <c r="I365" s="4">
        <f t="shared" si="24"/>
        <v>9.1388888888888875</v>
      </c>
    </row>
    <row r="366" spans="1:9" x14ac:dyDescent="0.2">
      <c r="A366" s="11">
        <v>33</v>
      </c>
      <c r="B366" s="14">
        <v>3.133</v>
      </c>
      <c r="C366" s="11">
        <f t="shared" si="25"/>
        <v>4276.4679604522289</v>
      </c>
      <c r="D366" s="11">
        <f t="shared" si="22"/>
        <v>112.15874498009873</v>
      </c>
      <c r="E366" s="11">
        <f t="shared" si="23"/>
        <v>917.6624589280807</v>
      </c>
      <c r="F366" s="11">
        <f>Speed_Calc!B$5*E366</f>
        <v>825.89621303527269</v>
      </c>
      <c r="G366" s="14">
        <f>Speed_Calc!G$3+Speed_Calc!G$5*A366^2</f>
        <v>24.366889999999998</v>
      </c>
      <c r="H366" s="7">
        <f>(F366-G366)/Speed_Calc!G$2*9.806</f>
        <v>5.8220715123584315</v>
      </c>
      <c r="I366" s="4">
        <f t="shared" si="24"/>
        <v>9.1666666666666661</v>
      </c>
    </row>
    <row r="367" spans="1:9" x14ac:dyDescent="0.2">
      <c r="A367" s="11">
        <v>33.1</v>
      </c>
      <c r="B367" s="14">
        <v>3.133</v>
      </c>
      <c r="C367" s="11">
        <f t="shared" si="25"/>
        <v>4289.426954271783</v>
      </c>
      <c r="D367" s="11">
        <f t="shared" si="22"/>
        <v>112.53219380097737</v>
      </c>
      <c r="E367" s="11">
        <f t="shared" si="23"/>
        <v>917.9363240563107</v>
      </c>
      <c r="F367" s="11">
        <f>Speed_Calc!B$5*E367</f>
        <v>826.14269165067969</v>
      </c>
      <c r="G367" s="14">
        <f>Speed_Calc!G$3+Speed_Calc!G$5*A367^2</f>
        <v>24.3933961</v>
      </c>
      <c r="H367" s="7">
        <f>(F367-G367)/Speed_Calc!G$2*9.806</f>
        <v>5.823669327533306</v>
      </c>
      <c r="I367" s="4">
        <f t="shared" si="24"/>
        <v>9.1944444444444446</v>
      </c>
    </row>
    <row r="368" spans="1:9" x14ac:dyDescent="0.2">
      <c r="A368" s="11">
        <v>33.200000000000003</v>
      </c>
      <c r="B368" s="14">
        <v>3.133</v>
      </c>
      <c r="C368" s="11">
        <f t="shared" si="25"/>
        <v>4302.3859480913343</v>
      </c>
      <c r="D368" s="11">
        <f t="shared" si="22"/>
        <v>112.90642094204466</v>
      </c>
      <c r="E368" s="11">
        <f t="shared" si="23"/>
        <v>918.21486910698968</v>
      </c>
      <c r="F368" s="11">
        <f>Speed_Calc!B$5*E368</f>
        <v>826.39338219629076</v>
      </c>
      <c r="G368" s="14">
        <f>Speed_Calc!G$3+Speed_Calc!G$5*A368^2</f>
        <v>24.419982400000002</v>
      </c>
      <c r="H368" s="7">
        <f>(F368-G368)/Speed_Calc!G$2*9.806</f>
        <v>5.8252971543721674</v>
      </c>
      <c r="I368" s="4">
        <f t="shared" si="24"/>
        <v>9.2222222222222232</v>
      </c>
    </row>
    <row r="369" spans="1:9" x14ac:dyDescent="0.2">
      <c r="A369" s="11">
        <v>33.299999999999997</v>
      </c>
      <c r="B369" s="14">
        <v>3.133</v>
      </c>
      <c r="C369" s="11">
        <f t="shared" si="25"/>
        <v>4315.3449419108865</v>
      </c>
      <c r="D369" s="11">
        <f t="shared" si="22"/>
        <v>113.28143766084906</v>
      </c>
      <c r="E369" s="11">
        <f t="shared" si="23"/>
        <v>918.49814319607344</v>
      </c>
      <c r="F369" s="11">
        <f>Speed_Calc!B$5*E369</f>
        <v>826.64832887646617</v>
      </c>
      <c r="G369" s="14">
        <f>Speed_Calc!G$3+Speed_Calc!G$5*A369^2</f>
        <v>24.4466489</v>
      </c>
      <c r="H369" s="7">
        <f>(F369-G369)/Speed_Calc!G$2*9.806</f>
        <v>5.8269553139623902</v>
      </c>
      <c r="I369" s="4">
        <f t="shared" si="24"/>
        <v>9.2499999999999982</v>
      </c>
    </row>
    <row r="370" spans="1:9" x14ac:dyDescent="0.2">
      <c r="A370" s="11">
        <v>33.4</v>
      </c>
      <c r="B370" s="14">
        <v>3.133</v>
      </c>
      <c r="C370" s="11">
        <f t="shared" si="25"/>
        <v>4328.3039357304378</v>
      </c>
      <c r="D370" s="11">
        <f t="shared" si="22"/>
        <v>113.6572551503908</v>
      </c>
      <c r="E370" s="11">
        <f t="shared" si="23"/>
        <v>918.78619432950654</v>
      </c>
      <c r="F370" s="11">
        <f>Speed_Calc!B$5*E370</f>
        <v>826.90757489655596</v>
      </c>
      <c r="G370" s="14">
        <f>Speed_Calc!G$3+Speed_Calc!G$5*A370^2</f>
        <v>24.4733956</v>
      </c>
      <c r="H370" s="7">
        <f>(F370-G370)/Speed_Calc!G$2*9.806</f>
        <v>5.8286441201348342</v>
      </c>
      <c r="I370" s="4">
        <f t="shared" si="24"/>
        <v>9.2777777777777768</v>
      </c>
    </row>
    <row r="371" spans="1:9" x14ac:dyDescent="0.2">
      <c r="A371" s="11">
        <v>33.5</v>
      </c>
      <c r="B371" s="14">
        <v>3.133</v>
      </c>
      <c r="C371" s="11">
        <f t="shared" si="25"/>
        <v>4341.262929549991</v>
      </c>
      <c r="D371" s="11">
        <f t="shared" si="22"/>
        <v>114.03388453706668</v>
      </c>
      <c r="E371" s="11">
        <f t="shared" si="23"/>
        <v>919.0790694032238</v>
      </c>
      <c r="F371" s="11">
        <f>Speed_Calc!B$5*E371</f>
        <v>827.17116246290141</v>
      </c>
      <c r="G371" s="14">
        <f>Speed_Calc!G$3+Speed_Calc!G$5*A371^2</f>
        <v>24.5002225</v>
      </c>
      <c r="H371" s="7">
        <f>(F371-G371)/Speed_Calc!G$2*9.806</f>
        <v>5.8303638794638601</v>
      </c>
      <c r="I371" s="4">
        <f t="shared" si="24"/>
        <v>9.3055555555555554</v>
      </c>
    </row>
    <row r="372" spans="1:9" x14ac:dyDescent="0.2">
      <c r="A372" s="11">
        <v>33.6</v>
      </c>
      <c r="B372" s="14">
        <v>3.133</v>
      </c>
      <c r="C372" s="11">
        <f t="shared" si="25"/>
        <v>4354.2219233695432</v>
      </c>
      <c r="D372" s="11">
        <f t="shared" si="22"/>
        <v>114.41133687861489</v>
      </c>
      <c r="E372" s="11">
        <f t="shared" si="23"/>
        <v>919.37681420315539</v>
      </c>
      <c r="F372" s="11">
        <f>Speed_Calc!B$5*E372</f>
        <v>827.43913278283992</v>
      </c>
      <c r="G372" s="14">
        <f>Speed_Calc!G$3+Speed_Calc!G$5*A372^2</f>
        <v>24.527129599999999</v>
      </c>
      <c r="H372" s="7">
        <f>(F372-G372)/Speed_Calc!G$2*9.806</f>
        <v>5.8321148912673539</v>
      </c>
      <c r="I372" s="4">
        <f t="shared" si="24"/>
        <v>9.3333333333333339</v>
      </c>
    </row>
    <row r="373" spans="1:9" x14ac:dyDescent="0.2">
      <c r="A373" s="11">
        <v>33.700000000000003</v>
      </c>
      <c r="B373" s="14">
        <v>3.133</v>
      </c>
      <c r="C373" s="11">
        <f t="shared" si="25"/>
        <v>4367.1809171890964</v>
      </c>
      <c r="D373" s="11">
        <f t="shared" si="22"/>
        <v>114.78962316205877</v>
      </c>
      <c r="E373" s="11">
        <f t="shared" si="23"/>
        <v>919.67947340521846</v>
      </c>
      <c r="F373" s="11">
        <f>Speed_Calc!B$5*E373</f>
        <v>827.71152606469661</v>
      </c>
      <c r="G373" s="14">
        <f>Speed_Calc!G$3+Speed_Calc!G$5*A373^2</f>
        <v>24.5541169</v>
      </c>
      <c r="H373" s="7">
        <f>(F373-G373)/Speed_Calc!G$2*9.806</f>
        <v>5.8338974476066774</v>
      </c>
      <c r="I373" s="4">
        <f t="shared" si="24"/>
        <v>9.3611111111111125</v>
      </c>
    </row>
    <row r="374" spans="1:9" x14ac:dyDescent="0.2">
      <c r="A374" s="11">
        <v>33.799999999999997</v>
      </c>
      <c r="B374" s="14">
        <v>3.133</v>
      </c>
      <c r="C374" s="11">
        <f t="shared" si="25"/>
        <v>4380.1399110086468</v>
      </c>
      <c r="D374" s="11">
        <f t="shared" si="22"/>
        <v>115.16875430165157</v>
      </c>
      <c r="E374" s="11">
        <f t="shared" si="23"/>
        <v>919.98709057532346</v>
      </c>
      <c r="F374" s="11">
        <f>Speed_Calc!B$5*E374</f>
        <v>827.98838151779114</v>
      </c>
      <c r="G374" s="14">
        <f>Speed_Calc!G$3+Speed_Calc!G$5*A374^2</f>
        <v>24.581184399999998</v>
      </c>
      <c r="H374" s="7">
        <f>(F374-G374)/Speed_Calc!G$2*9.806</f>
        <v>5.8357118332867106</v>
      </c>
      <c r="I374" s="4">
        <f t="shared" si="24"/>
        <v>9.3888888888888875</v>
      </c>
    </row>
    <row r="375" spans="1:9" x14ac:dyDescent="0.2">
      <c r="A375" s="11">
        <v>33.9</v>
      </c>
      <c r="B375" s="14">
        <v>3.133</v>
      </c>
      <c r="C375" s="11">
        <f t="shared" si="25"/>
        <v>4393.0989048281999</v>
      </c>
      <c r="D375" s="11">
        <f t="shared" si="22"/>
        <v>115.54874113682148</v>
      </c>
      <c r="E375" s="11">
        <f t="shared" si="23"/>
        <v>920.29970816937464</v>
      </c>
      <c r="F375" s="11">
        <f>Speed_Calc!B$5*E375</f>
        <v>828.26973735243723</v>
      </c>
      <c r="G375" s="14">
        <f>Speed_Calc!G$3+Speed_Calc!G$5*A375^2</f>
        <v>24.608332099999998</v>
      </c>
      <c r="H375" s="7">
        <f>(F375-G375)/Speed_Calc!G$2*9.806</f>
        <v>5.8375583258558512</v>
      </c>
      <c r="I375" s="4">
        <f t="shared" si="24"/>
        <v>9.4166666666666661</v>
      </c>
    </row>
    <row r="376" spans="1:9" x14ac:dyDescent="0.2">
      <c r="A376" s="11">
        <v>34</v>
      </c>
      <c r="B376" s="14">
        <v>3.133</v>
      </c>
      <c r="C376" s="11">
        <f t="shared" si="25"/>
        <v>4406.0578986477522</v>
      </c>
      <c r="D376" s="11">
        <f t="shared" si="22"/>
        <v>115.92959443011432</v>
      </c>
      <c r="E376" s="11">
        <f t="shared" si="23"/>
        <v>920.61736753326079</v>
      </c>
      <c r="F376" s="11">
        <f>Speed_Calc!B$5*E376</f>
        <v>828.55563077993475</v>
      </c>
      <c r="G376" s="14">
        <f>Speed_Calc!G$3+Speed_Calc!G$5*A376^2</f>
        <v>24.635559999999998</v>
      </c>
      <c r="H376" s="7">
        <f>(F376-G376)/Speed_Calc!G$2*9.806</f>
        <v>5.8394371956059556</v>
      </c>
      <c r="I376" s="4">
        <f t="shared" si="24"/>
        <v>9.4444444444444446</v>
      </c>
    </row>
    <row r="377" spans="1:9" x14ac:dyDescent="0.2">
      <c r="A377" s="11">
        <v>34.1</v>
      </c>
      <c r="B377" s="14">
        <v>3.133</v>
      </c>
      <c r="C377" s="11">
        <f t="shared" si="25"/>
        <v>4419.0168924673044</v>
      </c>
      <c r="D377" s="11">
        <f t="shared" si="22"/>
        <v>116.31132486514028</v>
      </c>
      <c r="E377" s="11">
        <f t="shared" si="23"/>
        <v>920.94010890286995</v>
      </c>
      <c r="F377" s="11">
        <f>Speed_Calc!B$5*E377</f>
        <v>828.84609801258296</v>
      </c>
      <c r="G377" s="14">
        <f>Speed_Calc!G$3+Speed_Calc!G$5*A377^2</f>
        <v>24.662868100000001</v>
      </c>
      <c r="H377" s="7">
        <f>(F377-G377)/Speed_Calc!G$2*9.806</f>
        <v>5.8413487055724351</v>
      </c>
      <c r="I377" s="4">
        <f t="shared" si="24"/>
        <v>9.4722222222222232</v>
      </c>
    </row>
    <row r="378" spans="1:9" x14ac:dyDescent="0.2">
      <c r="A378" s="11">
        <v>34.200000000000003</v>
      </c>
      <c r="B378" s="14">
        <v>3.133</v>
      </c>
      <c r="C378" s="11">
        <f t="shared" si="25"/>
        <v>4431.9758862868557</v>
      </c>
      <c r="D378" s="11">
        <f t="shared" si="22"/>
        <v>116.69394304451629</v>
      </c>
      <c r="E378" s="11">
        <f t="shared" si="23"/>
        <v>921.26797140407609</v>
      </c>
      <c r="F378" s="11">
        <f>Speed_Calc!B$5*E378</f>
        <v>829.14117426366852</v>
      </c>
      <c r="G378" s="14">
        <f>Speed_Calc!G$3+Speed_Calc!G$5*A378^2</f>
        <v>24.690256399999999</v>
      </c>
      <c r="H378" s="7">
        <f>(F378-G378)/Speed_Calc!G$2*9.806</f>
        <v>5.8432931115341731</v>
      </c>
      <c r="I378" s="4">
        <f t="shared" si="24"/>
        <v>9.5</v>
      </c>
    </row>
    <row r="379" spans="1:9" x14ac:dyDescent="0.2">
      <c r="A379" s="11">
        <v>34.299999999999997</v>
      </c>
      <c r="B379" s="14">
        <v>3.133</v>
      </c>
      <c r="C379" s="11">
        <f t="shared" si="25"/>
        <v>4444.9348801064089</v>
      </c>
      <c r="D379" s="11">
        <f t="shared" si="22"/>
        <v>117.07745948781186</v>
      </c>
      <c r="E379" s="11">
        <f t="shared" si="23"/>
        <v>921.6009930527465</v>
      </c>
      <c r="F379" s="11">
        <f>Speed_Calc!B$5*E379</f>
        <v>829.44089374747182</v>
      </c>
      <c r="G379" s="14">
        <f>Speed_Calc!G$3+Speed_Calc!G$5*A379^2</f>
        <v>24.7177249</v>
      </c>
      <c r="H379" s="7">
        <f>(F379-G379)/Speed_Calc!G$2*9.806</f>
        <v>5.8452706620135615</v>
      </c>
      <c r="I379" s="4">
        <f t="shared" si="24"/>
        <v>9.5277777777777768</v>
      </c>
    </row>
    <row r="380" spans="1:9" x14ac:dyDescent="0.2">
      <c r="A380" s="11">
        <v>34.4</v>
      </c>
      <c r="B380" s="14">
        <v>3.133</v>
      </c>
      <c r="C380" s="11">
        <f t="shared" si="25"/>
        <v>4457.8938739259602</v>
      </c>
      <c r="D380" s="11">
        <f t="shared" si="22"/>
        <v>117.46188462949276</v>
      </c>
      <c r="E380" s="11">
        <f t="shared" si="23"/>
        <v>921.93921075473952</v>
      </c>
      <c r="F380" s="11">
        <f>Speed_Calc!B$5*E380</f>
        <v>829.74528967926562</v>
      </c>
      <c r="G380" s="14">
        <f>Speed_Calc!G$3+Speed_Calc!G$5*A380^2</f>
        <v>24.745273599999997</v>
      </c>
      <c r="H380" s="7">
        <f>(F380-G380)/Speed_Calc!G$2*9.806</f>
        <v>5.8472815982765018</v>
      </c>
      <c r="I380" s="4">
        <f t="shared" si="24"/>
        <v>9.5555555555555554</v>
      </c>
    </row>
    <row r="381" spans="1:9" x14ac:dyDescent="0.2">
      <c r="A381" s="11">
        <v>34.5</v>
      </c>
      <c r="B381" s="14">
        <v>3.133</v>
      </c>
      <c r="C381" s="11">
        <f t="shared" si="25"/>
        <v>4470.8528677455133</v>
      </c>
      <c r="D381" s="11">
        <f t="shared" si="22"/>
        <v>117.84722881686574</v>
      </c>
      <c r="E381" s="11">
        <f t="shared" si="23"/>
        <v>922.28266030590555</v>
      </c>
      <c r="F381" s="11">
        <f>Speed_Calc!B$5*E381</f>
        <v>830.05439427531496</v>
      </c>
      <c r="G381" s="14">
        <f>Speed_Calc!G$3+Speed_Calc!G$5*A381^2</f>
        <v>24.772902500000001</v>
      </c>
      <c r="H381" s="7">
        <f>(F381-G381)/Speed_Calc!G$2*9.806</f>
        <v>5.8493261543323989</v>
      </c>
      <c r="I381" s="4">
        <f t="shared" si="24"/>
        <v>9.5833333333333339</v>
      </c>
    </row>
    <row r="382" spans="1:9" x14ac:dyDescent="0.2">
      <c r="A382" s="11">
        <v>34.6</v>
      </c>
      <c r="B382" s="14">
        <v>3.133</v>
      </c>
      <c r="C382" s="11">
        <f t="shared" si="25"/>
        <v>4483.8118615650646</v>
      </c>
      <c r="D382" s="11">
        <f t="shared" si="22"/>
        <v>118.23350230802269</v>
      </c>
      <c r="E382" s="11">
        <f t="shared" si="23"/>
        <v>922.63137639208469</v>
      </c>
      <c r="F382" s="11">
        <f>Speed_Calc!B$5*E382</f>
        <v>830.36823875287621</v>
      </c>
      <c r="G382" s="14">
        <f>Speed_Calc!G$3+Speed_Calc!G$5*A382^2</f>
        <v>24.8006116</v>
      </c>
      <c r="H382" s="7">
        <f>(F382-G382)/Speed_Calc!G$2*9.806</f>
        <v>5.8514045569341508</v>
      </c>
      <c r="I382" s="4">
        <f t="shared" si="24"/>
        <v>9.6111111111111107</v>
      </c>
    </row>
    <row r="383" spans="1:9" x14ac:dyDescent="0.2">
      <c r="A383" s="11">
        <v>34.700000000000003</v>
      </c>
      <c r="B383" s="14">
        <v>3.133</v>
      </c>
      <c r="C383" s="11">
        <f t="shared" si="25"/>
        <v>4496.7708553846169</v>
      </c>
      <c r="D383" s="11">
        <f t="shared" si="22"/>
        <v>118.62071526978553</v>
      </c>
      <c r="E383" s="11">
        <f t="shared" si="23"/>
        <v>922.98539258910932</v>
      </c>
      <c r="F383" s="11">
        <f>Speed_Calc!B$5*E383</f>
        <v>830.68685333019846</v>
      </c>
      <c r="G383" s="14">
        <f>Speed_Calc!G$3+Speed_Calc!G$5*A383^2</f>
        <v>24.828400899999998</v>
      </c>
      <c r="H383" s="7">
        <f>(F383-G383)/Speed_Calc!G$2*9.806</f>
        <v>5.8535170255781663</v>
      </c>
      <c r="I383" s="4">
        <f t="shared" si="24"/>
        <v>9.6388888888888893</v>
      </c>
    </row>
    <row r="384" spans="1:9" x14ac:dyDescent="0.2">
      <c r="A384" s="11">
        <v>34.799999999999997</v>
      </c>
      <c r="B384" s="14">
        <v>3.133</v>
      </c>
      <c r="C384" s="11">
        <f t="shared" si="25"/>
        <v>4509.7298492041691</v>
      </c>
      <c r="D384" s="11">
        <f t="shared" si="22"/>
        <v>119.00887777565006</v>
      </c>
      <c r="E384" s="11">
        <f t="shared" si="23"/>
        <v>923.3447413628021</v>
      </c>
      <c r="F384" s="11">
        <f>Speed_Calc!B$5*E384</f>
        <v>831.01026722652193</v>
      </c>
      <c r="G384" s="14">
        <f>Speed_Calc!G$3+Speed_Calc!G$5*A384^2</f>
        <v>24.8562704</v>
      </c>
      <c r="H384" s="7">
        <f>(F384-G384)/Speed_Calc!G$2*9.806</f>
        <v>5.855663772504351</v>
      </c>
      <c r="I384" s="4">
        <f t="shared" si="24"/>
        <v>9.6666666666666661</v>
      </c>
    </row>
    <row r="385" spans="1:9" x14ac:dyDescent="0.2">
      <c r="A385" s="11">
        <v>34.9</v>
      </c>
      <c r="B385" s="14">
        <v>3.133</v>
      </c>
      <c r="C385" s="11">
        <f t="shared" si="25"/>
        <v>4522.6888430237223</v>
      </c>
      <c r="D385" s="11">
        <f t="shared" si="22"/>
        <v>119.39799980373124</v>
      </c>
      <c r="E385" s="11">
        <f t="shared" si="23"/>
        <v>923.7094540689809</v>
      </c>
      <c r="F385" s="11">
        <f>Speed_Calc!B$5*E385</f>
        <v>831.33850866208286</v>
      </c>
      <c r="G385" s="14">
        <f>Speed_Calc!G$3+Speed_Calc!G$5*A385^2</f>
        <v>24.8842201</v>
      </c>
      <c r="H385" s="7">
        <f>(F385-G385)/Speed_Calc!G$2*9.806</f>
        <v>5.8578450026961368</v>
      </c>
      <c r="I385" s="4">
        <f t="shared" si="24"/>
        <v>9.6944444444444446</v>
      </c>
    </row>
    <row r="386" spans="1:9" x14ac:dyDescent="0.2">
      <c r="A386" s="11">
        <v>35</v>
      </c>
      <c r="B386" s="14">
        <v>3.133</v>
      </c>
      <c r="C386" s="11">
        <f t="shared" si="25"/>
        <v>4535.6478368432727</v>
      </c>
      <c r="D386" s="11">
        <f t="shared" si="22"/>
        <v>119.7880912347064</v>
      </c>
      <c r="E386" s="11">
        <f t="shared" si="23"/>
        <v>924.07956095344969</v>
      </c>
      <c r="F386" s="11">
        <f>Speed_Calc!B$5*E386</f>
        <v>831.67160485810473</v>
      </c>
      <c r="G386" s="14">
        <f>Speed_Calc!G$3+Speed_Calc!G$5*A386^2</f>
        <v>24.91225</v>
      </c>
      <c r="H386" s="7">
        <f>(F386-G386)/Speed_Calc!G$2*9.806</f>
        <v>5.8600609138804254</v>
      </c>
      <c r="I386" s="4">
        <f t="shared" si="24"/>
        <v>9.7222222222222214</v>
      </c>
    </row>
    <row r="387" spans="1:9" x14ac:dyDescent="0.2">
      <c r="A387" s="11">
        <v>35.1</v>
      </c>
      <c r="B387" s="14">
        <v>3.133</v>
      </c>
      <c r="C387" s="11">
        <f t="shared" si="25"/>
        <v>4548.6068306628258</v>
      </c>
      <c r="D387" s="11">
        <f t="shared" si="22"/>
        <v>120.17916184976076</v>
      </c>
      <c r="E387" s="11">
        <f t="shared" si="23"/>
        <v>924.45509115200605</v>
      </c>
      <c r="F387" s="11">
        <f>Speed_Calc!B$5*E387</f>
        <v>832.00958203680545</v>
      </c>
      <c r="G387" s="14">
        <f>Speed_Calc!G$3+Speed_Calc!G$5*A387^2</f>
        <v>24.940360099999999</v>
      </c>
      <c r="H387" s="7">
        <f>(F387-G387)/Speed_Calc!G$2*9.806</f>
        <v>5.8623116965276401</v>
      </c>
      <c r="I387" s="4">
        <f t="shared" si="24"/>
        <v>9.75</v>
      </c>
    </row>
    <row r="388" spans="1:9" x14ac:dyDescent="0.2">
      <c r="A388" s="11">
        <v>35.200000000000003</v>
      </c>
      <c r="B388" s="14">
        <v>3.133</v>
      </c>
      <c r="C388" s="11">
        <f t="shared" si="25"/>
        <v>4561.5658244823799</v>
      </c>
      <c r="D388" s="11">
        <f t="shared" si="22"/>
        <v>120.57122132853144</v>
      </c>
      <c r="E388" s="11">
        <f t="shared" si="23"/>
        <v>924.83607269043955</v>
      </c>
      <c r="F388" s="11">
        <f>Speed_Calc!B$5*E388</f>
        <v>832.35246542139566</v>
      </c>
      <c r="G388" s="14">
        <f>Speed_Calc!G$3+Speed_Calc!G$5*A388^2</f>
        <v>24.968550400000002</v>
      </c>
      <c r="H388" s="7">
        <f>(F388-G388)/Speed_Calc!G$2*9.806</f>
        <v>5.8645975338517076</v>
      </c>
      <c r="I388" s="4">
        <f t="shared" si="24"/>
        <v>9.7777777777777786</v>
      </c>
    </row>
    <row r="389" spans="1:9" x14ac:dyDescent="0.2">
      <c r="A389" s="11">
        <v>35.299999999999997</v>
      </c>
      <c r="B389" s="14">
        <v>3.133</v>
      </c>
      <c r="C389" s="11">
        <f t="shared" si="25"/>
        <v>4574.5248183019303</v>
      </c>
      <c r="D389" s="11">
        <f t="shared" si="22"/>
        <v>120.96427924705169</v>
      </c>
      <c r="E389" s="11">
        <f t="shared" si="23"/>
        <v>925.22253248453148</v>
      </c>
      <c r="F389" s="11">
        <f>Speed_Calc!B$5*E389</f>
        <v>832.70027923607836</v>
      </c>
      <c r="G389" s="14">
        <f>Speed_Calc!G$3+Speed_Calc!G$5*A389^2</f>
        <v>24.996820899999999</v>
      </c>
      <c r="H389" s="7">
        <f>(F389-G389)/Speed_Calc!G$2*9.806</f>
        <v>5.8669186018100614</v>
      </c>
      <c r="I389" s="4">
        <f t="shared" si="24"/>
        <v>9.8055555555555554</v>
      </c>
    </row>
    <row r="390" spans="1:9" x14ac:dyDescent="0.2">
      <c r="A390" s="11">
        <v>35.4</v>
      </c>
      <c r="B390" s="14">
        <v>3.133</v>
      </c>
      <c r="C390" s="11">
        <f t="shared" si="25"/>
        <v>4587.4838121214825</v>
      </c>
      <c r="D390" s="11">
        <f t="shared" si="22"/>
        <v>121.35834507569542</v>
      </c>
      <c r="E390" s="11">
        <f t="shared" si="23"/>
        <v>925.61449634004975</v>
      </c>
      <c r="F390" s="11">
        <f>Speed_Calc!B$5*E390</f>
        <v>833.05304670604482</v>
      </c>
      <c r="G390" s="14">
        <f>Speed_Calc!G$3+Speed_Calc!G$5*A390^2</f>
        <v>25.0251716</v>
      </c>
      <c r="H390" s="7">
        <f>(F390-G390)/Speed_Calc!G$2*9.806</f>
        <v>5.8692750691036109</v>
      </c>
      <c r="I390" s="4">
        <f t="shared" si="24"/>
        <v>9.8333333333333321</v>
      </c>
    </row>
    <row r="391" spans="1:9" x14ac:dyDescent="0.2">
      <c r="A391" s="11">
        <v>35.5</v>
      </c>
      <c r="B391" s="14">
        <v>3.133</v>
      </c>
      <c r="C391" s="11">
        <f t="shared" si="25"/>
        <v>4600.4428059410347</v>
      </c>
      <c r="D391" s="11">
        <f t="shared" si="22"/>
        <v>121.75342817712242</v>
      </c>
      <c r="E391" s="11">
        <f t="shared" si="23"/>
        <v>926.01198895276195</v>
      </c>
      <c r="F391" s="11">
        <f>Speed_Calc!B$5*E391</f>
        <v>833.41079005748577</v>
      </c>
      <c r="G391" s="14">
        <f>Speed_Calc!G$3+Speed_Calc!G$5*A391^2</f>
        <v>25.0536025</v>
      </c>
      <c r="H391" s="7">
        <f>(F391-G391)/Speed_Calc!G$2*9.806</f>
        <v>5.8716670971768181</v>
      </c>
      <c r="I391" s="4">
        <f t="shared" si="24"/>
        <v>9.8611111111111107</v>
      </c>
    </row>
    <row r="392" spans="1:9" x14ac:dyDescent="0.2">
      <c r="A392" s="11">
        <v>35.6</v>
      </c>
      <c r="B392" s="14">
        <v>3.133</v>
      </c>
      <c r="C392" s="11">
        <f t="shared" si="25"/>
        <v>4613.4017997605861</v>
      </c>
      <c r="D392" s="11">
        <f t="shared" si="22"/>
        <v>122.14953780422104</v>
      </c>
      <c r="E392" s="11">
        <f t="shared" si="23"/>
        <v>926.4150339084182</v>
      </c>
      <c r="F392" s="11">
        <f>Speed_Calc!B$5*E392</f>
        <v>833.77353051757643</v>
      </c>
      <c r="G392" s="14">
        <f>Speed_Calc!G$3+Speed_Calc!G$5*A392^2</f>
        <v>25.0821136</v>
      </c>
      <c r="H392" s="7">
        <f>(F392-G392)/Speed_Calc!G$2*9.806</f>
        <v>5.8740948402175963</v>
      </c>
      <c r="I392" s="4">
        <f t="shared" si="24"/>
        <v>9.8888888888888893</v>
      </c>
    </row>
    <row r="393" spans="1:9" x14ac:dyDescent="0.2">
      <c r="A393" s="11">
        <v>35.700000000000003</v>
      </c>
      <c r="B393" s="14">
        <v>3.133</v>
      </c>
      <c r="C393" s="11">
        <f t="shared" si="25"/>
        <v>4626.3607935801392</v>
      </c>
      <c r="D393" s="11">
        <f t="shared" si="22"/>
        <v>122.54668309805479</v>
      </c>
      <c r="E393" s="11">
        <f t="shared" si="23"/>
        <v>926.82365368276737</v>
      </c>
      <c r="F393" s="11">
        <f>Speed_Calc!B$5*E393</f>
        <v>834.14128831449068</v>
      </c>
      <c r="G393" s="14">
        <f>Speed_Calc!G$3+Speed_Calc!G$5*A393^2</f>
        <v>25.110704900000002</v>
      </c>
      <c r="H393" s="7">
        <f>(F393-G393)/Speed_Calc!G$2*9.806</f>
        <v>5.8765584451574044</v>
      </c>
      <c r="I393" s="4">
        <f t="shared" si="24"/>
        <v>9.9166666666666679</v>
      </c>
    </row>
    <row r="394" spans="1:9" x14ac:dyDescent="0.2">
      <c r="A394" s="11">
        <v>35.799999999999997</v>
      </c>
      <c r="B394" s="14">
        <v>3.133</v>
      </c>
      <c r="C394" s="11">
        <f t="shared" si="25"/>
        <v>4639.3197873996905</v>
      </c>
      <c r="D394" s="11">
        <f t="shared" si="22"/>
        <v>122.94487308580489</v>
      </c>
      <c r="E394" s="11">
        <f t="shared" si="23"/>
        <v>927.23786964154533</v>
      </c>
      <c r="F394" s="11">
        <f>Speed_Calc!B$5*E394</f>
        <v>834.51408267739077</v>
      </c>
      <c r="G394" s="14">
        <f>Speed_Calc!G$3+Speed_Calc!G$5*A394^2</f>
        <v>25.1393764</v>
      </c>
      <c r="H394" s="7">
        <f>(F394-G394)/Speed_Calc!G$2*9.806</f>
        <v>5.8790580516711799</v>
      </c>
      <c r="I394" s="4">
        <f t="shared" si="24"/>
        <v>9.9444444444444429</v>
      </c>
    </row>
    <row r="395" spans="1:9" x14ac:dyDescent="0.2">
      <c r="A395" s="11">
        <v>35.9</v>
      </c>
      <c r="B395" s="14">
        <v>3.133</v>
      </c>
      <c r="C395" s="11">
        <f t="shared" si="25"/>
        <v>4652.2787812192428</v>
      </c>
      <c r="D395" s="11">
        <f t="shared" si="22"/>
        <v>123.34411667871544</v>
      </c>
      <c r="E395" s="11">
        <f t="shared" si="23"/>
        <v>927.65770204047828</v>
      </c>
      <c r="F395" s="11">
        <f>Speed_Calc!B$5*E395</f>
        <v>834.89193183643044</v>
      </c>
      <c r="G395" s="14">
        <f>Speed_Calc!G$3+Speed_Calc!G$5*A395^2</f>
        <v>25.168128100000001</v>
      </c>
      <c r="H395" s="7">
        <f>(F395-G395)/Speed_Calc!G$2*9.806</f>
        <v>5.8815937921773607</v>
      </c>
      <c r="I395" s="4">
        <f t="shared" si="24"/>
        <v>9.9722222222222214</v>
      </c>
    </row>
    <row r="396" spans="1:9" x14ac:dyDescent="0.2">
      <c r="A396" s="11">
        <v>36</v>
      </c>
      <c r="B396" s="14">
        <v>3.133</v>
      </c>
      <c r="C396" s="11">
        <f t="shared" si="25"/>
        <v>4665.2377750387959</v>
      </c>
      <c r="D396" s="11">
        <f t="shared" si="22"/>
        <v>123.74442267003855</v>
      </c>
      <c r="E396" s="11">
        <f t="shared" si="23"/>
        <v>928.08317002528929</v>
      </c>
      <c r="F396" s="11">
        <f>Speed_Calc!B$5*E396</f>
        <v>835.27485302276034</v>
      </c>
      <c r="G396" s="14">
        <f>Speed_Calc!G$3+Speed_Calc!G$5*A396^2</f>
        <v>25.196960000000001</v>
      </c>
      <c r="H396" s="7">
        <f>(F396-G396)/Speed_Calc!G$2*9.806</f>
        <v>5.8841657918379164</v>
      </c>
      <c r="I396" s="4">
        <f t="shared" si="24"/>
        <v>10</v>
      </c>
    </row>
    <row r="397" spans="1:9" x14ac:dyDescent="0.2">
      <c r="A397" s="11">
        <v>36.1</v>
      </c>
      <c r="B397" s="14">
        <v>3.133</v>
      </c>
      <c r="C397" s="11">
        <f t="shared" si="25"/>
        <v>4678.1967688583491</v>
      </c>
      <c r="D397" s="11">
        <f t="shared" si="22"/>
        <v>124.14579973297728</v>
      </c>
      <c r="E397" s="11">
        <f t="shared" si="23"/>
        <v>928.51429163168586</v>
      </c>
      <c r="F397" s="11">
        <f>Speed_Calc!B$5*E397</f>
        <v>835.66286246851735</v>
      </c>
      <c r="G397" s="14">
        <f>Speed_Calc!G$3+Speed_Calc!G$5*A397^2</f>
        <v>25.2258721</v>
      </c>
      <c r="H397" s="7">
        <f>(F397-G397)/Speed_Calc!G$2*9.806</f>
        <v>5.8867741685582828</v>
      </c>
      <c r="I397" s="4">
        <f t="shared" si="24"/>
        <v>10.027777777777779</v>
      </c>
    </row>
    <row r="398" spans="1:9" x14ac:dyDescent="0.2">
      <c r="A398" s="11">
        <v>36.200000000000003</v>
      </c>
      <c r="B398" s="14">
        <v>3.133</v>
      </c>
      <c r="C398" s="11">
        <f t="shared" si="25"/>
        <v>4691.1557626778995</v>
      </c>
      <c r="D398" s="11">
        <f t="shared" si="22"/>
        <v>124.54825641863123</v>
      </c>
      <c r="E398" s="11">
        <f t="shared" si="23"/>
        <v>928.95108378537122</v>
      </c>
      <c r="F398" s="11">
        <f>Speed_Calc!B$5*E398</f>
        <v>836.05597540683414</v>
      </c>
      <c r="G398" s="14">
        <f>Speed_Calc!G$3+Speed_Calc!G$5*A398^2</f>
        <v>25.254864400000002</v>
      </c>
      <c r="H398" s="7">
        <f>(F398-G398)/Speed_Calc!G$2*9.806</f>
        <v>5.8894190329874183</v>
      </c>
      <c r="I398" s="4">
        <f t="shared" si="24"/>
        <v>10.055555555555555</v>
      </c>
    </row>
    <row r="399" spans="1:9" x14ac:dyDescent="0.2">
      <c r="A399" s="11">
        <v>36.299999999999997</v>
      </c>
      <c r="B399" s="14">
        <v>3.133</v>
      </c>
      <c r="C399" s="11">
        <f t="shared" si="25"/>
        <v>4704.1147564974535</v>
      </c>
      <c r="D399" s="11">
        <f t="shared" si="22"/>
        <v>124.95180115394091</v>
      </c>
      <c r="E399" s="11">
        <f t="shared" si="23"/>
        <v>929.39356230203975</v>
      </c>
      <c r="F399" s="11">
        <f>Speed_Calc!B$5*E399</f>
        <v>836.45420607183576</v>
      </c>
      <c r="G399" s="14">
        <f>Speed_Calc!G$3+Speed_Calc!G$5*A399^2</f>
        <v>25.2839369</v>
      </c>
      <c r="H399" s="7">
        <f>(F399-G399)/Speed_Calc!G$2*9.806</f>
        <v>5.8921004885177934</v>
      </c>
      <c r="I399" s="4">
        <f t="shared" si="24"/>
        <v>10.083333333333332</v>
      </c>
    </row>
    <row r="400" spans="1:9" x14ac:dyDescent="0.2">
      <c r="A400" s="11">
        <v>36.4</v>
      </c>
      <c r="B400" s="14">
        <v>3.133</v>
      </c>
      <c r="C400" s="11">
        <f t="shared" si="25"/>
        <v>4717.0737503170049</v>
      </c>
      <c r="D400" s="11">
        <f t="shared" si="22"/>
        <v>125.35644223963139</v>
      </c>
      <c r="E400" s="11">
        <f t="shared" si="23"/>
        <v>929.84174188737563</v>
      </c>
      <c r="F400" s="11">
        <f>Speed_Calc!B$5*E400</f>
        <v>836.85756769863804</v>
      </c>
      <c r="G400" s="14">
        <f>Speed_Calc!G$3+Speed_Calc!G$5*A400^2</f>
        <v>25.313089599999998</v>
      </c>
      <c r="H400" s="7">
        <f>(F400-G400)/Speed_Calc!G$2*9.806</f>
        <v>5.8948186312853661</v>
      </c>
      <c r="I400" s="4">
        <f t="shared" si="24"/>
        <v>10.111111111111111</v>
      </c>
    </row>
    <row r="401" spans="1:9" x14ac:dyDescent="0.2">
      <c r="A401" s="11">
        <v>36.5</v>
      </c>
      <c r="B401" s="14">
        <v>3.133</v>
      </c>
      <c r="C401" s="11">
        <f t="shared" si="25"/>
        <v>4730.0327441365562</v>
      </c>
      <c r="D401" s="11">
        <f t="shared" si="22"/>
        <v>125.76218784815751</v>
      </c>
      <c r="E401" s="11">
        <f t="shared" si="23"/>
        <v>930.29563613705557</v>
      </c>
      <c r="F401" s="11">
        <f>Speed_Calc!B$5*E401</f>
        <v>837.26607252334998</v>
      </c>
      <c r="G401" s="14">
        <f>Speed_Calc!G$3+Speed_Calc!G$5*A401^2</f>
        <v>25.342322500000002</v>
      </c>
      <c r="H401" s="7">
        <f>(F401-G401)/Speed_Calc!G$2*9.806</f>
        <v>5.8975735501696063</v>
      </c>
      <c r="I401" s="4">
        <f t="shared" si="24"/>
        <v>10.138888888888889</v>
      </c>
    </row>
    <row r="402" spans="1:9" x14ac:dyDescent="0.2">
      <c r="A402" s="11">
        <v>36.6</v>
      </c>
      <c r="B402" s="14">
        <v>3.133</v>
      </c>
      <c r="C402" s="11">
        <f t="shared" si="25"/>
        <v>4742.9917379561093</v>
      </c>
      <c r="D402" s="11">
        <f t="shared" si="22"/>
        <v>126.16904602164769</v>
      </c>
      <c r="E402" s="11">
        <f t="shared" si="23"/>
        <v>930.75525753674549</v>
      </c>
      <c r="F402" s="11">
        <f>Speed_Calc!B$5*E402</f>
        <v>837.67973178307091</v>
      </c>
      <c r="G402" s="14">
        <f>Speed_Calc!G$3+Speed_Calc!G$5*A402^2</f>
        <v>25.371635600000001</v>
      </c>
      <c r="H402" s="7">
        <f>(F402-G402)/Speed_Calc!G$2*9.806</f>
        <v>5.9003653267934757</v>
      </c>
      <c r="I402" s="4">
        <f t="shared" si="24"/>
        <v>10.166666666666666</v>
      </c>
    </row>
    <row r="403" spans="1:9" x14ac:dyDescent="0.2">
      <c r="A403" s="11">
        <v>36.700000000000003</v>
      </c>
      <c r="B403" s="14">
        <v>3.133</v>
      </c>
      <c r="C403" s="11">
        <f t="shared" si="25"/>
        <v>4755.9507317756616</v>
      </c>
      <c r="D403" s="11">
        <f t="shared" si="22"/>
        <v>126.57702466984921</v>
      </c>
      <c r="E403" s="11">
        <f t="shared" si="23"/>
        <v>931.22061746210591</v>
      </c>
      <c r="F403" s="11">
        <f>Speed_Calc!B$5*E403</f>
        <v>838.09855571589537</v>
      </c>
      <c r="G403" s="14">
        <f>Speed_Calc!G$3+Speed_Calc!G$5*A403^2</f>
        <v>25.4010289</v>
      </c>
      <c r="H403" s="7">
        <f>(F403-G403)/Speed_Calc!G$2*9.806</f>
        <v>5.903194035523458</v>
      </c>
      <c r="I403" s="4">
        <f t="shared" si="24"/>
        <v>10.194444444444445</v>
      </c>
    </row>
    <row r="404" spans="1:9" x14ac:dyDescent="0.2">
      <c r="A404" s="11">
        <v>36.799999999999997</v>
      </c>
      <c r="B404" s="14">
        <v>3.133</v>
      </c>
      <c r="C404" s="11">
        <f t="shared" si="25"/>
        <v>4768.9097255952129</v>
      </c>
      <c r="D404" s="11">
        <f t="shared" si="22"/>
        <v>126.98613156807161</v>
      </c>
      <c r="E404" s="11">
        <f t="shared" si="23"/>
        <v>931.69172617878655</v>
      </c>
      <c r="F404" s="11">
        <f>Speed_Calc!B$5*E404</f>
        <v>838.52255356090791</v>
      </c>
      <c r="G404" s="14">
        <f>Speed_Calc!G$3+Speed_Calc!G$5*A404^2</f>
        <v>25.430502399999998</v>
      </c>
      <c r="H404" s="7">
        <f>(F404-G404)/Speed_Calc!G$2*9.806</f>
        <v>5.9060597434695268</v>
      </c>
      <c r="I404" s="4">
        <f t="shared" si="24"/>
        <v>10.222222222222221</v>
      </c>
    </row>
    <row r="405" spans="1:9" x14ac:dyDescent="0.2">
      <c r="A405" s="11">
        <v>36.9</v>
      </c>
      <c r="B405" s="14">
        <v>3.133</v>
      </c>
      <c r="C405" s="11">
        <f t="shared" si="25"/>
        <v>4781.868719414766</v>
      </c>
      <c r="D405" s="11">
        <f t="shared" si="22"/>
        <v>127.39637435513174</v>
      </c>
      <c r="E405" s="11">
        <f t="shared" si="23"/>
        <v>932.16859284242742</v>
      </c>
      <c r="F405" s="11">
        <f>Speed_Calc!B$5*E405</f>
        <v>838.95173355818474</v>
      </c>
      <c r="G405" s="14">
        <f>Speed_Calc!G$3+Speed_Calc!G$5*A405^2</f>
        <v>25.460056099999999</v>
      </c>
      <c r="H405" s="7">
        <f>(F405-G405)/Speed_Calc!G$2*9.806</f>
        <v>5.9089625104851544</v>
      </c>
      <c r="I405" s="4">
        <f t="shared" si="24"/>
        <v>10.25</v>
      </c>
    </row>
    <row r="406" spans="1:9" x14ac:dyDescent="0.2">
      <c r="A406" s="11">
        <v>37</v>
      </c>
      <c r="B406" s="14">
        <v>3.133</v>
      </c>
      <c r="C406" s="11">
        <f t="shared" si="25"/>
        <v>4794.8277132343183</v>
      </c>
      <c r="D406" s="11">
        <f t="shared" si="22"/>
        <v>127.80776053129837</v>
      </c>
      <c r="E406" s="11">
        <f t="shared" si="23"/>
        <v>932.65122549866396</v>
      </c>
      <c r="F406" s="11">
        <f>Speed_Calc!B$5*E406</f>
        <v>839.38610294879754</v>
      </c>
      <c r="G406" s="14">
        <f>Speed_Calc!G$3+Speed_Calc!G$5*A406^2</f>
        <v>25.48969</v>
      </c>
      <c r="H406" s="7">
        <f>(F406-G406)/Speed_Calc!G$2*9.806</f>
        <v>5.9119023891673388</v>
      </c>
      <c r="I406" s="4">
        <f t="shared" si="24"/>
        <v>10.277777777777777</v>
      </c>
    </row>
    <row r="407" spans="1:9" x14ac:dyDescent="0.2">
      <c r="A407" s="11">
        <v>37.1</v>
      </c>
      <c r="B407" s="14">
        <v>3.133</v>
      </c>
      <c r="C407" s="11">
        <f t="shared" si="25"/>
        <v>4807.7867070538696</v>
      </c>
      <c r="D407" s="11">
        <f t="shared" si="22"/>
        <v>128.2202974562359</v>
      </c>
      <c r="E407" s="11">
        <f t="shared" si="23"/>
        <v>933.1396310831185</v>
      </c>
      <c r="F407" s="11">
        <f>Speed_Calc!B$5*E407</f>
        <v>839.82566797480672</v>
      </c>
      <c r="G407" s="14">
        <f>Speed_Calc!G$3+Speed_Calc!G$5*A407^2</f>
        <v>25.519404099999999</v>
      </c>
      <c r="H407" s="7">
        <f>(F407-G407)/Speed_Calc!G$2*9.806</f>
        <v>5.9148794248565588</v>
      </c>
      <c r="I407" s="4">
        <f t="shared" si="24"/>
        <v>10.305555555555555</v>
      </c>
    </row>
    <row r="408" spans="1:9" x14ac:dyDescent="0.2">
      <c r="A408" s="11">
        <v>37.200000000000003</v>
      </c>
      <c r="B408" s="14">
        <v>3.133</v>
      </c>
      <c r="C408" s="11">
        <f t="shared" si="25"/>
        <v>4820.7457008734227</v>
      </c>
      <c r="D408" s="11">
        <f t="shared" si="22"/>
        <v>128.63399234694919</v>
      </c>
      <c r="E408" s="11">
        <f t="shared" si="23"/>
        <v>933.63381542140542</v>
      </c>
      <c r="F408" s="11">
        <f>Speed_Calc!B$5*E408</f>
        <v>840.27043387926494</v>
      </c>
      <c r="G408" s="14">
        <f>Speed_Calc!G$3+Speed_Calc!G$5*A408^2</f>
        <v>25.549198400000002</v>
      </c>
      <c r="H408" s="7">
        <f>(F408-G408)/Speed_Calc!G$2*9.806</f>
        <v>5.9178936556367931</v>
      </c>
      <c r="I408" s="4">
        <f t="shared" si="24"/>
        <v>10.333333333333334</v>
      </c>
    </row>
    <row r="409" spans="1:9" x14ac:dyDescent="0.2">
      <c r="A409" s="11">
        <v>37.299999999999997</v>
      </c>
      <c r="B409" s="14">
        <v>3.133</v>
      </c>
      <c r="C409" s="11">
        <f t="shared" si="25"/>
        <v>4833.704694692975</v>
      </c>
      <c r="D409" s="11">
        <f t="shared" si="22"/>
        <v>129.04885227572859</v>
      </c>
      <c r="E409" s="11">
        <f t="shared" si="23"/>
        <v>934.13378322913445</v>
      </c>
      <c r="F409" s="11">
        <f>Speed_Calc!B$5*E409</f>
        <v>840.72040490622101</v>
      </c>
      <c r="G409" s="14">
        <f>Speed_Calc!G$3+Speed_Calc!G$5*A409^2</f>
        <v>25.5790729</v>
      </c>
      <c r="H409" s="7">
        <f>(F409-G409)/Speed_Calc!G$2*9.806</f>
        <v>5.9209451123355574</v>
      </c>
      <c r="I409" s="4">
        <f t="shared" si="24"/>
        <v>10.361111111111111</v>
      </c>
    </row>
    <row r="410" spans="1:9" x14ac:dyDescent="0.2">
      <c r="A410" s="11">
        <v>37.4</v>
      </c>
      <c r="B410" s="14">
        <v>3.133</v>
      </c>
      <c r="C410" s="11">
        <f t="shared" si="25"/>
        <v>4846.6636885125254</v>
      </c>
      <c r="D410" s="11">
        <f t="shared" si="22"/>
        <v>129.46488416809296</v>
      </c>
      <c r="E410" s="11">
        <f t="shared" si="23"/>
        <v>934.63953811190163</v>
      </c>
      <c r="F410" s="11">
        <f>Speed_Calc!B$5*E410</f>
        <v>841.17558430071153</v>
      </c>
      <c r="G410" s="14">
        <f>Speed_Calc!G$3+Speed_Calc!G$5*A410^2</f>
        <v>25.609027599999997</v>
      </c>
      <c r="H410" s="7">
        <f>(F410-G410)/Speed_Calc!G$2*9.806</f>
        <v>5.9240338185238341</v>
      </c>
      <c r="I410" s="4">
        <f t="shared" si="24"/>
        <v>10.388888888888888</v>
      </c>
    </row>
    <row r="411" spans="1:9" x14ac:dyDescent="0.2">
      <c r="A411" s="11">
        <v>37.5</v>
      </c>
      <c r="B411" s="14">
        <v>3.133</v>
      </c>
      <c r="C411" s="11">
        <f t="shared" si="25"/>
        <v>4859.6226823320794</v>
      </c>
      <c r="D411" s="11">
        <f t="shared" si="22"/>
        <v>129.88209480073559</v>
      </c>
      <c r="E411" s="11">
        <f t="shared" si="23"/>
        <v>935.15108256529606</v>
      </c>
      <c r="F411" s="11">
        <f>Speed_Calc!B$5*E411</f>
        <v>841.63597430876644</v>
      </c>
      <c r="G411" s="14">
        <f>Speed_Calc!G$3+Speed_Calc!G$5*A411^2</f>
        <v>25.639062500000001</v>
      </c>
      <c r="H411" s="7">
        <f>(F411-G411)/Speed_Calc!G$2*9.806</f>
        <v>5.9271597905161206</v>
      </c>
      <c r="I411" s="4">
        <f t="shared" si="24"/>
        <v>10.416666666666666</v>
      </c>
    </row>
    <row r="412" spans="1:9" x14ac:dyDescent="0.2">
      <c r="A412" s="11">
        <v>37.6</v>
      </c>
      <c r="B412" s="14">
        <v>3.133</v>
      </c>
      <c r="C412" s="11">
        <f t="shared" si="25"/>
        <v>4872.5816761516317</v>
      </c>
      <c r="D412" s="11">
        <f t="shared" si="22"/>
        <v>130.30049079946735</v>
      </c>
      <c r="E412" s="11">
        <f t="shared" si="23"/>
        <v>935.66841797489838</v>
      </c>
      <c r="F412" s="11">
        <f>Speed_Calc!B$5*E412</f>
        <v>842.10157617740856</v>
      </c>
      <c r="G412" s="14">
        <f>Speed_Calc!G$3+Speed_Calc!G$5*A412^2</f>
        <v>25.669177600000001</v>
      </c>
      <c r="H412" s="7">
        <f>(F412-G412)/Speed_Calc!G$2*9.806</f>
        <v>5.930323037370421</v>
      </c>
      <c r="I412" s="4">
        <f t="shared" si="24"/>
        <v>10.444444444444445</v>
      </c>
    </row>
    <row r="413" spans="1:9" x14ac:dyDescent="0.2">
      <c r="A413" s="11">
        <v>37.700000000000003</v>
      </c>
      <c r="B413" s="14">
        <v>3.133</v>
      </c>
      <c r="C413" s="11">
        <f t="shared" si="25"/>
        <v>4885.5406699711839</v>
      </c>
      <c r="D413" s="11">
        <f t="shared" si="22"/>
        <v>130.72007863716252</v>
      </c>
      <c r="E413" s="11">
        <f t="shared" si="23"/>
        <v>936.19154461628318</v>
      </c>
      <c r="F413" s="11">
        <f>Speed_Calc!B$5*E413</f>
        <v>842.57239015465484</v>
      </c>
      <c r="G413" s="14">
        <f>Speed_Calc!G$3+Speed_Calc!G$5*A413^2</f>
        <v>25.6993729</v>
      </c>
      <c r="H413" s="7">
        <f>(F413-G413)/Speed_Calc!G$2*9.806</f>
        <v>5.9335235608882559</v>
      </c>
      <c r="I413" s="4">
        <f t="shared" si="24"/>
        <v>10.472222222222223</v>
      </c>
    </row>
    <row r="414" spans="1:9" x14ac:dyDescent="0.2">
      <c r="A414" s="11">
        <v>37.799999999999997</v>
      </c>
      <c r="B414" s="14">
        <v>3.133</v>
      </c>
      <c r="C414" s="11">
        <f t="shared" si="25"/>
        <v>4898.4996637907361</v>
      </c>
      <c r="D414" s="11">
        <f t="shared" si="22"/>
        <v>131.14086463170162</v>
      </c>
      <c r="E414" s="11">
        <f t="shared" si="23"/>
        <v>936.72046165501149</v>
      </c>
      <c r="F414" s="11">
        <f>Speed_Calc!B$5*E414</f>
        <v>843.04841548951038</v>
      </c>
      <c r="G414" s="14">
        <f>Speed_Calc!G$3+Speed_Calc!G$5*A414^2</f>
        <v>25.729648399999999</v>
      </c>
      <c r="H414" s="7">
        <f>(F414-G414)/Speed_Calc!G$2*9.806</f>
        <v>5.936761355614621</v>
      </c>
      <c r="I414" s="4">
        <f t="shared" si="24"/>
        <v>10.499999999999998</v>
      </c>
    </row>
    <row r="415" spans="1:9" x14ac:dyDescent="0.2">
      <c r="A415" s="11">
        <v>37.9</v>
      </c>
      <c r="B415" s="14">
        <v>3.133</v>
      </c>
      <c r="C415" s="11">
        <f t="shared" si="25"/>
        <v>4911.4586576102884</v>
      </c>
      <c r="D415" s="11">
        <f t="shared" si="22"/>
        <v>131.56285494391685</v>
      </c>
      <c r="E415" s="11">
        <f t="shared" si="23"/>
        <v>937.25516714663706</v>
      </c>
      <c r="F415" s="11">
        <f>Speed_Calc!B$5*E415</f>
        <v>843.52965043197332</v>
      </c>
      <c r="G415" s="14">
        <f>Speed_Calc!G$3+Speed_Calc!G$5*A415^2</f>
        <v>25.7600041</v>
      </c>
      <c r="H415" s="7">
        <f>(F415-G415)/Speed_Calc!G$2*9.806</f>
        <v>5.9400364088380222</v>
      </c>
      <c r="I415" s="4">
        <f t="shared" si="24"/>
        <v>10.527777777777777</v>
      </c>
    </row>
    <row r="416" spans="1:9" x14ac:dyDescent="0.2">
      <c r="A416" s="11">
        <v>38</v>
      </c>
      <c r="B416" s="14">
        <v>3.133</v>
      </c>
      <c r="C416" s="11">
        <f t="shared" si="25"/>
        <v>4924.4176514298397</v>
      </c>
      <c r="D416" s="11">
        <f t="shared" si="22"/>
        <v>131.98605557553671</v>
      </c>
      <c r="E416" s="11">
        <f t="shared" si="23"/>
        <v>937.79565803670846</v>
      </c>
      <c r="F416" s="11">
        <f>Speed_Calc!B$5*E416</f>
        <v>844.01609223303763</v>
      </c>
      <c r="G416" s="14">
        <f>Speed_Calc!G$3+Speed_Calc!G$5*A416^2</f>
        <v>25.79044</v>
      </c>
      <c r="H416" s="7">
        <f>(F416-G416)/Speed_Calc!G$2*9.806</f>
        <v>5.9433487005904935</v>
      </c>
      <c r="I416" s="4">
        <f t="shared" si="24"/>
        <v>10.555555555555555</v>
      </c>
    </row>
    <row r="417" spans="1:9" x14ac:dyDescent="0.2">
      <c r="A417" s="11">
        <v>38.1</v>
      </c>
      <c r="B417" s="14">
        <v>3.133</v>
      </c>
      <c r="C417" s="11">
        <f t="shared" si="25"/>
        <v>4937.3766452493937</v>
      </c>
      <c r="D417" s="11">
        <f t="shared" si="22"/>
        <v>132.41047236712981</v>
      </c>
      <c r="E417" s="11">
        <f t="shared" si="23"/>
        <v>938.34193016076222</v>
      </c>
      <c r="F417" s="11">
        <f>Speed_Calc!B$5*E417</f>
        <v>844.50773714468596</v>
      </c>
      <c r="G417" s="14">
        <f>Speed_Calc!G$3+Speed_Calc!G$5*A417^2</f>
        <v>25.8209561</v>
      </c>
      <c r="H417" s="7">
        <f>(F417-G417)/Speed_Calc!G$2*9.806</f>
        <v>5.9466982036475482</v>
      </c>
      <c r="I417" s="4">
        <f t="shared" si="24"/>
        <v>10.583333333333334</v>
      </c>
    </row>
    <row r="418" spans="1:9" x14ac:dyDescent="0.2">
      <c r="A418" s="11">
        <v>38.200000000000003</v>
      </c>
      <c r="B418" s="14">
        <v>3.133</v>
      </c>
      <c r="C418" s="11">
        <f t="shared" si="25"/>
        <v>4950.335639068946</v>
      </c>
      <c r="D418" s="11">
        <f t="shared" si="22"/>
        <v>132.83611099604923</v>
      </c>
      <c r="E418" s="11">
        <f t="shared" si="23"/>
        <v>938.89397824432683</v>
      </c>
      <c r="F418" s="11">
        <f>Speed_Calc!B$5*E418</f>
        <v>845.00458041989418</v>
      </c>
      <c r="G418" s="14">
        <f>Speed_Calc!G$3+Speed_Calc!G$5*A418^2</f>
        <v>25.851552399999999</v>
      </c>
      <c r="H418" s="7">
        <f>(F418-G418)/Speed_Calc!G$2*9.806</f>
        <v>5.9500848835282092</v>
      </c>
      <c r="I418" s="4">
        <f t="shared" si="24"/>
        <v>10.611111111111112</v>
      </c>
    </row>
    <row r="419" spans="1:9" x14ac:dyDescent="0.2">
      <c r="A419" s="11">
        <v>38.299999999999997</v>
      </c>
      <c r="B419" s="14">
        <v>3.133</v>
      </c>
      <c r="C419" s="11">
        <f t="shared" si="25"/>
        <v>4963.2946328884955</v>
      </c>
      <c r="D419" s="11">
        <f t="shared" si="22"/>
        <v>133.26297697437724</v>
      </c>
      <c r="E419" s="11">
        <f t="shared" si="23"/>
        <v>939.45179590292059</v>
      </c>
      <c r="F419" s="11">
        <f>Speed_Calc!B$5*E419</f>
        <v>845.50661631262858</v>
      </c>
      <c r="G419" s="14">
        <f>Speed_Calc!G$3+Speed_Calc!G$5*A419^2</f>
        <v>25.882228900000001</v>
      </c>
      <c r="H419" s="7">
        <f>(F419-G419)/Speed_Calc!G$2*9.806</f>
        <v>5.9535086984949892</v>
      </c>
      <c r="I419" s="4">
        <f t="shared" si="24"/>
        <v>10.638888888888888</v>
      </c>
    </row>
    <row r="420" spans="1:9" x14ac:dyDescent="0.2">
      <c r="A420" s="11">
        <v>38.4</v>
      </c>
      <c r="B420" s="14">
        <v>3.133</v>
      </c>
      <c r="C420" s="11">
        <f t="shared" si="25"/>
        <v>4976.2536267080486</v>
      </c>
      <c r="D420" s="11">
        <f t="shared" si="22"/>
        <v>133.69107564687025</v>
      </c>
      <c r="E420" s="11">
        <f t="shared" si="23"/>
        <v>940.01537564205648</v>
      </c>
      <c r="F420" s="11">
        <f>Speed_Calc!B$5*E420</f>
        <v>846.01383807785089</v>
      </c>
      <c r="G420" s="14">
        <f>Speed_Calc!G$3+Speed_Calc!G$5*A420^2</f>
        <v>25.912985599999999</v>
      </c>
      <c r="H420" s="7">
        <f>(F420-G420)/Speed_Calc!G$2*9.806</f>
        <v>5.9569695995539309</v>
      </c>
      <c r="I420" s="4">
        <f t="shared" si="24"/>
        <v>10.666666666666666</v>
      </c>
    </row>
    <row r="421" spans="1:9" x14ac:dyDescent="0.2">
      <c r="A421" s="11">
        <v>38.5</v>
      </c>
      <c r="B421" s="14">
        <v>3.133</v>
      </c>
      <c r="C421" s="11">
        <f t="shared" si="25"/>
        <v>4989.2126205276018</v>
      </c>
      <c r="D421" s="11">
        <f t="shared" ref="D421:D484" si="26">-4.687*10^(-17)*C421^5+9.129*10^(-13)*C421^4-6.175*10^(-9)*C421^3+1.799*10^(-5)*C421^2+6.502*10^(-3)*C421</f>
        <v>134.12041218890255</v>
      </c>
      <c r="E421" s="11">
        <f t="shared" si="23"/>
        <v>940.58470885723841</v>
      </c>
      <c r="F421" s="11">
        <f>Speed_Calc!B$5*E421</f>
        <v>846.52623797151455</v>
      </c>
      <c r="G421" s="14">
        <f>Speed_Calc!G$3+Speed_Calc!G$5*A421^2</f>
        <v>25.9438225</v>
      </c>
      <c r="H421" s="7">
        <f>(F421-G421)/Speed_Calc!G$2*9.806</f>
        <v>5.9604675304545705</v>
      </c>
      <c r="I421" s="4">
        <f t="shared" si="24"/>
        <v>10.694444444444445</v>
      </c>
    </row>
    <row r="422" spans="1:9" x14ac:dyDescent="0.2">
      <c r="A422" s="11">
        <v>38.6</v>
      </c>
      <c r="B422" s="14">
        <v>3.133</v>
      </c>
      <c r="C422" s="11">
        <f t="shared" si="25"/>
        <v>5002.1716143471531</v>
      </c>
      <c r="D422" s="11">
        <f t="shared" si="26"/>
        <v>134.55099160441031</v>
      </c>
      <c r="E422" s="11">
        <f t="shared" ref="E422:E485" si="27">D422*75*B422*B$31*B$32/B$23/C422/2/PI()*60</f>
        <v>941.15978583395815</v>
      </c>
      <c r="F422" s="11">
        <f>Speed_Calc!B$5*E422</f>
        <v>847.04380725056239</v>
      </c>
      <c r="G422" s="14">
        <f>Speed_Calc!G$3+Speed_Calc!G$5*A422^2</f>
        <v>25.974739599999999</v>
      </c>
      <c r="H422" s="7">
        <f>(F422-G422)/Speed_Calc!G$2*9.806</f>
        <v>5.9640024276899357</v>
      </c>
      <c r="I422" s="4">
        <f t="shared" ref="I422:I485" si="28">A422/3.6</f>
        <v>10.722222222222223</v>
      </c>
    </row>
    <row r="423" spans="1:9" x14ac:dyDescent="0.2">
      <c r="A423" s="11">
        <v>38.700000000000003</v>
      </c>
      <c r="B423" s="14">
        <v>3.133</v>
      </c>
      <c r="C423" s="11">
        <f t="shared" si="25"/>
        <v>5015.1306081667062</v>
      </c>
      <c r="D423" s="11">
        <f t="shared" si="26"/>
        <v>134.98281872383751</v>
      </c>
      <c r="E423" s="11">
        <f t="shared" si="27"/>
        <v>941.74059574770365</v>
      </c>
      <c r="F423" s="11">
        <f>Speed_Calc!B$5*E423</f>
        <v>847.5665361729333</v>
      </c>
      <c r="G423" s="14">
        <f>Speed_Calc!G$3+Speed_Calc!G$5*A423^2</f>
        <v>26.005736900000002</v>
      </c>
      <c r="H423" s="7">
        <f>(F423-G423)/Speed_Calc!G$2*9.806</f>
        <v>5.9675742204965809</v>
      </c>
      <c r="I423" s="4">
        <f t="shared" si="28"/>
        <v>10.75</v>
      </c>
    </row>
    <row r="424" spans="1:9" x14ac:dyDescent="0.2">
      <c r="A424" s="11">
        <v>38.799999999999997</v>
      </c>
      <c r="B424" s="14">
        <v>3.133</v>
      </c>
      <c r="C424" s="11">
        <f t="shared" si="25"/>
        <v>5028.0896019862575</v>
      </c>
      <c r="D424" s="11">
        <f t="shared" si="26"/>
        <v>135.41589820207827</v>
      </c>
      <c r="E424" s="11">
        <f t="shared" si="27"/>
        <v>942.32712666394673</v>
      </c>
      <c r="F424" s="11">
        <f>Speed_Calc!B$5*E424</f>
        <v>848.09441399755212</v>
      </c>
      <c r="G424" s="14">
        <f>Speed_Calc!G$3+Speed_Calc!G$5*A424^2</f>
        <v>26.036814399999997</v>
      </c>
      <c r="H424" s="7">
        <f>(F424-G424)/Speed_Calc!G$2*9.806</f>
        <v>5.9711828308545156</v>
      </c>
      <c r="I424" s="4">
        <f t="shared" si="28"/>
        <v>10.777777777777777</v>
      </c>
    </row>
    <row r="425" spans="1:9" x14ac:dyDescent="0.2">
      <c r="A425" s="11">
        <v>38.9</v>
      </c>
      <c r="B425" s="14">
        <v>3.133</v>
      </c>
      <c r="C425" s="11">
        <f t="shared" si="25"/>
        <v>5041.0485958058098</v>
      </c>
      <c r="D425" s="11">
        <f t="shared" si="26"/>
        <v>135.85023451642368</v>
      </c>
      <c r="E425" s="11">
        <f t="shared" si="27"/>
        <v>942.91936553815935</v>
      </c>
      <c r="F425" s="11">
        <f>Speed_Calc!B$5*E425</f>
        <v>848.6274289843434</v>
      </c>
      <c r="G425" s="14">
        <f>Speed_Calc!G$3+Speed_Calc!G$5*A425^2</f>
        <v>26.067972099999999</v>
      </c>
      <c r="H425" s="7">
        <f>(F425-G425)/Speed_Calc!G$2*9.806</f>
        <v>5.9748281734873112</v>
      </c>
      <c r="I425" s="4">
        <f t="shared" si="28"/>
        <v>10.805555555555555</v>
      </c>
    </row>
    <row r="426" spans="1:9" x14ac:dyDescent="0.2">
      <c r="A426" s="11">
        <v>39</v>
      </c>
      <c r="B426" s="14">
        <v>3.133</v>
      </c>
      <c r="C426" s="11">
        <f t="shared" si="25"/>
        <v>5054.0075896253629</v>
      </c>
      <c r="D426" s="11">
        <f t="shared" si="26"/>
        <v>136.28583196450455</v>
      </c>
      <c r="E426" s="11">
        <f t="shared" si="27"/>
        <v>943.51729821580057</v>
      </c>
      <c r="F426" s="11">
        <f>Speed_Calc!B$5*E426</f>
        <v>849.16556839422049</v>
      </c>
      <c r="G426" s="14">
        <f>Speed_Calc!G$3+Speed_Calc!G$5*A426^2</f>
        <v>26.099209999999999</v>
      </c>
      <c r="H426" s="7">
        <f>(F426-G426)/Speed_Calc!G$2*9.806</f>
        <v>5.9785101558620193</v>
      </c>
      <c r="I426" s="4">
        <f t="shared" si="28"/>
        <v>10.833333333333334</v>
      </c>
    </row>
    <row r="427" spans="1:9" x14ac:dyDescent="0.2">
      <c r="A427" s="11">
        <v>39.1</v>
      </c>
      <c r="B427" s="14">
        <v>3.133</v>
      </c>
      <c r="C427" s="11">
        <f t="shared" ref="C427:C490" si="29">A427/3.6/B$23/2/PI()*B$32*B$31*B427*60</f>
        <v>5066.9665834449152</v>
      </c>
      <c r="D427" s="11">
        <f t="shared" si="26"/>
        <v>136.72269466223585</v>
      </c>
      <c r="E427" s="11">
        <f t="shared" si="27"/>
        <v>944.12090943231908</v>
      </c>
      <c r="F427" s="11">
        <f>Speed_Calc!B$5*E427</f>
        <v>849.70881848908721</v>
      </c>
      <c r="G427" s="14">
        <f>Speed_Calc!G$3+Speed_Calc!G$5*A427^2</f>
        <v>26.130528099999999</v>
      </c>
      <c r="H427" s="7">
        <f>(F427-G427)/Speed_Calc!G$2*9.806</f>
        <v>5.982228678189176</v>
      </c>
      <c r="I427" s="4">
        <f t="shared" si="28"/>
        <v>10.861111111111111</v>
      </c>
    </row>
    <row r="428" spans="1:9" x14ac:dyDescent="0.2">
      <c r="A428" s="11">
        <v>39.200000000000003</v>
      </c>
      <c r="B428" s="14">
        <v>3.133</v>
      </c>
      <c r="C428" s="11">
        <f t="shared" si="29"/>
        <v>5079.9255772644665</v>
      </c>
      <c r="D428" s="11">
        <f t="shared" si="26"/>
        <v>137.16082654176222</v>
      </c>
      <c r="E428" s="11">
        <f t="shared" si="27"/>
        <v>944.73018281315819</v>
      </c>
      <c r="F428" s="11">
        <f>Speed_Calc!B$5*E428</f>
        <v>850.25716453184236</v>
      </c>
      <c r="G428" s="14">
        <f>Speed_Calc!G$3+Speed_Calc!G$5*A428^2</f>
        <v>26.161926399999999</v>
      </c>
      <c r="H428" s="7">
        <f>(F428-G428)/Speed_Calc!G$2*9.806</f>
        <v>5.9859836334228484</v>
      </c>
      <c r="I428" s="4">
        <f t="shared" si="28"/>
        <v>10.888888888888889</v>
      </c>
    </row>
    <row r="429" spans="1:9" x14ac:dyDescent="0.2">
      <c r="A429" s="11">
        <v>39.299999999999997</v>
      </c>
      <c r="B429" s="14">
        <v>3.133</v>
      </c>
      <c r="C429" s="11">
        <f t="shared" si="29"/>
        <v>5092.8845710840187</v>
      </c>
      <c r="D429" s="11">
        <f t="shared" si="26"/>
        <v>137.60023134940141</v>
      </c>
      <c r="E429" s="11">
        <f t="shared" si="27"/>
        <v>945.3451008737502</v>
      </c>
      <c r="F429" s="11">
        <f>Speed_Calc!B$5*E429</f>
        <v>850.8105907863752</v>
      </c>
      <c r="G429" s="14">
        <f>Speed_Calc!G$3+Speed_Calc!G$5*A429^2</f>
        <v>26.193404899999997</v>
      </c>
      <c r="H429" s="7">
        <f>(F429-G429)/Speed_Calc!G$2*9.806</f>
        <v>5.9897749072605881</v>
      </c>
      <c r="I429" s="4">
        <f t="shared" si="28"/>
        <v>10.916666666666666</v>
      </c>
    </row>
    <row r="430" spans="1:9" x14ac:dyDescent="0.2">
      <c r="A430" s="11">
        <v>39.4</v>
      </c>
      <c r="B430" s="14">
        <v>3.133</v>
      </c>
      <c r="C430" s="11">
        <f t="shared" si="29"/>
        <v>5105.8435649035719</v>
      </c>
      <c r="D430" s="11">
        <f t="shared" si="26"/>
        <v>138.04091264358931</v>
      </c>
      <c r="E430" s="11">
        <f t="shared" si="27"/>
        <v>945.96564501952059</v>
      </c>
      <c r="F430" s="11">
        <f>Speed_Calc!B$5*E430</f>
        <v>851.36908051756859</v>
      </c>
      <c r="G430" s="14">
        <f>Speed_Calc!G$3+Speed_Calc!G$5*A430^2</f>
        <v>26.224963599999999</v>
      </c>
      <c r="H430" s="7">
        <f>(F430-G430)/Speed_Calc!G$2*9.806</f>
        <v>5.9936023781434642</v>
      </c>
      <c r="I430" s="4">
        <f t="shared" si="28"/>
        <v>10.944444444444445</v>
      </c>
    </row>
    <row r="431" spans="1:9" x14ac:dyDescent="0.2">
      <c r="A431" s="11">
        <v>39.5</v>
      </c>
      <c r="B431" s="14">
        <v>3.133</v>
      </c>
      <c r="C431" s="11">
        <f t="shared" si="29"/>
        <v>5118.8025587231223</v>
      </c>
      <c r="D431" s="11">
        <f t="shared" si="26"/>
        <v>138.4828737928238</v>
      </c>
      <c r="E431" s="11">
        <f t="shared" si="27"/>
        <v>946.59179554588445</v>
      </c>
      <c r="F431" s="11">
        <f>Speed_Calc!B$5*E431</f>
        <v>851.93261599129607</v>
      </c>
      <c r="G431" s="14">
        <f>Speed_Calc!G$3+Speed_Calc!G$5*A431^2</f>
        <v>26.2566025</v>
      </c>
      <c r="H431" s="7">
        <f>(F431-G431)/Speed_Calc!G$2*9.806</f>
        <v>5.9974659172560356</v>
      </c>
      <c r="I431" s="4">
        <f t="shared" si="28"/>
        <v>10.972222222222221</v>
      </c>
    </row>
    <row r="432" spans="1:9" x14ac:dyDescent="0.2">
      <c r="A432" s="11">
        <v>39.6</v>
      </c>
      <c r="B432" s="14">
        <v>3.133</v>
      </c>
      <c r="C432" s="11">
        <f t="shared" si="29"/>
        <v>5131.7615525426754</v>
      </c>
      <c r="D432" s="11">
        <f t="shared" si="26"/>
        <v>138.92611797361019</v>
      </c>
      <c r="E432" s="11">
        <f t="shared" si="27"/>
        <v>947.22353163825119</v>
      </c>
      <c r="F432" s="11">
        <f>Speed_Calc!B$5*E432</f>
        <v>852.50117847442607</v>
      </c>
      <c r="G432" s="14">
        <f>Speed_Calc!G$3+Speed_Calc!G$5*A432^2</f>
        <v>26.2883216</v>
      </c>
      <c r="H432" s="7">
        <f>(F432-G432)/Speed_Calc!G$2*9.806</f>
        <v>6.001365388526386</v>
      </c>
      <c r="I432" s="4">
        <f t="shared" si="28"/>
        <v>11</v>
      </c>
    </row>
    <row r="433" spans="1:9" x14ac:dyDescent="0.2">
      <c r="A433" s="11">
        <v>39.700000000000003</v>
      </c>
      <c r="B433" s="14">
        <v>3.133</v>
      </c>
      <c r="C433" s="11">
        <f t="shared" si="29"/>
        <v>5144.7205463622277</v>
      </c>
      <c r="D433" s="11">
        <f t="shared" si="26"/>
        <v>139.37064816840376</v>
      </c>
      <c r="E433" s="11">
        <f t="shared" si="27"/>
        <v>947.86083137201547</v>
      </c>
      <c r="F433" s="11">
        <f>Speed_Calc!B$5*E433</f>
        <v>853.07474823481391</v>
      </c>
      <c r="G433" s="14">
        <f>Speed_Calc!G$3+Speed_Calc!G$5*A433^2</f>
        <v>26.320120899999999</v>
      </c>
      <c r="H433" s="7">
        <f>(F433-G433)/Speed_Calc!G$2*9.806</f>
        <v>6.0053006486260623</v>
      </c>
      <c r="I433" s="4">
        <f t="shared" si="28"/>
        <v>11.027777777777779</v>
      </c>
    </row>
    <row r="434" spans="1:9" x14ac:dyDescent="0.2">
      <c r="A434" s="11">
        <v>39.799999999999997</v>
      </c>
      <c r="B434" s="14">
        <v>3.133</v>
      </c>
      <c r="C434" s="11">
        <f t="shared" si="29"/>
        <v>5157.6795401817799</v>
      </c>
      <c r="D434" s="11">
        <f t="shared" si="26"/>
        <v>139.81646716355667</v>
      </c>
      <c r="E434" s="11">
        <f t="shared" si="27"/>
        <v>948.50367171257051</v>
      </c>
      <c r="F434" s="11">
        <f>Speed_Calc!B$5*E434</f>
        <v>853.65330454131345</v>
      </c>
      <c r="G434" s="14">
        <f>Speed_Calc!G$3+Speed_Calc!G$5*A434^2</f>
        <v>26.352000399999998</v>
      </c>
      <c r="H434" s="7">
        <f>(F434-G434)/Speed_Calc!G$2*9.806</f>
        <v>6.0092715469701625</v>
      </c>
      <c r="I434" s="4">
        <f t="shared" si="28"/>
        <v>11.055555555555555</v>
      </c>
    </row>
    <row r="435" spans="1:9" x14ac:dyDescent="0.2">
      <c r="A435" s="11">
        <v>39.9</v>
      </c>
      <c r="B435" s="14">
        <v>3.133</v>
      </c>
      <c r="C435" s="11">
        <f t="shared" si="29"/>
        <v>5170.6385340013321</v>
      </c>
      <c r="D435" s="11">
        <f t="shared" si="26"/>
        <v>140.2635775472603</v>
      </c>
      <c r="E435" s="11">
        <f t="shared" si="27"/>
        <v>949.15202851529523</v>
      </c>
      <c r="F435" s="11">
        <f>Speed_Calc!B$5*E435</f>
        <v>854.23682566376567</v>
      </c>
      <c r="G435" s="14">
        <f>Speed_Calc!G$3+Speed_Calc!G$5*A435^2</f>
        <v>26.383960099999999</v>
      </c>
      <c r="H435" s="7">
        <f>(F435-G435)/Speed_Calc!G$2*9.806</f>
        <v>6.0132779257172491</v>
      </c>
      <c r="I435" s="4">
        <f t="shared" si="28"/>
        <v>11.083333333333332</v>
      </c>
    </row>
    <row r="436" spans="1:9" x14ac:dyDescent="0.2">
      <c r="A436" s="11">
        <v>40</v>
      </c>
      <c r="B436" s="14">
        <v>3.133</v>
      </c>
      <c r="C436" s="11">
        <f t="shared" si="29"/>
        <v>5183.5975278208844</v>
      </c>
      <c r="D436" s="11">
        <f t="shared" si="26"/>
        <v>140.71198170749065</v>
      </c>
      <c r="E436" s="11">
        <f t="shared" si="27"/>
        <v>949.80587652556198</v>
      </c>
      <c r="F436" s="11">
        <f>Speed_Calc!B$5*E436</f>
        <v>854.82528887300577</v>
      </c>
      <c r="G436" s="14">
        <f>Speed_Calc!G$3+Speed_Calc!G$5*A436^2</f>
        <v>26.416</v>
      </c>
      <c r="H436" s="7">
        <f>(F436-G436)/Speed_Calc!G$2*9.806</f>
        <v>6.0173196197694025</v>
      </c>
      <c r="I436" s="4">
        <f t="shared" si="28"/>
        <v>11.111111111111111</v>
      </c>
    </row>
    <row r="437" spans="1:9" x14ac:dyDescent="0.2">
      <c r="A437" s="11">
        <v>40.1</v>
      </c>
      <c r="B437" s="14">
        <v>3.133</v>
      </c>
      <c r="C437" s="11">
        <f t="shared" si="29"/>
        <v>5196.5565216404375</v>
      </c>
      <c r="D437" s="11">
        <f t="shared" si="26"/>
        <v>141.16168182995324</v>
      </c>
      <c r="E437" s="11">
        <f t="shared" si="27"/>
        <v>950.46518937873736</v>
      </c>
      <c r="F437" s="11">
        <f>Speed_Calc!B$5*E437</f>
        <v>855.41867044086359</v>
      </c>
      <c r="G437" s="14">
        <f>Speed_Calc!G$3+Speed_Calc!G$5*A437^2</f>
        <v>26.448120100000001</v>
      </c>
      <c r="H437" s="7">
        <f>(F437-G437)/Speed_Calc!G$2*9.806</f>
        <v>6.0213964567722282</v>
      </c>
      <c r="I437" s="4">
        <f t="shared" si="28"/>
        <v>11.138888888888889</v>
      </c>
    </row>
    <row r="438" spans="1:9" x14ac:dyDescent="0.2">
      <c r="A438" s="11">
        <v>40.200000000000003</v>
      </c>
      <c r="B438" s="14">
        <v>3.133</v>
      </c>
      <c r="C438" s="11">
        <f t="shared" si="29"/>
        <v>5209.5155154599897</v>
      </c>
      <c r="D438" s="11">
        <f t="shared" si="26"/>
        <v>141.61267989602609</v>
      </c>
      <c r="E438" s="11">
        <f t="shared" si="27"/>
        <v>951.12993960017513</v>
      </c>
      <c r="F438" s="11">
        <f>Speed_Calc!B$5*E438</f>
        <v>856.01694564015759</v>
      </c>
      <c r="G438" s="14">
        <f>Speed_Calc!G$3+Speed_Calc!G$5*A438^2</f>
        <v>26.4803204</v>
      </c>
      <c r="H438" s="7">
        <f>(F438-G438)/Speed_Calc!G$2*9.806</f>
        <v>6.0255082571148035</v>
      </c>
      <c r="I438" s="4">
        <f t="shared" si="28"/>
        <v>11.166666666666668</v>
      </c>
    </row>
    <row r="439" spans="1:9" x14ac:dyDescent="0.2">
      <c r="A439" s="11">
        <v>40.299999999999997</v>
      </c>
      <c r="B439" s="14">
        <v>3.133</v>
      </c>
      <c r="C439" s="11">
        <f t="shared" si="29"/>
        <v>5222.4745092795401</v>
      </c>
      <c r="D439" s="11">
        <f t="shared" si="26"/>
        <v>142.06497768070534</v>
      </c>
      <c r="E439" s="11">
        <f t="shared" si="27"/>
        <v>951.80009860522205</v>
      </c>
      <c r="F439" s="11">
        <f>Speed_Calc!B$5*E439</f>
        <v>856.62008874469984</v>
      </c>
      <c r="G439" s="14">
        <f>Speed_Calc!G$3+Speed_Calc!G$5*A439^2</f>
        <v>26.512600899999999</v>
      </c>
      <c r="H439" s="7">
        <f>(F439-G439)/Speed_Calc!G$2*9.806</f>
        <v>6.0296548339297225</v>
      </c>
      <c r="I439" s="4">
        <f t="shared" si="28"/>
        <v>11.194444444444443</v>
      </c>
    </row>
    <row r="440" spans="1:9" x14ac:dyDescent="0.2">
      <c r="A440" s="11">
        <v>40.4</v>
      </c>
      <c r="B440" s="14">
        <v>3.133</v>
      </c>
      <c r="C440" s="11">
        <f t="shared" si="29"/>
        <v>5235.4335030990924</v>
      </c>
      <c r="D440" s="11">
        <f t="shared" si="26"/>
        <v>142.5185767505489</v>
      </c>
      <c r="E440" s="11">
        <f t="shared" si="27"/>
        <v>952.47563669921294</v>
      </c>
      <c r="F440" s="11">
        <f>Speed_Calc!B$5*E440</f>
        <v>857.22807302929164</v>
      </c>
      <c r="G440" s="14">
        <f>Speed_Calc!G$3+Speed_Calc!G$5*A440^2</f>
        <v>26.544961600000001</v>
      </c>
      <c r="H440" s="7">
        <f>(F440-G440)/Speed_Calc!G$2*9.806</f>
        <v>6.0338359930930618</v>
      </c>
      <c r="I440" s="4">
        <f t="shared" si="28"/>
        <v>11.222222222222221</v>
      </c>
    </row>
    <row r="441" spans="1:9" x14ac:dyDescent="0.2">
      <c r="A441" s="11">
        <v>40.5</v>
      </c>
      <c r="B441" s="14">
        <v>3.133</v>
      </c>
      <c r="C441" s="11">
        <f t="shared" si="29"/>
        <v>5248.3924969186455</v>
      </c>
      <c r="D441" s="11">
        <f t="shared" si="26"/>
        <v>142.97347846162239</v>
      </c>
      <c r="E441" s="11">
        <f t="shared" si="27"/>
        <v>953.15652307748257</v>
      </c>
      <c r="F441" s="11">
        <f>Speed_Calc!B$5*E441</f>
        <v>857.84087076973435</v>
      </c>
      <c r="G441" s="14">
        <f>Speed_Calc!G$3+Speed_Calc!G$5*A441^2</f>
        <v>26.577402499999998</v>
      </c>
      <c r="H441" s="7">
        <f>(F441-G441)/Speed_Calc!G$2*9.806</f>
        <v>6.0380515332244551</v>
      </c>
      <c r="I441" s="4">
        <f t="shared" si="28"/>
        <v>11.25</v>
      </c>
    </row>
    <row r="442" spans="1:9" x14ac:dyDescent="0.2">
      <c r="A442" s="11">
        <v>40.6</v>
      </c>
      <c r="B442" s="14">
        <v>3.133</v>
      </c>
      <c r="C442" s="11">
        <f t="shared" si="29"/>
        <v>5261.3514907381968</v>
      </c>
      <c r="D442" s="11">
        <f t="shared" si="26"/>
        <v>143.42968395744094</v>
      </c>
      <c r="E442" s="11">
        <f t="shared" si="27"/>
        <v>953.84272582534629</v>
      </c>
      <c r="F442" s="11">
        <f>Speed_Calc!B$5*E442</f>
        <v>858.45845324281163</v>
      </c>
      <c r="G442" s="14">
        <f>Speed_Calc!G$3+Speed_Calc!G$5*A442^2</f>
        <v>26.609923600000002</v>
      </c>
      <c r="H442" s="7">
        <f>(F442-G442)/Speed_Calc!G$2*9.806</f>
        <v>6.0423012456869705</v>
      </c>
      <c r="I442" s="4">
        <f t="shared" si="28"/>
        <v>11.277777777777779</v>
      </c>
    </row>
    <row r="443" spans="1:9" x14ac:dyDescent="0.2">
      <c r="A443" s="11">
        <v>40.700000000000003</v>
      </c>
      <c r="B443" s="14">
        <v>3.133</v>
      </c>
      <c r="C443" s="11">
        <f t="shared" si="29"/>
        <v>5274.31048455775</v>
      </c>
      <c r="D443" s="11">
        <f t="shared" si="26"/>
        <v>143.88719416691626</v>
      </c>
      <c r="E443" s="11">
        <f t="shared" si="27"/>
        <v>954.53421191811765</v>
      </c>
      <c r="F443" s="11">
        <f>Speed_Calc!B$5*E443</f>
        <v>859.08079072630585</v>
      </c>
      <c r="G443" s="14">
        <f>Speed_Calc!G$3+Speed_Calc!G$5*A443^2</f>
        <v>26.642524900000002</v>
      </c>
      <c r="H443" s="7">
        <f>(F443-G443)/Speed_Calc!G$2*9.806</f>
        <v>6.0465849145872248</v>
      </c>
      <c r="I443" s="4">
        <f t="shared" si="28"/>
        <v>11.305555555555555</v>
      </c>
    </row>
    <row r="444" spans="1:9" x14ac:dyDescent="0.2">
      <c r="A444" s="11">
        <v>40.799999999999997</v>
      </c>
      <c r="B444" s="14">
        <v>3.133</v>
      </c>
      <c r="C444" s="11">
        <f t="shared" si="29"/>
        <v>5287.2694783773013</v>
      </c>
      <c r="D444" s="11">
        <f t="shared" si="26"/>
        <v>144.34600980229931</v>
      </c>
      <c r="E444" s="11">
        <f t="shared" si="27"/>
        <v>955.23094722109829</v>
      </c>
      <c r="F444" s="11">
        <f>Speed_Calc!B$5*E444</f>
        <v>859.70785249898847</v>
      </c>
      <c r="G444" s="14">
        <f>Speed_Calc!G$3+Speed_Calc!G$5*A444^2</f>
        <v>26.6752064</v>
      </c>
      <c r="H444" s="7">
        <f>(F444-G444)/Speed_Calc!G$2*9.806</f>
        <v>6.0509023167753186</v>
      </c>
      <c r="I444" s="4">
        <f t="shared" si="28"/>
        <v>11.333333333333332</v>
      </c>
    </row>
    <row r="445" spans="1:9" x14ac:dyDescent="0.2">
      <c r="A445" s="11">
        <v>40.9</v>
      </c>
      <c r="B445" s="14">
        <v>3.133</v>
      </c>
      <c r="C445" s="11">
        <f t="shared" si="29"/>
        <v>5300.2284721968545</v>
      </c>
      <c r="D445" s="11">
        <f t="shared" si="26"/>
        <v>144.80613135712653</v>
      </c>
      <c r="E445" s="11">
        <f t="shared" si="27"/>
        <v>955.93289648958842</v>
      </c>
      <c r="F445" s="11">
        <f>Speed_Calc!B$5*E445</f>
        <v>860.33960684062959</v>
      </c>
      <c r="G445" s="14">
        <f>Speed_Calc!G$3+Speed_Calc!G$5*A445^2</f>
        <v>26.707968099999999</v>
      </c>
      <c r="H445" s="7">
        <f>(F445-G445)/Speed_Calc!G$2*9.806</f>
        <v>6.0552532218448984</v>
      </c>
      <c r="I445" s="4">
        <f t="shared" si="28"/>
        <v>11.361111111111111</v>
      </c>
    </row>
    <row r="446" spans="1:9" x14ac:dyDescent="0.2">
      <c r="A446" s="11">
        <v>41</v>
      </c>
      <c r="B446" s="14">
        <v>3.133</v>
      </c>
      <c r="C446" s="11">
        <f t="shared" si="29"/>
        <v>5313.1874660164067</v>
      </c>
      <c r="D446" s="11">
        <f t="shared" si="26"/>
        <v>145.26755910416136</v>
      </c>
      <c r="E446" s="11">
        <f t="shared" si="27"/>
        <v>956.64002336886733</v>
      </c>
      <c r="F446" s="11">
        <f>Speed_Calc!B$5*E446</f>
        <v>860.97602103198062</v>
      </c>
      <c r="G446" s="14">
        <f>Speed_Calc!G$3+Speed_Calc!G$5*A446^2</f>
        <v>26.74081</v>
      </c>
      <c r="H446" s="7">
        <f>(F446-G446)/Speed_Calc!G$2*9.806</f>
        <v>6.0596373921330375</v>
      </c>
      <c r="I446" s="4">
        <f t="shared" si="28"/>
        <v>11.388888888888889</v>
      </c>
    </row>
    <row r="447" spans="1:9" x14ac:dyDescent="0.2">
      <c r="A447" s="11">
        <v>41.1</v>
      </c>
      <c r="B447" s="14">
        <v>3.133</v>
      </c>
      <c r="C447" s="11">
        <f t="shared" si="29"/>
        <v>5326.1464598359589</v>
      </c>
      <c r="D447" s="11">
        <f t="shared" si="26"/>
        <v>145.73029309334154</v>
      </c>
      <c r="E447" s="11">
        <f t="shared" si="27"/>
        <v>957.35229039421426</v>
      </c>
      <c r="F447" s="11">
        <f>Speed_Calc!B$5*E447</f>
        <v>861.6170613547929</v>
      </c>
      <c r="G447" s="14">
        <f>Speed_Calc!G$3+Speed_Calc!G$5*A447^2</f>
        <v>26.7737321</v>
      </c>
      <c r="H447" s="7">
        <f>(F447-G447)/Speed_Calc!G$2*9.806</f>
        <v>6.0640545827203693</v>
      </c>
      <c r="I447" s="4">
        <f t="shared" si="28"/>
        <v>11.416666666666666</v>
      </c>
    </row>
    <row r="448" spans="1:9" x14ac:dyDescent="0.2">
      <c r="A448" s="11">
        <v>41.2</v>
      </c>
      <c r="B448" s="14">
        <v>3.133</v>
      </c>
      <c r="C448" s="11">
        <f t="shared" si="29"/>
        <v>5339.1054536555102</v>
      </c>
      <c r="D448" s="11">
        <f t="shared" si="26"/>
        <v>146.19433314972218</v>
      </c>
      <c r="E448" s="11">
        <f t="shared" si="27"/>
        <v>958.06965899089789</v>
      </c>
      <c r="F448" s="11">
        <f>Speed_Calc!B$5*E448</f>
        <v>862.26269309180816</v>
      </c>
      <c r="G448" s="14">
        <f>Speed_Calc!G$3+Speed_Calc!G$5*A448^2</f>
        <v>26.8067344</v>
      </c>
      <c r="H448" s="7">
        <f>(F448-G448)/Speed_Calc!G$2*9.806</f>
        <v>6.0685045414310146</v>
      </c>
      <c r="I448" s="4">
        <f t="shared" si="28"/>
        <v>11.444444444444445</v>
      </c>
    </row>
    <row r="449" spans="1:9" x14ac:dyDescent="0.2">
      <c r="A449" s="11">
        <v>41.3</v>
      </c>
      <c r="B449" s="14">
        <v>3.133</v>
      </c>
      <c r="C449" s="11">
        <f t="shared" si="29"/>
        <v>5352.0644474750625</v>
      </c>
      <c r="D449" s="11">
        <f t="shared" si="26"/>
        <v>146.65967887142057</v>
      </c>
      <c r="E449" s="11">
        <f t="shared" si="27"/>
        <v>958.79208947417828</v>
      </c>
      <c r="F449" s="11">
        <f>Speed_Calc!B$5*E449</f>
        <v>862.91288052676043</v>
      </c>
      <c r="G449" s="14">
        <f>Speed_Calc!G$3+Speed_Calc!G$5*A449^2</f>
        <v>26.839816899999999</v>
      </c>
      <c r="H449" s="7">
        <f>(F449-G449)/Speed_Calc!G$2*9.806</f>
        <v>6.0729870088326017</v>
      </c>
      <c r="I449" s="4">
        <f t="shared" si="28"/>
        <v>11.472222222222221</v>
      </c>
    </row>
    <row r="450" spans="1:9" x14ac:dyDescent="0.2">
      <c r="A450" s="11">
        <v>41.4</v>
      </c>
      <c r="B450" s="14">
        <v>3.133</v>
      </c>
      <c r="C450" s="11">
        <f t="shared" si="29"/>
        <v>5365.0234412946147</v>
      </c>
      <c r="D450" s="11">
        <f t="shared" si="26"/>
        <v>147.12632962755995</v>
      </c>
      <c r="E450" s="11">
        <f t="shared" si="27"/>
        <v>959.51954104930417</v>
      </c>
      <c r="F450" s="11">
        <f>Speed_Calc!B$5*E450</f>
        <v>863.56758694437372</v>
      </c>
      <c r="G450" s="14">
        <f>Speed_Calc!G$3+Speed_Calc!G$5*A450^2</f>
        <v>26.872979600000001</v>
      </c>
      <c r="H450" s="7">
        <f>(F450-G450)/Speed_Calc!G$2*9.806</f>
        <v>6.0775017182362436</v>
      </c>
      <c r="I450" s="4">
        <f t="shared" si="28"/>
        <v>11.5</v>
      </c>
    </row>
    <row r="451" spans="1:9" x14ac:dyDescent="0.2">
      <c r="A451" s="11">
        <v>41.5</v>
      </c>
      <c r="B451" s="14">
        <v>3.133</v>
      </c>
      <c r="C451" s="11">
        <f t="shared" si="29"/>
        <v>5377.9824351141669</v>
      </c>
      <c r="D451" s="11">
        <f t="shared" si="26"/>
        <v>147.59428455621537</v>
      </c>
      <c r="E451" s="11">
        <f t="shared" si="27"/>
        <v>960.25197181152191</v>
      </c>
      <c r="F451" s="11">
        <f>Speed_Calc!B$5*E451</f>
        <v>864.22677463036973</v>
      </c>
      <c r="G451" s="14">
        <f>Speed_Calc!G$3+Speed_Calc!G$5*A451^2</f>
        <v>26.906222499999998</v>
      </c>
      <c r="H451" s="7">
        <f>(F451-G451)/Speed_Calc!G$2*9.806</f>
        <v>6.0820483956965958</v>
      </c>
      <c r="I451" s="4">
        <f t="shared" si="28"/>
        <v>11.527777777777777</v>
      </c>
    </row>
    <row r="452" spans="1:9" x14ac:dyDescent="0.2">
      <c r="A452" s="11">
        <v>41.6</v>
      </c>
      <c r="B452" s="14">
        <v>3.133</v>
      </c>
      <c r="C452" s="11">
        <f t="shared" si="29"/>
        <v>5390.9414289337192</v>
      </c>
      <c r="D452" s="11">
        <f t="shared" si="26"/>
        <v>148.06354256235622</v>
      </c>
      <c r="E452" s="11">
        <f t="shared" si="27"/>
        <v>960.989338746062</v>
      </c>
      <c r="F452" s="11">
        <f>Speed_Calc!B$5*E452</f>
        <v>864.89040487145587</v>
      </c>
      <c r="G452" s="14">
        <f>Speed_Calc!G$3+Speed_Calc!G$5*A452^2</f>
        <v>26.939545599999999</v>
      </c>
      <c r="H452" s="7">
        <f>(F452-G452)/Speed_Calc!G$2*9.806</f>
        <v>6.0866267600117752</v>
      </c>
      <c r="I452" s="4">
        <f t="shared" si="28"/>
        <v>11.555555555555555</v>
      </c>
    </row>
    <row r="453" spans="1:9" x14ac:dyDescent="0.2">
      <c r="A453" s="11">
        <v>41.7</v>
      </c>
      <c r="B453" s="14">
        <v>3.133</v>
      </c>
      <c r="C453" s="11">
        <f t="shared" si="29"/>
        <v>5403.9004227532723</v>
      </c>
      <c r="D453" s="11">
        <f t="shared" si="26"/>
        <v>148.53410231579204</v>
      </c>
      <c r="E453" s="11">
        <f t="shared" si="27"/>
        <v>961.73159772814972</v>
      </c>
      <c r="F453" s="11">
        <f>Speed_Calc!B$5*E453</f>
        <v>865.55843795533474</v>
      </c>
      <c r="G453" s="14">
        <f>Speed_Calc!G$3+Speed_Calc!G$5*A453^2</f>
        <v>26.972948899999999</v>
      </c>
      <c r="H453" s="7">
        <f>(F453-G453)/Speed_Calc!G$2*9.806</f>
        <v>6.091236522723416</v>
      </c>
      <c r="I453" s="4">
        <f t="shared" si="28"/>
        <v>11.583333333333334</v>
      </c>
    </row>
    <row r="454" spans="1:9" x14ac:dyDescent="0.2">
      <c r="A454" s="11">
        <v>41.8</v>
      </c>
      <c r="B454" s="14">
        <v>3.133</v>
      </c>
      <c r="C454" s="11">
        <f t="shared" si="29"/>
        <v>5416.8594165728236</v>
      </c>
      <c r="D454" s="11">
        <f t="shared" si="26"/>
        <v>149.00596224911672</v>
      </c>
      <c r="E454" s="11">
        <f t="shared" si="27"/>
        <v>962.47870352300265</v>
      </c>
      <c r="F454" s="11">
        <f>Speed_Calc!B$5*E454</f>
        <v>866.23083317070245</v>
      </c>
      <c r="G454" s="14">
        <f>Speed_Calc!G$3+Speed_Calc!G$5*A454^2</f>
        <v>27.006432399999998</v>
      </c>
      <c r="H454" s="7">
        <f>(F454-G454)/Speed_Calc!G$2*9.806</f>
        <v>6.0958773881166719</v>
      </c>
      <c r="I454" s="4">
        <f t="shared" si="28"/>
        <v>11.611111111111111</v>
      </c>
    </row>
    <row r="455" spans="1:9" x14ac:dyDescent="0.2">
      <c r="A455" s="11">
        <v>41.9</v>
      </c>
      <c r="B455" s="14">
        <v>3.133</v>
      </c>
      <c r="C455" s="11">
        <f t="shared" si="29"/>
        <v>5429.8184103923759</v>
      </c>
      <c r="D455" s="11">
        <f t="shared" si="26"/>
        <v>149.4791205556528</v>
      </c>
      <c r="E455" s="11">
        <f t="shared" si="27"/>
        <v>963.23060978582953</v>
      </c>
      <c r="F455" s="11">
        <f>Speed_Calc!B$5*E455</f>
        <v>866.9075488072466</v>
      </c>
      <c r="G455" s="14">
        <f>Speed_Calc!G$3+Speed_Calc!G$5*A455^2</f>
        <v>27.0399961</v>
      </c>
      <c r="H455" s="7">
        <f>(F455-G455)/Speed_Calc!G$2*9.806</f>
        <v>6.1005490532201927</v>
      </c>
      <c r="I455" s="4">
        <f t="shared" si="28"/>
        <v>11.638888888888888</v>
      </c>
    </row>
    <row r="456" spans="1:9" x14ac:dyDescent="0.2">
      <c r="A456" s="11">
        <v>42</v>
      </c>
      <c r="B456" s="14">
        <v>3.133</v>
      </c>
      <c r="C456" s="11">
        <f t="shared" si="29"/>
        <v>5442.777404211929</v>
      </c>
      <c r="D456" s="11">
        <f t="shared" si="26"/>
        <v>149.95357518739522</v>
      </c>
      <c r="E456" s="11">
        <f t="shared" si="27"/>
        <v>963.98726906182605</v>
      </c>
      <c r="F456" s="11">
        <f>Speed_Calc!B$5*E456</f>
        <v>867.58854215564349</v>
      </c>
      <c r="G456" s="14">
        <f>Speed_Calc!G$3+Speed_Calc!G$5*A456^2</f>
        <v>27.073639999999997</v>
      </c>
      <c r="H456" s="7">
        <f>(F456-G456)/Speed_Calc!G$2*9.806</f>
        <v>6.1052512078061039</v>
      </c>
      <c r="I456" s="4">
        <f t="shared" si="28"/>
        <v>11.666666666666666</v>
      </c>
    </row>
    <row r="457" spans="1:9" x14ac:dyDescent="0.2">
      <c r="A457" s="11">
        <v>42.1</v>
      </c>
      <c r="B457" s="14">
        <v>3.133</v>
      </c>
      <c r="C457" s="11">
        <f t="shared" si="29"/>
        <v>5455.7363980314803</v>
      </c>
      <c r="D457" s="11">
        <f t="shared" si="26"/>
        <v>150.429323852957</v>
      </c>
      <c r="E457" s="11">
        <f t="shared" si="27"/>
        <v>964.74863278618511</v>
      </c>
      <c r="F457" s="11">
        <f>Speed_Calc!B$5*E457</f>
        <v>868.27376950756661</v>
      </c>
      <c r="G457" s="14">
        <f>Speed_Calc!G$3+Speed_Calc!G$5*A457^2</f>
        <v>27.107364099999998</v>
      </c>
      <c r="H457" s="7">
        <f>(F457-G457)/Speed_Calc!G$2*9.806</f>
        <v>6.1099835343900715</v>
      </c>
      <c r="I457" s="4">
        <f t="shared" si="28"/>
        <v>11.694444444444445</v>
      </c>
    </row>
    <row r="458" spans="1:9" x14ac:dyDescent="0.2">
      <c r="A458" s="11">
        <v>42.2</v>
      </c>
      <c r="B458" s="14">
        <v>3.133</v>
      </c>
      <c r="C458" s="11">
        <f t="shared" si="29"/>
        <v>5468.6953918510335</v>
      </c>
      <c r="D458" s="11">
        <f t="shared" si="26"/>
        <v>150.90636401551299</v>
      </c>
      <c r="E458" s="11">
        <f t="shared" si="27"/>
        <v>965.5146512840879</v>
      </c>
      <c r="F458" s="11">
        <f>Speed_Calc!B$5*E458</f>
        <v>868.96318615567918</v>
      </c>
      <c r="G458" s="14">
        <f>Speed_Calc!G$3+Speed_Calc!G$5*A458^2</f>
        <v>27.141168399999998</v>
      </c>
      <c r="H458" s="7">
        <f>(F458-G458)/Speed_Calc!G$2*9.806</f>
        <v>6.1147457082312515</v>
      </c>
      <c r="I458" s="4">
        <f t="shared" si="28"/>
        <v>11.722222222222223</v>
      </c>
    </row>
    <row r="459" spans="1:9" x14ac:dyDescent="0.2">
      <c r="A459" s="11">
        <v>42.3</v>
      </c>
      <c r="B459" s="14">
        <v>3.133</v>
      </c>
      <c r="C459" s="11">
        <f t="shared" si="29"/>
        <v>5481.6543856705839</v>
      </c>
      <c r="D459" s="11">
        <f t="shared" si="26"/>
        <v>151.38469289074382</v>
      </c>
      <c r="E459" s="11">
        <f t="shared" si="27"/>
        <v>966.28527377070566</v>
      </c>
      <c r="F459" s="11">
        <f>Speed_Calc!B$5*E459</f>
        <v>869.6567463936351</v>
      </c>
      <c r="G459" s="14">
        <f>Speed_Calc!G$3+Speed_Calc!G$5*A459^2</f>
        <v>27.175052899999997</v>
      </c>
      <c r="H459" s="7">
        <f>(F459-G459)/Speed_Calc!G$2*9.806</f>
        <v>6.1195373973322855</v>
      </c>
      <c r="I459" s="4">
        <f t="shared" si="28"/>
        <v>11.749999999999998</v>
      </c>
    </row>
    <row r="460" spans="1:9" x14ac:dyDescent="0.2">
      <c r="A460" s="11">
        <v>42.4</v>
      </c>
      <c r="B460" s="14">
        <v>3.133</v>
      </c>
      <c r="C460" s="11">
        <f t="shared" si="29"/>
        <v>5494.6133794901361</v>
      </c>
      <c r="D460" s="11">
        <f t="shared" si="26"/>
        <v>151.86430744478167</v>
      </c>
      <c r="E460" s="11">
        <f t="shared" si="27"/>
        <v>967.0604483512044</v>
      </c>
      <c r="F460" s="11">
        <f>Speed_Calc!B$5*E460</f>
        <v>870.35440351608395</v>
      </c>
      <c r="G460" s="14">
        <f>Speed_Calc!G$3+Speed_Calc!G$5*A460^2</f>
        <v>27.209017599999999</v>
      </c>
      <c r="H460" s="7">
        <f>(F460-G460)/Speed_Calc!G$2*9.806</f>
        <v>6.1243582624393467</v>
      </c>
      <c r="I460" s="4">
        <f t="shared" si="28"/>
        <v>11.777777777777777</v>
      </c>
    </row>
    <row r="461" spans="1:9" x14ac:dyDescent="0.2">
      <c r="A461" s="11">
        <v>42.5</v>
      </c>
      <c r="B461" s="14">
        <v>3.133</v>
      </c>
      <c r="C461" s="11">
        <f t="shared" si="29"/>
        <v>5507.5723733096893</v>
      </c>
      <c r="D461" s="11">
        <f t="shared" si="26"/>
        <v>152.34520439215376</v>
      </c>
      <c r="E461" s="11">
        <f t="shared" si="27"/>
        <v>967.84012202074166</v>
      </c>
      <c r="F461" s="11">
        <f>Speed_Calc!B$5*E461</f>
        <v>871.05610981866755</v>
      </c>
      <c r="G461" s="14">
        <f>Speed_Calc!G$3+Speed_Calc!G$5*A461^2</f>
        <v>27.243062500000001</v>
      </c>
      <c r="H461" s="7">
        <f>(F461-G461)/Speed_Calc!G$2*9.806</f>
        <v>6.1292079570421132</v>
      </c>
      <c r="I461" s="4">
        <f t="shared" si="28"/>
        <v>11.805555555555555</v>
      </c>
    </row>
    <row r="462" spans="1:9" x14ac:dyDescent="0.2">
      <c r="A462" s="11">
        <v>42.6</v>
      </c>
      <c r="B462" s="14">
        <v>3.133</v>
      </c>
      <c r="C462" s="11">
        <f t="shared" si="29"/>
        <v>5520.5313671292424</v>
      </c>
      <c r="D462" s="11">
        <f t="shared" si="26"/>
        <v>152.82738019372573</v>
      </c>
      <c r="E462" s="11">
        <f t="shared" si="27"/>
        <v>968.62424066445885</v>
      </c>
      <c r="F462" s="11">
        <f>Speed_Calc!B$5*E462</f>
        <v>871.76181659801296</v>
      </c>
      <c r="G462" s="14">
        <f>Speed_Calc!G$3+Speed_Calc!G$5*A462^2</f>
        <v>27.277187600000001</v>
      </c>
      <c r="H462" s="7">
        <f>(F462-G462)/Speed_Calc!G$2*9.806</f>
        <v>6.1340861273737142</v>
      </c>
      <c r="I462" s="4">
        <f t="shared" si="28"/>
        <v>11.833333333333334</v>
      </c>
    </row>
    <row r="463" spans="1:9" x14ac:dyDescent="0.2">
      <c r="A463" s="11">
        <v>42.7</v>
      </c>
      <c r="B463" s="14">
        <v>3.133</v>
      </c>
      <c r="C463" s="11">
        <f t="shared" si="29"/>
        <v>5533.4903609487947</v>
      </c>
      <c r="D463" s="11">
        <f t="shared" si="26"/>
        <v>153.31083105464924</v>
      </c>
      <c r="E463" s="11">
        <f t="shared" si="27"/>
        <v>969.41274905750095</v>
      </c>
      <c r="F463" s="11">
        <f>Speed_Calc!B$5*E463</f>
        <v>872.47147415175084</v>
      </c>
      <c r="G463" s="14">
        <f>Speed_Calc!G$3+Speed_Calc!G$5*A463^2</f>
        <v>27.311392900000001</v>
      </c>
      <c r="H463" s="7">
        <f>(F463-G463)/Speed_Calc!G$2*9.806</f>
        <v>6.1389924124108655</v>
      </c>
      <c r="I463" s="4">
        <f t="shared" si="28"/>
        <v>11.861111111111112</v>
      </c>
    </row>
    <row r="464" spans="1:9" x14ac:dyDescent="0.2">
      <c r="A464" s="11">
        <v>42.8</v>
      </c>
      <c r="B464" s="14">
        <v>3.133</v>
      </c>
      <c r="C464" s="11">
        <f t="shared" si="29"/>
        <v>5546.449354768346</v>
      </c>
      <c r="D464" s="11">
        <f t="shared" si="26"/>
        <v>153.79555292230242</v>
      </c>
      <c r="E464" s="11">
        <f t="shared" si="27"/>
        <v>970.20559086499202</v>
      </c>
      <c r="F464" s="11">
        <f>Speed_Calc!B$5*E464</f>
        <v>873.18503177849288</v>
      </c>
      <c r="G464" s="14">
        <f>Speed_Calc!G$3+Speed_Calc!G$5*A464^2</f>
        <v>27.345678399999997</v>
      </c>
      <c r="H464" s="7">
        <f>(F464-G464)/Speed_Calc!G$2*9.806</f>
        <v>6.1439264438737036</v>
      </c>
      <c r="I464" s="4">
        <f t="shared" si="28"/>
        <v>11.888888888888888</v>
      </c>
    </row>
    <row r="465" spans="1:9" x14ac:dyDescent="0.2">
      <c r="A465" s="11">
        <v>42.9</v>
      </c>
      <c r="B465" s="14">
        <v>3.133</v>
      </c>
      <c r="C465" s="11">
        <f t="shared" si="29"/>
        <v>5559.4083485878991</v>
      </c>
      <c r="D465" s="11">
        <f t="shared" si="26"/>
        <v>154.28154148423747</v>
      </c>
      <c r="E465" s="11">
        <f t="shared" si="27"/>
        <v>971.0027086420539</v>
      </c>
      <c r="F465" s="11">
        <f>Speed_Calc!B$5*E465</f>
        <v>873.90243777784849</v>
      </c>
      <c r="G465" s="14">
        <f>Speed_Calc!G$3+Speed_Calc!G$5*A465^2</f>
        <v>27.380044099999999</v>
      </c>
      <c r="H465" s="7">
        <f>(F465-G465)/Speed_Calc!G$2*9.806</f>
        <v>6.1488878462259127</v>
      </c>
      <c r="I465" s="4">
        <f t="shared" si="28"/>
        <v>11.916666666666666</v>
      </c>
    </row>
    <row r="466" spans="1:9" x14ac:dyDescent="0.2">
      <c r="A466" s="11">
        <v>43</v>
      </c>
      <c r="B466" s="14">
        <v>3.133</v>
      </c>
      <c r="C466" s="11">
        <f t="shared" si="29"/>
        <v>5572.3673424074514</v>
      </c>
      <c r="D466" s="11">
        <f t="shared" si="26"/>
        <v>154.76879216612417</v>
      </c>
      <c r="E466" s="11">
        <f t="shared" si="27"/>
        <v>971.80404383380278</v>
      </c>
      <c r="F466" s="11">
        <f>Speed_Calc!B$5*E466</f>
        <v>874.6236394504225</v>
      </c>
      <c r="G466" s="14">
        <f>Speed_Calc!G$3+Speed_Calc!G$5*A466^2</f>
        <v>27.414490000000001</v>
      </c>
      <c r="H466" s="7">
        <f>(F466-G466)/Speed_Calc!G$2*9.806</f>
        <v>6.153876236674698</v>
      </c>
      <c r="I466" s="4">
        <f t="shared" si="28"/>
        <v>11.944444444444445</v>
      </c>
    </row>
    <row r="467" spans="1:9" x14ac:dyDescent="0.2">
      <c r="A467" s="11">
        <v>43.1</v>
      </c>
      <c r="B467" s="14">
        <v>3.133</v>
      </c>
      <c r="C467" s="11">
        <f t="shared" si="29"/>
        <v>5585.3263362270036</v>
      </c>
      <c r="D467" s="11">
        <f t="shared" si="26"/>
        <v>155.25730012969277</v>
      </c>
      <c r="E467" s="11">
        <f t="shared" si="27"/>
        <v>972.60953677533712</v>
      </c>
      <c r="F467" s="11">
        <f>Speed_Calc!B$5*E467</f>
        <v>875.34858309780338</v>
      </c>
      <c r="G467" s="14">
        <f>Speed_Calc!G$3+Speed_Calc!G$5*A467^2</f>
        <v>27.449016100000001</v>
      </c>
      <c r="H467" s="7">
        <f>(F467-G467)/Speed_Calc!G$2*9.806</f>
        <v>6.1588912251707111</v>
      </c>
      <c r="I467" s="4">
        <f t="shared" si="28"/>
        <v>11.972222222222223</v>
      </c>
    </row>
    <row r="468" spans="1:9" x14ac:dyDescent="0.2">
      <c r="A468" s="11">
        <v>43.2</v>
      </c>
      <c r="B468" s="14">
        <v>3.133</v>
      </c>
      <c r="C468" s="11">
        <f t="shared" si="29"/>
        <v>5598.2853300465558</v>
      </c>
      <c r="D468" s="11">
        <f t="shared" si="26"/>
        <v>155.74706027068095</v>
      </c>
      <c r="E468" s="11">
        <f t="shared" si="27"/>
        <v>973.41912669175588</v>
      </c>
      <c r="F468" s="11">
        <f>Speed_Calc!B$5*E468</f>
        <v>876.07721402258028</v>
      </c>
      <c r="G468" s="14">
        <f>Speed_Calc!G$3+Speed_Calc!G$5*A468^2</f>
        <v>27.483622400000002</v>
      </c>
      <c r="H468" s="7">
        <f>(F468-G468)/Speed_Calc!G$2*9.806</f>
        <v>6.1639324144081646</v>
      </c>
      <c r="I468" s="4">
        <f t="shared" si="28"/>
        <v>12</v>
      </c>
    </row>
    <row r="469" spans="1:9" x14ac:dyDescent="0.2">
      <c r="A469" s="11">
        <v>43.3</v>
      </c>
      <c r="B469" s="14">
        <v>3.133</v>
      </c>
      <c r="C469" s="11">
        <f t="shared" si="29"/>
        <v>5611.2443238661053</v>
      </c>
      <c r="D469" s="11">
        <f t="shared" si="26"/>
        <v>156.23806721677624</v>
      </c>
      <c r="E469" s="11">
        <f t="shared" si="27"/>
        <v>974.23275169814337</v>
      </c>
      <c r="F469" s="11">
        <f>Speed_Calc!B$5*E469</f>
        <v>876.80947652832901</v>
      </c>
      <c r="G469" s="14">
        <f>Speed_Calc!G$3+Speed_Calc!G$5*A469^2</f>
        <v>27.518308899999997</v>
      </c>
      <c r="H469" s="7">
        <f>(F469-G469)/Speed_Calc!G$2*9.806</f>
        <v>6.1689993998247363</v>
      </c>
      <c r="I469" s="4">
        <f t="shared" si="28"/>
        <v>12.027777777777777</v>
      </c>
    </row>
    <row r="470" spans="1:9" x14ac:dyDescent="0.2">
      <c r="A470" s="11">
        <v>43.4</v>
      </c>
      <c r="B470" s="14">
        <v>3.133</v>
      </c>
      <c r="C470" s="11">
        <f t="shared" si="29"/>
        <v>5624.2033176856594</v>
      </c>
      <c r="D470" s="11">
        <f t="shared" si="26"/>
        <v>156.73031532556146</v>
      </c>
      <c r="E470" s="11">
        <f t="shared" si="27"/>
        <v>975.05034879957611</v>
      </c>
      <c r="F470" s="11">
        <f>Speed_Calc!B$5*E470</f>
        <v>877.54531391961848</v>
      </c>
      <c r="G470" s="14">
        <f>Speed_Calc!G$3+Speed_Calc!G$5*A470^2</f>
        <v>27.5530756</v>
      </c>
      <c r="H470" s="7">
        <f>(F470-G470)/Speed_Calc!G$2*9.806</f>
        <v>6.1740917696016133</v>
      </c>
      <c r="I470" s="4">
        <f t="shared" si="28"/>
        <v>12.055555555555555</v>
      </c>
    </row>
    <row r="471" spans="1:9" x14ac:dyDescent="0.2">
      <c r="A471" s="11">
        <v>43.5</v>
      </c>
      <c r="B471" s="14">
        <v>3.133</v>
      </c>
      <c r="C471" s="11">
        <f t="shared" si="29"/>
        <v>5637.1623115052116</v>
      </c>
      <c r="D471" s="11">
        <f t="shared" si="26"/>
        <v>157.22379868245906</v>
      </c>
      <c r="E471" s="11">
        <f t="shared" si="27"/>
        <v>975.87185389112562</v>
      </c>
      <c r="F471" s="11">
        <f>Speed_Calc!B$5*E471</f>
        <v>878.28466850201312</v>
      </c>
      <c r="G471" s="14">
        <f>Speed_Calc!G$3+Speed_Calc!G$5*A471^2</f>
        <v>27.587922499999998</v>
      </c>
      <c r="H471" s="7">
        <f>(F471-G471)/Speed_Calc!G$2*9.806</f>
        <v>6.1792091046635109</v>
      </c>
      <c r="I471" s="4">
        <f t="shared" si="28"/>
        <v>12.083333333333332</v>
      </c>
    </row>
    <row r="472" spans="1:9" x14ac:dyDescent="0.2">
      <c r="A472" s="11">
        <v>43.6</v>
      </c>
      <c r="B472" s="14">
        <v>3.133</v>
      </c>
      <c r="C472" s="11">
        <f t="shared" si="29"/>
        <v>5650.1213053247639</v>
      </c>
      <c r="D472" s="11">
        <f t="shared" si="26"/>
        <v>157.71851109867501</v>
      </c>
      <c r="E472" s="11">
        <f t="shared" si="27"/>
        <v>976.69720175784971</v>
      </c>
      <c r="F472" s="11">
        <f>Speed_Calc!B$5*E472</f>
        <v>879.02748158206475</v>
      </c>
      <c r="G472" s="14">
        <f>Speed_Calc!G$3+Speed_Calc!G$5*A472^2</f>
        <v>27.622849599999999</v>
      </c>
      <c r="H472" s="7">
        <f>(F472-G472)/Speed_Calc!G$2*9.806</f>
        <v>6.1843509786786122</v>
      </c>
      <c r="I472" s="4">
        <f t="shared" si="28"/>
        <v>12.111111111111111</v>
      </c>
    </row>
    <row r="473" spans="1:9" x14ac:dyDescent="0.2">
      <c r="A473" s="11">
        <v>43.7</v>
      </c>
      <c r="B473" s="14">
        <v>3.133</v>
      </c>
      <c r="C473" s="11">
        <f t="shared" si="29"/>
        <v>5663.080299144317</v>
      </c>
      <c r="D473" s="11">
        <f t="shared" si="26"/>
        <v>158.21444610914375</v>
      </c>
      <c r="E473" s="11">
        <f t="shared" si="27"/>
        <v>977.52632607480098</v>
      </c>
      <c r="F473" s="11">
        <f>Speed_Calc!B$5*E473</f>
        <v>879.77369346732087</v>
      </c>
      <c r="G473" s="14">
        <f>Speed_Calc!G$3+Speed_Calc!G$5*A473^2</f>
        <v>27.657856899999999</v>
      </c>
      <c r="H473" s="7">
        <f>(F473-G473)/Speed_Calc!G$2*9.806</f>
        <v>6.1895169580586282</v>
      </c>
      <c r="I473" s="4">
        <f t="shared" si="28"/>
        <v>12.138888888888889</v>
      </c>
    </row>
    <row r="474" spans="1:9" x14ac:dyDescent="0.2">
      <c r="A474" s="11">
        <v>43.8</v>
      </c>
      <c r="B474" s="14">
        <v>3.133</v>
      </c>
      <c r="C474" s="11">
        <f t="shared" si="29"/>
        <v>5676.0392929638683</v>
      </c>
      <c r="D474" s="11">
        <f t="shared" si="26"/>
        <v>158.71159697047253</v>
      </c>
      <c r="E474" s="11">
        <f t="shared" si="27"/>
        <v>978.35915940702239</v>
      </c>
      <c r="F474" s="11">
        <f>Speed_Calc!B$5*E474</f>
        <v>880.5232434663202</v>
      </c>
      <c r="G474" s="14">
        <f>Speed_Calc!G$3+Speed_Calc!G$5*A474^2</f>
        <v>27.692944399999998</v>
      </c>
      <c r="H474" s="7">
        <f>(F474-G474)/Speed_Calc!G$2*9.806</f>
        <v>6.1947066019587664</v>
      </c>
      <c r="I474" s="4">
        <f t="shared" si="28"/>
        <v>12.166666666666666</v>
      </c>
    </row>
    <row r="475" spans="1:9" x14ac:dyDescent="0.2">
      <c r="A475" s="11">
        <v>43.9</v>
      </c>
      <c r="B475" s="14">
        <v>3.133</v>
      </c>
      <c r="C475" s="11">
        <f t="shared" si="29"/>
        <v>5688.9982867834206</v>
      </c>
      <c r="D475" s="11">
        <f t="shared" si="26"/>
        <v>159.20995665888569</v>
      </c>
      <c r="E475" s="11">
        <f t="shared" si="27"/>
        <v>979.19563320954762</v>
      </c>
      <c r="F475" s="11">
        <f>Speed_Calc!B$5*E475</f>
        <v>881.27606988859293</v>
      </c>
      <c r="G475" s="14">
        <f>Speed_Calc!G$3+Speed_Calc!G$5*A475^2</f>
        <v>27.728112099999997</v>
      </c>
      <c r="H475" s="7">
        <f>(F475-G475)/Speed_Calc!G$2*9.806</f>
        <v>6.1999194622777347</v>
      </c>
      <c r="I475" s="4">
        <f t="shared" si="28"/>
        <v>12.194444444444443</v>
      </c>
    </row>
    <row r="476" spans="1:9" x14ac:dyDescent="0.2">
      <c r="A476" s="11">
        <v>44</v>
      </c>
      <c r="B476" s="14">
        <v>3.133</v>
      </c>
      <c r="C476" s="11">
        <f t="shared" si="29"/>
        <v>5701.9572806029728</v>
      </c>
      <c r="D476" s="11">
        <f t="shared" si="26"/>
        <v>159.7095178681692</v>
      </c>
      <c r="E476" s="11">
        <f t="shared" si="27"/>
        <v>980.03567782740197</v>
      </c>
      <c r="F476" s="11">
        <f>Speed_Calc!B$5*E476</f>
        <v>882.03211004466175</v>
      </c>
      <c r="G476" s="14">
        <f>Speed_Calc!G$3+Speed_Calc!G$5*A476^2</f>
        <v>27.763359999999999</v>
      </c>
      <c r="H476" s="7">
        <f>(F476-G476)/Speed_Calc!G$2*9.806</f>
        <v>6.2051550836577425</v>
      </c>
      <c r="I476" s="4">
        <f t="shared" si="28"/>
        <v>12.222222222222221</v>
      </c>
    </row>
    <row r="477" spans="1:9" x14ac:dyDescent="0.2">
      <c r="A477" s="11">
        <v>44.1</v>
      </c>
      <c r="B477" s="14">
        <v>3.133</v>
      </c>
      <c r="C477" s="11">
        <f t="shared" si="29"/>
        <v>5714.9162744225259</v>
      </c>
      <c r="D477" s="11">
        <f t="shared" si="26"/>
        <v>160.21027300761546</v>
      </c>
      <c r="E477" s="11">
        <f t="shared" si="27"/>
        <v>980.87922249560461</v>
      </c>
      <c r="F477" s="11">
        <f>Speed_Calc!B$5*E477</f>
        <v>882.79130024604422</v>
      </c>
      <c r="G477" s="14">
        <f>Speed_Calc!G$3+Speed_Calc!G$5*A477^2</f>
        <v>27.7986881</v>
      </c>
      <c r="H477" s="7">
        <f>(F477-G477)/Speed_Calc!G$2*9.806</f>
        <v>6.2104130034845246</v>
      </c>
      <c r="I477" s="4">
        <f t="shared" si="28"/>
        <v>12.25</v>
      </c>
    </row>
    <row r="478" spans="1:9" x14ac:dyDescent="0.2">
      <c r="A478" s="11">
        <v>44.2</v>
      </c>
      <c r="B478" s="14">
        <v>3.133</v>
      </c>
      <c r="C478" s="11">
        <f t="shared" si="29"/>
        <v>5727.8752682420782</v>
      </c>
      <c r="D478" s="11">
        <f t="shared" si="26"/>
        <v>160.7122141999659</v>
      </c>
      <c r="E478" s="11">
        <f t="shared" si="27"/>
        <v>981.72619533915804</v>
      </c>
      <c r="F478" s="11">
        <f>Speed_Calc!B$5*E478</f>
        <v>883.5535758052423</v>
      </c>
      <c r="G478" s="14">
        <f>Speed_Calc!G$3+Speed_Calc!G$5*A478^2</f>
        <v>27.8340964</v>
      </c>
      <c r="H478" s="7">
        <f>(F478-G478)/Speed_Calc!G$2*9.806</f>
        <v>6.2156927518872633</v>
      </c>
      <c r="I478" s="4">
        <f t="shared" si="28"/>
        <v>12.277777777777779</v>
      </c>
    </row>
    <row r="479" spans="1:9" x14ac:dyDescent="0.2">
      <c r="A479" s="11">
        <v>44.3</v>
      </c>
      <c r="B479" s="14">
        <v>3.133</v>
      </c>
      <c r="C479" s="11">
        <f t="shared" si="29"/>
        <v>5740.8342620616286</v>
      </c>
      <c r="D479" s="11">
        <f t="shared" si="26"/>
        <v>161.21533327935893</v>
      </c>
      <c r="E479" s="11">
        <f t="shared" si="27"/>
        <v>982.57652337306797</v>
      </c>
      <c r="F479" s="11">
        <f>Speed_Calc!B$5*E479</f>
        <v>884.31887103576116</v>
      </c>
      <c r="G479" s="14">
        <f>Speed_Calc!G$3+Speed_Calc!G$5*A479^2</f>
        <v>27.8695849</v>
      </c>
      <c r="H479" s="7">
        <f>(F479-G479)/Speed_Calc!G$2*9.806</f>
        <v>6.2209938517387213</v>
      </c>
      <c r="I479" s="4">
        <f t="shared" si="28"/>
        <v>12.305555555555554</v>
      </c>
    </row>
    <row r="480" spans="1:9" x14ac:dyDescent="0.2">
      <c r="A480" s="11">
        <v>44.4</v>
      </c>
      <c r="B480" s="14">
        <v>3.133</v>
      </c>
      <c r="C480" s="11">
        <f t="shared" si="29"/>
        <v>5753.7932558811808</v>
      </c>
      <c r="D480" s="11">
        <f t="shared" si="26"/>
        <v>161.71962178927072</v>
      </c>
      <c r="E480" s="11">
        <f t="shared" si="27"/>
        <v>983.43013250232229</v>
      </c>
      <c r="F480" s="11">
        <f>Speed_Calc!B$5*E480</f>
        <v>885.08711925209013</v>
      </c>
      <c r="G480" s="14">
        <f>Speed_Calc!G$3+Speed_Calc!G$5*A480^2</f>
        <v>27.905153599999998</v>
      </c>
      <c r="H480" s="7">
        <f>(F480-G480)/Speed_Calc!G$2*9.806</f>
        <v>6.2263158186551086</v>
      </c>
      <c r="I480" s="4">
        <f t="shared" si="28"/>
        <v>12.333333333333332</v>
      </c>
    </row>
    <row r="481" spans="1:9" x14ac:dyDescent="0.2">
      <c r="A481" s="11">
        <v>44.5</v>
      </c>
      <c r="B481" s="14">
        <v>3.133</v>
      </c>
      <c r="C481" s="11">
        <f t="shared" si="29"/>
        <v>5766.752249700734</v>
      </c>
      <c r="D481" s="11">
        <f t="shared" si="26"/>
        <v>162.22507098046182</v>
      </c>
      <c r="E481" s="11">
        <f t="shared" si="27"/>
        <v>984.28694752190336</v>
      </c>
      <c r="F481" s="11">
        <f>Speed_Calc!B$5*E481</f>
        <v>885.85825276971309</v>
      </c>
      <c r="G481" s="14">
        <f>Speed_Calc!G$3+Speed_Calc!G$5*A481^2</f>
        <v>27.9408025</v>
      </c>
      <c r="H481" s="7">
        <f>(F481-G481)/Speed_Calc!G$2*9.806</f>
        <v>6.2316581609961528</v>
      </c>
      <c r="I481" s="4">
        <f t="shared" si="28"/>
        <v>12.361111111111111</v>
      </c>
    </row>
    <row r="482" spans="1:9" x14ac:dyDescent="0.2">
      <c r="A482" s="11">
        <v>44.6</v>
      </c>
      <c r="B482" s="14">
        <v>3.133</v>
      </c>
      <c r="C482" s="11">
        <f t="shared" si="29"/>
        <v>5779.7112435202862</v>
      </c>
      <c r="D482" s="11">
        <f t="shared" si="26"/>
        <v>162.73167180892045</v>
      </c>
      <c r="E482" s="11">
        <f t="shared" si="27"/>
        <v>985.14689211678296</v>
      </c>
      <c r="F482" s="11">
        <f>Speed_Calc!B$5*E482</f>
        <v>886.63220290510469</v>
      </c>
      <c r="G482" s="14">
        <f>Speed_Calc!G$3+Speed_Calc!G$5*A482^2</f>
        <v>27.976531600000001</v>
      </c>
      <c r="H482" s="7">
        <f>(F482-G482)/Speed_Calc!G$2*9.806</f>
        <v>6.2370203798650783</v>
      </c>
      <c r="I482" s="4">
        <f t="shared" si="28"/>
        <v>12.388888888888889</v>
      </c>
    </row>
    <row r="483" spans="1:9" x14ac:dyDescent="0.2">
      <c r="A483" s="11">
        <v>44.7</v>
      </c>
      <c r="B483" s="14">
        <v>3.133</v>
      </c>
      <c r="C483" s="11">
        <f t="shared" si="29"/>
        <v>5792.6702373398393</v>
      </c>
      <c r="D483" s="11">
        <f t="shared" si="26"/>
        <v>163.23941493380838</v>
      </c>
      <c r="E483" s="11">
        <f t="shared" si="27"/>
        <v>986.00988886192965</v>
      </c>
      <c r="F483" s="11">
        <f>Speed_Calc!B$5*E483</f>
        <v>887.40889997573674</v>
      </c>
      <c r="G483" s="14">
        <f>Speed_Calc!G$3+Speed_Calc!G$5*A483^2</f>
        <v>28.012340899999998</v>
      </c>
      <c r="H483" s="7">
        <f>(F483-G483)/Speed_Calc!G$2*9.806</f>
        <v>6.2424019691086476</v>
      </c>
      <c r="I483" s="4">
        <f t="shared" si="28"/>
        <v>12.416666666666668</v>
      </c>
    </row>
    <row r="484" spans="1:9" x14ac:dyDescent="0.2">
      <c r="A484" s="11">
        <v>44.8</v>
      </c>
      <c r="B484" s="14">
        <v>3.133</v>
      </c>
      <c r="C484" s="11">
        <f t="shared" si="29"/>
        <v>5805.6292311593897</v>
      </c>
      <c r="D484" s="11">
        <f t="shared" si="26"/>
        <v>163.74829071540361</v>
      </c>
      <c r="E484" s="11">
        <f t="shared" si="27"/>
        <v>986.87585922229869</v>
      </c>
      <c r="F484" s="11">
        <f>Speed_Calc!B$5*E484</f>
        <v>888.18827330006889</v>
      </c>
      <c r="G484" s="14">
        <f>Speed_Calc!G$3+Speed_Calc!G$5*A484^2</f>
        <v>28.048230399999998</v>
      </c>
      <c r="H484" s="7">
        <f>(F484-G484)/Speed_Calc!G$2*9.806</f>
        <v>6.2478024153170928</v>
      </c>
      <c r="I484" s="4">
        <f t="shared" si="28"/>
        <v>12.444444444444443</v>
      </c>
    </row>
    <row r="485" spans="1:9" x14ac:dyDescent="0.2">
      <c r="A485" s="11">
        <v>44.9</v>
      </c>
      <c r="B485" s="14">
        <v>3.133</v>
      </c>
      <c r="C485" s="11">
        <f t="shared" si="29"/>
        <v>5818.5882249789429</v>
      </c>
      <c r="D485" s="11">
        <f t="shared" ref="D485:D548" si="30">-4.687*10^(-17)*C485^5+9.129*10^(-13)*C485^4-6.175*10^(-9)*C485^3+1.799*10^(-5)*C485^2+6.502*10^(-3)*C485</f>
        <v>164.25828921304532</v>
      </c>
      <c r="E485" s="11">
        <f t="shared" si="27"/>
        <v>987.74472355283353</v>
      </c>
      <c r="F485" s="11">
        <f>Speed_Calc!B$5*E485</f>
        <v>888.97025119755017</v>
      </c>
      <c r="G485" s="14">
        <f>Speed_Calc!G$3+Speed_Calc!G$5*A485^2</f>
        <v>28.084200099999997</v>
      </c>
      <c r="H485" s="7">
        <f>(F485-G485)/Speed_Calc!G$2*9.806</f>
        <v>6.2532211978241312</v>
      </c>
      <c r="I485" s="4">
        <f t="shared" si="28"/>
        <v>12.472222222222221</v>
      </c>
    </row>
    <row r="486" spans="1:9" x14ac:dyDescent="0.2">
      <c r="A486" s="11">
        <v>45</v>
      </c>
      <c r="B486" s="14">
        <v>3.133</v>
      </c>
      <c r="C486" s="11">
        <f t="shared" si="29"/>
        <v>5831.5472187984951</v>
      </c>
      <c r="D486" s="11">
        <f t="shared" si="30"/>
        <v>164.7694001830794</v>
      </c>
      <c r="E486" s="11">
        <f t="shared" ref="E486:E549" si="31">D486*75*B486*B$31*B$32/B$23/C486/2/PI()*60</f>
        <v>988.61640109847633</v>
      </c>
      <c r="F486" s="11">
        <f>Speed_Calc!B$5*E486</f>
        <v>889.75476098862873</v>
      </c>
      <c r="G486" s="14">
        <f>Speed_Calc!G$3+Speed_Calc!G$5*A486^2</f>
        <v>28.120249999999999</v>
      </c>
      <c r="H486" s="7">
        <f>(F486-G486)/Speed_Calc!G$2*9.806</f>
        <v>6.2586577887070316</v>
      </c>
      <c r="I486" s="4">
        <f t="shared" ref="I486:I549" si="32">A486/3.6</f>
        <v>12.5</v>
      </c>
    </row>
    <row r="487" spans="1:9" x14ac:dyDescent="0.2">
      <c r="A487" s="11">
        <v>45.1</v>
      </c>
      <c r="B487" s="14">
        <v>3.133</v>
      </c>
      <c r="C487" s="11">
        <f t="shared" si="29"/>
        <v>5844.5062126180483</v>
      </c>
      <c r="D487" s="11">
        <f t="shared" si="30"/>
        <v>165.2816130768017</v>
      </c>
      <c r="E487" s="11">
        <f t="shared" si="31"/>
        <v>989.49080999415639</v>
      </c>
      <c r="F487" s="11">
        <f>Speed_Calc!B$5*E487</f>
        <v>890.54172899474077</v>
      </c>
      <c r="G487" s="14">
        <f>Speed_Calc!G$3+Speed_Calc!G$5*A487^2</f>
        <v>28.1563801</v>
      </c>
      <c r="H487" s="7">
        <f>(F487-G487)/Speed_Calc!G$2*9.806</f>
        <v>6.2641116527865384</v>
      </c>
      <c r="I487" s="4">
        <f t="shared" si="32"/>
        <v>12.527777777777779</v>
      </c>
    </row>
    <row r="488" spans="1:9" x14ac:dyDescent="0.2">
      <c r="A488" s="11">
        <v>45.2</v>
      </c>
      <c r="B488" s="14">
        <v>3.133</v>
      </c>
      <c r="C488" s="11">
        <f t="shared" si="29"/>
        <v>5857.4652064375996</v>
      </c>
      <c r="D488" s="11">
        <f t="shared" si="30"/>
        <v>165.79491703840287</v>
      </c>
      <c r="E488" s="11">
        <f t="shared" si="31"/>
        <v>990.3678672647959</v>
      </c>
      <c r="F488" s="11">
        <f>Speed_Calc!B$5*E488</f>
        <v>891.33108053831631</v>
      </c>
      <c r="G488" s="14">
        <f>Speed_Calc!G$3+Speed_Calc!G$5*A488^2</f>
        <v>28.1925904</v>
      </c>
      <c r="H488" s="7">
        <f>(F488-G488)/Speed_Calc!G$2*9.806</f>
        <v>6.2695822476269107</v>
      </c>
      <c r="I488" s="4">
        <f t="shared" si="32"/>
        <v>12.555555555555555</v>
      </c>
    </row>
    <row r="489" spans="1:9" x14ac:dyDescent="0.2">
      <c r="A489" s="11">
        <v>45.3</v>
      </c>
      <c r="B489" s="14">
        <v>3.133</v>
      </c>
      <c r="C489" s="11">
        <f t="shared" si="29"/>
        <v>5870.4242002571509</v>
      </c>
      <c r="D489" s="11">
        <f t="shared" si="30"/>
        <v>166.30930090291287</v>
      </c>
      <c r="E489" s="11">
        <f t="shared" si="31"/>
        <v>991.24748882530878</v>
      </c>
      <c r="F489" s="11">
        <f>Speed_Calc!B$5*E489</f>
        <v>892.12273994277791</v>
      </c>
      <c r="G489" s="14">
        <f>Speed_Calc!G$3+Speed_Calc!G$5*A489^2</f>
        <v>28.2288809</v>
      </c>
      <c r="H489" s="7">
        <f>(F489-G489)/Speed_Calc!G$2*9.806</f>
        <v>6.2750690235359103</v>
      </c>
      <c r="I489" s="4">
        <f t="shared" si="32"/>
        <v>12.583333333333332</v>
      </c>
    </row>
    <row r="490" spans="1:9" x14ac:dyDescent="0.2">
      <c r="A490" s="11">
        <v>45.4</v>
      </c>
      <c r="B490" s="14">
        <v>3.133</v>
      </c>
      <c r="C490" s="11">
        <f t="shared" si="29"/>
        <v>5883.3831940767031</v>
      </c>
      <c r="D490" s="11">
        <f t="shared" si="30"/>
        <v>166.82475319414428</v>
      </c>
      <c r="E490" s="11">
        <f t="shared" si="31"/>
        <v>992.12958948059395</v>
      </c>
      <c r="F490" s="11">
        <f>Speed_Calc!B$5*E490</f>
        <v>892.91663053253455</v>
      </c>
      <c r="G490" s="14">
        <f>Speed_Calc!G$3+Speed_Calc!G$5*A490^2</f>
        <v>28.265251599999999</v>
      </c>
      <c r="H490" s="7">
        <f>(F490-G490)/Speed_Calc!G$2*9.806</f>
        <v>6.2805714235647647</v>
      </c>
      <c r="I490" s="4">
        <f t="shared" si="32"/>
        <v>12.611111111111111</v>
      </c>
    </row>
    <row r="491" spans="1:9" x14ac:dyDescent="0.2">
      <c r="A491" s="11">
        <v>45.5</v>
      </c>
      <c r="B491" s="14">
        <v>3.133</v>
      </c>
      <c r="C491" s="11">
        <f t="shared" ref="C491:C554" si="33">A491/3.6/B$23/2/PI()*B$32*B$31*B491*60</f>
        <v>5896.3421878962554</v>
      </c>
      <c r="D491" s="11">
        <f t="shared" si="30"/>
        <v>167.34126212263891</v>
      </c>
      <c r="E491" s="11">
        <f t="shared" si="31"/>
        <v>993.01408292554959</v>
      </c>
      <c r="F491" s="11">
        <f>Speed_Calc!B$5*E491</f>
        <v>893.71267463299466</v>
      </c>
      <c r="G491" s="14">
        <f>Speed_Calc!G$3+Speed_Calc!G$5*A491^2</f>
        <v>28.301702499999998</v>
      </c>
      <c r="H491" s="7">
        <f>(F491-G491)/Speed_Calc!G$2*9.806</f>
        <v>6.2860888835082553</v>
      </c>
      <c r="I491" s="4">
        <f t="shared" si="32"/>
        <v>12.638888888888889</v>
      </c>
    </row>
    <row r="492" spans="1:9" x14ac:dyDescent="0.2">
      <c r="A492" s="11">
        <v>45.6</v>
      </c>
      <c r="B492" s="14">
        <v>3.133</v>
      </c>
      <c r="C492" s="11">
        <f t="shared" si="33"/>
        <v>5909.3011817158076</v>
      </c>
      <c r="D492" s="11">
        <f t="shared" si="30"/>
        <v>167.85881558361058</v>
      </c>
      <c r="E492" s="11">
        <f t="shared" si="31"/>
        <v>993.90088174506252</v>
      </c>
      <c r="F492" s="11">
        <f>Speed_Calc!B$5*E492</f>
        <v>894.5107935705563</v>
      </c>
      <c r="G492" s="14">
        <f>Speed_Calc!G$3+Speed_Calc!G$5*A492^2</f>
        <v>28.338233600000002</v>
      </c>
      <c r="H492" s="7">
        <f>(F492-G492)/Speed_Calc!G$2*9.806</f>
        <v>6.2916208319046483</v>
      </c>
      <c r="I492" s="4">
        <f t="shared" si="32"/>
        <v>12.666666666666666</v>
      </c>
    </row>
    <row r="493" spans="1:9" x14ac:dyDescent="0.2">
      <c r="A493" s="11">
        <v>45.7</v>
      </c>
      <c r="B493" s="14">
        <v>3.133</v>
      </c>
      <c r="C493" s="11">
        <f t="shared" si="33"/>
        <v>5922.2601755353608</v>
      </c>
      <c r="D493" s="11">
        <f t="shared" si="30"/>
        <v>168.37740115489049</v>
      </c>
      <c r="E493" s="11">
        <f t="shared" si="31"/>
        <v>994.78989741401381</v>
      </c>
      <c r="F493" s="11">
        <f>Speed_Calc!B$5*E493</f>
        <v>895.31090767261242</v>
      </c>
      <c r="G493" s="14">
        <f>Speed_Calc!G$3+Speed_Calc!G$5*A493^2</f>
        <v>28.374844899999999</v>
      </c>
      <c r="H493" s="7">
        <f>(F493-G493)/Speed_Calc!G$2*9.806</f>
        <v>6.2971666900357306</v>
      </c>
      <c r="I493" s="4">
        <f t="shared" si="32"/>
        <v>12.694444444444445</v>
      </c>
    </row>
    <row r="494" spans="1:9" x14ac:dyDescent="0.2">
      <c r="A494" s="11">
        <v>45.8</v>
      </c>
      <c r="B494" s="14">
        <v>3.133</v>
      </c>
      <c r="C494" s="11">
        <f t="shared" si="33"/>
        <v>5935.2191693549121</v>
      </c>
      <c r="D494" s="11">
        <f t="shared" si="30"/>
        <v>168.89700609486988</v>
      </c>
      <c r="E494" s="11">
        <f t="shared" si="31"/>
        <v>995.68104029726817</v>
      </c>
      <c r="F494" s="11">
        <f>Speed_Calc!B$5*E494</f>
        <v>896.11293626754139</v>
      </c>
      <c r="G494" s="14">
        <f>Speed_Calc!G$3+Speed_Calc!G$5*A494^2</f>
        <v>28.411536399999999</v>
      </c>
      <c r="H494" s="7">
        <f>(F494-G494)/Speed_Calc!G$2*9.806</f>
        <v>6.3027258719267474</v>
      </c>
      <c r="I494" s="4">
        <f t="shared" si="32"/>
        <v>12.722222222222221</v>
      </c>
    </row>
    <row r="495" spans="1:9" x14ac:dyDescent="0.2">
      <c r="A495" s="11">
        <v>45.9</v>
      </c>
      <c r="B495" s="14">
        <v>3.133</v>
      </c>
      <c r="C495" s="11">
        <f t="shared" si="33"/>
        <v>5948.1781631744652</v>
      </c>
      <c r="D495" s="11">
        <f t="shared" si="30"/>
        <v>169.41761734044709</v>
      </c>
      <c r="E495" s="11">
        <f t="shared" si="31"/>
        <v>996.57421964968887</v>
      </c>
      <c r="F495" s="11">
        <f>Speed_Calc!B$5*E495</f>
        <v>896.91679768472</v>
      </c>
      <c r="G495" s="14">
        <f>Speed_Calc!G$3+Speed_Calc!G$5*A495^2</f>
        <v>28.448308099999998</v>
      </c>
      <c r="H495" s="7">
        <f>(F495-G495)/Speed_Calc!G$2*9.806</f>
        <v>6.3082977843464914</v>
      </c>
      <c r="I495" s="4">
        <f t="shared" si="32"/>
        <v>12.75</v>
      </c>
    </row>
    <row r="496" spans="1:9" x14ac:dyDescent="0.2">
      <c r="A496" s="11">
        <v>46</v>
      </c>
      <c r="B496" s="14">
        <v>3.133</v>
      </c>
      <c r="C496" s="11">
        <f t="shared" si="33"/>
        <v>5961.1371569940166</v>
      </c>
      <c r="D496" s="11">
        <f t="shared" si="30"/>
        <v>169.93922150496968</v>
      </c>
      <c r="E496" s="11">
        <f t="shared" si="31"/>
        <v>997.46934361612648</v>
      </c>
      <c r="F496" s="11">
        <f>Speed_Calc!B$5*E496</f>
        <v>897.72240925451388</v>
      </c>
      <c r="G496" s="14">
        <f>Speed_Calc!G$3+Speed_Calc!G$5*A496^2</f>
        <v>28.48516</v>
      </c>
      <c r="H496" s="7">
        <f>(F496-G496)/Speed_Calc!G$2*9.806</f>
        <v>6.313881826807231</v>
      </c>
      <c r="I496" s="4">
        <f t="shared" si="32"/>
        <v>12.777777777777777</v>
      </c>
    </row>
    <row r="497" spans="1:9" x14ac:dyDescent="0.2">
      <c r="A497" s="11">
        <v>46.1</v>
      </c>
      <c r="B497" s="14">
        <v>3.133</v>
      </c>
      <c r="C497" s="11">
        <f t="shared" si="33"/>
        <v>5974.0961508135679</v>
      </c>
      <c r="D497" s="11">
        <f t="shared" si="30"/>
        <v>170.46180487618031</v>
      </c>
      <c r="E497" s="11">
        <f t="shared" si="31"/>
        <v>998.36631923142488</v>
      </c>
      <c r="F497" s="11">
        <f>Speed_Calc!B$5*E497</f>
        <v>898.5296873082824</v>
      </c>
      <c r="G497" s="14">
        <f>Speed_Calc!G$3+Speed_Calc!G$5*A497^2</f>
        <v>28.522092100000002</v>
      </c>
      <c r="H497" s="7">
        <f>(F497-G497)/Speed_Calc!G$2*9.806</f>
        <v>6.3194773915647531</v>
      </c>
      <c r="I497" s="4">
        <f t="shared" si="32"/>
        <v>12.805555555555555</v>
      </c>
    </row>
    <row r="498" spans="1:9" x14ac:dyDescent="0.2">
      <c r="A498" s="11">
        <v>46.2</v>
      </c>
      <c r="B498" s="14">
        <v>3.133</v>
      </c>
      <c r="C498" s="11">
        <f t="shared" si="33"/>
        <v>5987.0551446331228</v>
      </c>
      <c r="D498" s="11">
        <f t="shared" si="30"/>
        <v>170.9853534141605</v>
      </c>
      <c r="E498" s="11">
        <f t="shared" si="31"/>
        <v>999.26505242041844</v>
      </c>
      <c r="F498" s="11">
        <f>Speed_Calc!B$5*E498</f>
        <v>899.33854717837664</v>
      </c>
      <c r="G498" s="14">
        <f>Speed_Calc!G$3+Speed_Calc!G$5*A498^2</f>
        <v>28.559104399999999</v>
      </c>
      <c r="H498" s="7">
        <f>(F498-G498)/Speed_Calc!G$2*9.806</f>
        <v>6.3250838636183415</v>
      </c>
      <c r="I498" s="4">
        <f t="shared" si="32"/>
        <v>12.833333333333334</v>
      </c>
    </row>
    <row r="499" spans="1:9" x14ac:dyDescent="0.2">
      <c r="A499" s="11">
        <v>46.3</v>
      </c>
      <c r="B499" s="14">
        <v>3.133</v>
      </c>
      <c r="C499" s="11">
        <f t="shared" si="33"/>
        <v>6000.0141384526733</v>
      </c>
      <c r="D499" s="11">
        <f t="shared" si="30"/>
        <v>171.50985274927527</v>
      </c>
      <c r="E499" s="11">
        <f t="shared" si="31"/>
        <v>1000.1654479979336</v>
      </c>
      <c r="F499" s="11">
        <f>Speed_Calc!B$5*E499</f>
        <v>900.14890319814026</v>
      </c>
      <c r="G499" s="14">
        <f>Speed_Calc!G$3+Speed_Calc!G$5*A499^2</f>
        <v>28.596196899999995</v>
      </c>
      <c r="H499" s="7">
        <f>(F499-G499)/Speed_Calc!G$2*9.806</f>
        <v>6.3307006207107879</v>
      </c>
      <c r="I499" s="4">
        <f t="shared" si="32"/>
        <v>12.861111111111111</v>
      </c>
    </row>
    <row r="500" spans="1:9" x14ac:dyDescent="0.2">
      <c r="A500" s="11">
        <v>46.4</v>
      </c>
      <c r="B500" s="14">
        <v>3.133</v>
      </c>
      <c r="C500" s="11">
        <f t="shared" si="33"/>
        <v>6012.9731322722255</v>
      </c>
      <c r="D500" s="11">
        <f t="shared" si="30"/>
        <v>172.03528818011767</v>
      </c>
      <c r="E500" s="11">
        <f t="shared" si="31"/>
        <v>1001.0674096687882</v>
      </c>
      <c r="F500" s="11">
        <f>Speed_Calc!B$5*E500</f>
        <v>900.96066870190941</v>
      </c>
      <c r="G500" s="14">
        <f>Speed_Calc!G$3+Speed_Calc!G$5*A500^2</f>
        <v>28.633369600000002</v>
      </c>
      <c r="H500" s="7">
        <f>(F500-G500)/Speed_Calc!G$2*9.806</f>
        <v>6.336327033328387</v>
      </c>
      <c r="I500" s="4">
        <f t="shared" si="32"/>
        <v>12.888888888888888</v>
      </c>
    </row>
    <row r="501" spans="1:9" x14ac:dyDescent="0.2">
      <c r="A501" s="11">
        <v>46.5</v>
      </c>
      <c r="B501" s="14">
        <v>3.133</v>
      </c>
      <c r="C501" s="11">
        <f t="shared" si="33"/>
        <v>6025.9321260917777</v>
      </c>
      <c r="D501" s="11">
        <f t="shared" si="30"/>
        <v>172.5616446714522</v>
      </c>
      <c r="E501" s="11">
        <f t="shared" si="31"/>
        <v>1001.9708400277871</v>
      </c>
      <c r="F501" s="11">
        <f>Speed_Calc!B$5*E501</f>
        <v>901.77375602500842</v>
      </c>
      <c r="G501" s="14">
        <f>Speed_Calc!G$3+Speed_Calc!G$5*A501^2</f>
        <v>28.6706225</v>
      </c>
      <c r="H501" s="7">
        <f>(F501-G501)/Speed_Calc!G$2*9.806</f>
        <v>6.3419624647009121</v>
      </c>
      <c r="I501" s="4">
        <f t="shared" si="32"/>
        <v>12.916666666666666</v>
      </c>
    </row>
    <row r="502" spans="1:9" x14ac:dyDescent="0.2">
      <c r="A502" s="11">
        <v>46.6</v>
      </c>
      <c r="B502" s="14">
        <v>3.133</v>
      </c>
      <c r="C502" s="11">
        <f t="shared" si="33"/>
        <v>6038.8911199113309</v>
      </c>
      <c r="D502" s="11">
        <f t="shared" si="30"/>
        <v>173.0889068521617</v>
      </c>
      <c r="E502" s="11">
        <f t="shared" si="31"/>
        <v>1002.875640559735</v>
      </c>
      <c r="F502" s="11">
        <f>Speed_Calc!B$5*E502</f>
        <v>902.5880765037615</v>
      </c>
      <c r="G502" s="14">
        <f>Speed_Calc!G$3+Speed_Calc!G$5*A502^2</f>
        <v>28.707955599999998</v>
      </c>
      <c r="H502" s="7">
        <f>(F502-G502)/Speed_Calc!G$2*9.806</f>
        <v>6.347606270801692</v>
      </c>
      <c r="I502" s="4">
        <f t="shared" si="32"/>
        <v>12.944444444444445</v>
      </c>
    </row>
    <row r="503" spans="1:9" x14ac:dyDescent="0.2">
      <c r="A503" s="11">
        <v>46.7</v>
      </c>
      <c r="B503" s="14">
        <v>3.133</v>
      </c>
      <c r="C503" s="11">
        <f t="shared" si="33"/>
        <v>6051.8501137308822</v>
      </c>
      <c r="D503" s="11">
        <f t="shared" si="30"/>
        <v>173.61705901318879</v>
      </c>
      <c r="E503" s="11">
        <f t="shared" si="31"/>
        <v>1003.7817116394214</v>
      </c>
      <c r="F503" s="11">
        <f>Speed_Calc!B$5*E503</f>
        <v>903.40354047547919</v>
      </c>
      <c r="G503" s="14">
        <f>Speed_Calc!G$3+Speed_Calc!G$5*A503^2</f>
        <v>28.745368900000003</v>
      </c>
      <c r="H503" s="7">
        <f>(F503-G503)/Speed_Calc!G$2*9.806</f>
        <v>6.3532578003475164</v>
      </c>
      <c r="I503" s="4">
        <f t="shared" si="32"/>
        <v>12.972222222222223</v>
      </c>
    </row>
    <row r="504" spans="1:9" x14ac:dyDescent="0.2">
      <c r="A504" s="11">
        <v>46.8</v>
      </c>
      <c r="B504" s="14">
        <v>3.133</v>
      </c>
      <c r="C504" s="11">
        <f t="shared" si="33"/>
        <v>6064.8091075504344</v>
      </c>
      <c r="D504" s="11">
        <f t="shared" si="30"/>
        <v>174.14608510548194</v>
      </c>
      <c r="E504" s="11">
        <f t="shared" si="31"/>
        <v>1004.6889525316268</v>
      </c>
      <c r="F504" s="11">
        <f>Speed_Calc!B$5*E504</f>
        <v>904.22005727846408</v>
      </c>
      <c r="G504" s="14">
        <f>Speed_Calc!G$3+Speed_Calc!G$5*A504^2</f>
        <v>28.782862399999999</v>
      </c>
      <c r="H504" s="7">
        <f>(F504-G504)/Speed_Calc!G$2*9.806</f>
        <v>6.3589163947986806</v>
      </c>
      <c r="I504" s="4">
        <f t="shared" si="32"/>
        <v>12.999999999999998</v>
      </c>
    </row>
    <row r="505" spans="1:9" x14ac:dyDescent="0.2">
      <c r="A505" s="11">
        <v>46.9</v>
      </c>
      <c r="B505" s="14">
        <v>3.133</v>
      </c>
      <c r="C505" s="11">
        <f t="shared" si="33"/>
        <v>6077.7681013699867</v>
      </c>
      <c r="D505" s="11">
        <f t="shared" si="30"/>
        <v>174.67596873794059</v>
      </c>
      <c r="E505" s="11">
        <f t="shared" si="31"/>
        <v>1005.5972613911293</v>
      </c>
      <c r="F505" s="11">
        <f>Speed_Calc!B$5*E505</f>
        <v>905.03753525201637</v>
      </c>
      <c r="G505" s="14">
        <f>Speed_Calc!G$3+Speed_Calc!G$5*A505^2</f>
        <v>28.820436099999998</v>
      </c>
      <c r="H505" s="7">
        <f>(F505-G505)/Speed_Calc!G$2*9.806</f>
        <v>6.3645813883590154</v>
      </c>
      <c r="I505" s="4">
        <f t="shared" si="32"/>
        <v>13.027777777777777</v>
      </c>
    </row>
    <row r="506" spans="1:9" x14ac:dyDescent="0.2">
      <c r="A506" s="11">
        <v>47</v>
      </c>
      <c r="B506" s="14">
        <v>3.133</v>
      </c>
      <c r="C506" s="11">
        <f t="shared" si="33"/>
        <v>6090.7270951895389</v>
      </c>
      <c r="D506" s="11">
        <f t="shared" si="30"/>
        <v>175.20669317535757</v>
      </c>
      <c r="E506" s="11">
        <f t="shared" si="31"/>
        <v>1006.5065352626925</v>
      </c>
      <c r="F506" s="11">
        <f>Speed_Calc!B$5*E506</f>
        <v>905.85588173642327</v>
      </c>
      <c r="G506" s="14">
        <f>Speed_Calc!G$3+Speed_Calc!G$5*A506^2</f>
        <v>28.858089999999997</v>
      </c>
      <c r="H506" s="7">
        <f>(F506-G506)/Speed_Calc!G$2*9.806</f>
        <v>6.3702521079758272</v>
      </c>
      <c r="I506" s="4">
        <f t="shared" si="32"/>
        <v>13.055555555555555</v>
      </c>
    </row>
    <row r="507" spans="1:9" x14ac:dyDescent="0.2">
      <c r="A507" s="11">
        <v>47.1</v>
      </c>
      <c r="B507" s="14">
        <v>3.133</v>
      </c>
      <c r="C507" s="11">
        <f t="shared" si="33"/>
        <v>6103.6860890090929</v>
      </c>
      <c r="D507" s="11">
        <f t="shared" si="30"/>
        <v>175.73824133636475</v>
      </c>
      <c r="E507" s="11">
        <f t="shared" si="31"/>
        <v>1007.4166700810716</v>
      </c>
      <c r="F507" s="11">
        <f>Speed_Calc!B$5*E507</f>
        <v>906.6750030729645</v>
      </c>
      <c r="G507" s="14">
        <f>Speed_Calc!G$3+Speed_Calc!G$5*A507^2</f>
        <v>28.895824099999999</v>
      </c>
      <c r="H507" s="7">
        <f>(F507-G507)/Speed_Calc!G$2*9.806</f>
        <v>6.3759278733399176</v>
      </c>
      <c r="I507" s="4">
        <f t="shared" si="32"/>
        <v>13.083333333333334</v>
      </c>
    </row>
    <row r="508" spans="1:9" x14ac:dyDescent="0.2">
      <c r="A508" s="11">
        <v>47.2</v>
      </c>
      <c r="B508" s="14">
        <v>3.133</v>
      </c>
      <c r="C508" s="11">
        <f t="shared" si="33"/>
        <v>6116.6450828286434</v>
      </c>
      <c r="D508" s="11">
        <f t="shared" si="30"/>
        <v>176.27059579137759</v>
      </c>
      <c r="E508" s="11">
        <f t="shared" si="31"/>
        <v>1008.327560671016</v>
      </c>
      <c r="F508" s="11">
        <f>Speed_Calc!B$5*E508</f>
        <v>907.49480460391442</v>
      </c>
      <c r="G508" s="14">
        <f>Speed_Calc!G$3+Speed_Calc!G$5*A508^2</f>
        <v>28.9336384</v>
      </c>
      <c r="H508" s="7">
        <f>(F508-G508)/Speed_Calc!G$2*9.806</f>
        <v>6.3816079968856183</v>
      </c>
      <c r="I508" s="4">
        <f t="shared" si="32"/>
        <v>13.111111111111111</v>
      </c>
    </row>
    <row r="509" spans="1:9" x14ac:dyDescent="0.2">
      <c r="A509" s="11">
        <v>47.3</v>
      </c>
      <c r="B509" s="14">
        <v>3.133</v>
      </c>
      <c r="C509" s="11">
        <f t="shared" si="33"/>
        <v>6129.6040766481947</v>
      </c>
      <c r="D509" s="11">
        <f t="shared" si="30"/>
        <v>176.80373876053872</v>
      </c>
      <c r="E509" s="11">
        <f t="shared" si="31"/>
        <v>1009.2391007472612</v>
      </c>
      <c r="F509" s="11">
        <f>Speed_Calc!B$5*E509</f>
        <v>908.3151906725351</v>
      </c>
      <c r="G509" s="14">
        <f>Speed_Calc!G$3+Speed_Calc!G$5*A509^2</f>
        <v>28.9715329</v>
      </c>
      <c r="H509" s="7">
        <f>(F509-G509)/Speed_Calc!G$2*9.806</f>
        <v>6.3872917837907259</v>
      </c>
      <c r="I509" s="4">
        <f t="shared" si="32"/>
        <v>13.138888888888888</v>
      </c>
    </row>
    <row r="510" spans="1:9" x14ac:dyDescent="0.2">
      <c r="A510" s="11">
        <v>47.4</v>
      </c>
      <c r="B510" s="14">
        <v>3.133</v>
      </c>
      <c r="C510" s="11">
        <f t="shared" si="33"/>
        <v>6142.5630704677487</v>
      </c>
      <c r="D510" s="11">
        <f t="shared" si="30"/>
        <v>177.33765211166434</v>
      </c>
      <c r="E510" s="11">
        <f t="shared" si="31"/>
        <v>1010.1511829145437</v>
      </c>
      <c r="F510" s="11">
        <f>Speed_Calc!B$5*E510</f>
        <v>909.1360646230894</v>
      </c>
      <c r="G510" s="14">
        <f>Speed_Calc!G$3+Speed_Calc!G$5*A510^2</f>
        <v>29.009507599999999</v>
      </c>
      <c r="H510" s="7">
        <f>(F510-G510)/Speed_Calc!G$2*9.806</f>
        <v>6.3929785319766026</v>
      </c>
      <c r="I510" s="4">
        <f t="shared" si="32"/>
        <v>13.166666666666666</v>
      </c>
    </row>
    <row r="511" spans="1:9" x14ac:dyDescent="0.2">
      <c r="A511" s="11">
        <v>47.5</v>
      </c>
      <c r="B511" s="14">
        <v>3.133</v>
      </c>
      <c r="C511" s="11">
        <f t="shared" si="33"/>
        <v>6155.5220642873001</v>
      </c>
      <c r="D511" s="11">
        <f t="shared" si="30"/>
        <v>177.87231735818537</v>
      </c>
      <c r="E511" s="11">
        <f t="shared" si="31"/>
        <v>1011.06369866758</v>
      </c>
      <c r="F511" s="11">
        <f>Speed_Calc!B$5*E511</f>
        <v>909.95732880082198</v>
      </c>
      <c r="G511" s="14">
        <f>Speed_Calc!G$3+Speed_Calc!G$5*A511^2</f>
        <v>29.047562499999998</v>
      </c>
      <c r="H511" s="7">
        <f>(F511-G511)/Speed_Calc!G$2*9.806</f>
        <v>6.3986675321080444</v>
      </c>
      <c r="I511" s="4">
        <f t="shared" si="32"/>
        <v>13.194444444444445</v>
      </c>
    </row>
    <row r="512" spans="1:9" x14ac:dyDescent="0.2">
      <c r="A512" s="11">
        <v>47.6</v>
      </c>
      <c r="B512" s="14">
        <v>3.133</v>
      </c>
      <c r="C512" s="11">
        <f t="shared" si="33"/>
        <v>6168.4810581068523</v>
      </c>
      <c r="D512" s="11">
        <f t="shared" si="30"/>
        <v>178.40771565709531</v>
      </c>
      <c r="E512" s="11">
        <f t="shared" si="31"/>
        <v>1011.9765383910869</v>
      </c>
      <c r="F512" s="11">
        <f>Speed_Calc!B$5*E512</f>
        <v>910.77888455197831</v>
      </c>
      <c r="G512" s="14">
        <f>Speed_Calc!G$3+Speed_Calc!G$5*A512^2</f>
        <v>29.0856976</v>
      </c>
      <c r="H512" s="7">
        <f>(F512-G512)/Speed_Calc!G$2*9.806</f>
        <v>6.4043580675934066</v>
      </c>
      <c r="I512" s="4">
        <f t="shared" si="32"/>
        <v>13.222222222222221</v>
      </c>
    </row>
    <row r="513" spans="1:9" x14ac:dyDescent="0.2">
      <c r="A513" s="11">
        <v>47.7</v>
      </c>
      <c r="B513" s="14">
        <v>3.133</v>
      </c>
      <c r="C513" s="11">
        <f t="shared" si="33"/>
        <v>6181.4400519264054</v>
      </c>
      <c r="D513" s="11">
        <f t="shared" si="30"/>
        <v>178.94382780689236</v>
      </c>
      <c r="E513" s="11">
        <f t="shared" si="31"/>
        <v>1012.8895913597679</v>
      </c>
      <c r="F513" s="11">
        <f>Speed_Calc!B$5*E513</f>
        <v>911.60063222379108</v>
      </c>
      <c r="G513" s="14">
        <f>Speed_Calc!G$3+Speed_Calc!G$5*A513^2</f>
        <v>29.123912900000001</v>
      </c>
      <c r="H513" s="7">
        <f>(F513-G513)/Speed_Calc!G$2*9.806</f>
        <v>6.4100494145845142</v>
      </c>
      <c r="I513" s="4">
        <f t="shared" si="32"/>
        <v>13.25</v>
      </c>
    </row>
    <row r="514" spans="1:9" x14ac:dyDescent="0.2">
      <c r="A514" s="11">
        <v>47.8</v>
      </c>
      <c r="B514" s="14">
        <v>3.133</v>
      </c>
      <c r="C514" s="11">
        <f t="shared" si="33"/>
        <v>6194.3990457459568</v>
      </c>
      <c r="D514" s="11">
        <f t="shared" si="30"/>
        <v>179.48063424552407</v>
      </c>
      <c r="E514" s="11">
        <f t="shared" si="31"/>
        <v>1013.802745738316</v>
      </c>
      <c r="F514" s="11">
        <f>Speed_Calc!B$5*E514</f>
        <v>912.42247116448448</v>
      </c>
      <c r="G514" s="14">
        <f>Speed_Calc!G$3+Speed_Calc!G$5*A514^2</f>
        <v>29.162208399999997</v>
      </c>
      <c r="H514" s="7">
        <f>(F514-G514)/Speed_Calc!G$2*9.806</f>
        <v>6.4157408419766915</v>
      </c>
      <c r="I514" s="4">
        <f t="shared" si="32"/>
        <v>13.277777777777777</v>
      </c>
    </row>
    <row r="515" spans="1:9" x14ac:dyDescent="0.2">
      <c r="A515" s="11">
        <v>47.9</v>
      </c>
      <c r="B515" s="14">
        <v>3.133</v>
      </c>
      <c r="C515" s="11">
        <f t="shared" si="33"/>
        <v>6207.3580395655081</v>
      </c>
      <c r="D515" s="11">
        <f t="shared" si="30"/>
        <v>180.01811504833395</v>
      </c>
      <c r="E515" s="11">
        <f t="shared" si="31"/>
        <v>1014.7158885814234</v>
      </c>
      <c r="F515" s="11">
        <f>Speed_Calc!B$5*E515</f>
        <v>913.24429972328107</v>
      </c>
      <c r="G515" s="14">
        <f>Speed_Calc!G$3+Speed_Calc!G$5*A515^2</f>
        <v>29.2005841</v>
      </c>
      <c r="H515" s="7">
        <f>(F515-G515)/Speed_Calc!G$2*9.806</f>
        <v>6.4214316114088099</v>
      </c>
      <c r="I515" s="4">
        <f t="shared" si="32"/>
        <v>13.305555555555555</v>
      </c>
    </row>
    <row r="516" spans="1:9" x14ac:dyDescent="0.2">
      <c r="A516" s="11">
        <v>48</v>
      </c>
      <c r="B516" s="14">
        <v>3.133</v>
      </c>
      <c r="C516" s="11">
        <f t="shared" si="33"/>
        <v>6220.3170333850621</v>
      </c>
      <c r="D516" s="11">
        <f t="shared" si="30"/>
        <v>180.55624992600292</v>
      </c>
      <c r="E516" s="11">
        <f t="shared" si="31"/>
        <v>1015.6289058337665</v>
      </c>
      <c r="F516" s="11">
        <f>Speed_Calc!B$5*E516</f>
        <v>914.0660152503898</v>
      </c>
      <c r="G516" s="14">
        <f>Speed_Calc!G$3+Speed_Calc!G$5*A516^2</f>
        <v>29.239039999999999</v>
      </c>
      <c r="H516" s="7">
        <f>(F516-G516)/Speed_Calc!G$2*9.806</f>
        <v>6.4271209772632014</v>
      </c>
      <c r="I516" s="4">
        <f t="shared" si="32"/>
        <v>13.333333333333332</v>
      </c>
    </row>
    <row r="517" spans="1:9" x14ac:dyDescent="0.2">
      <c r="A517" s="11">
        <v>48.1</v>
      </c>
      <c r="B517" s="14">
        <v>3.133</v>
      </c>
      <c r="C517" s="11">
        <f t="shared" si="33"/>
        <v>6233.2760272046135</v>
      </c>
      <c r="D517" s="11">
        <f t="shared" si="30"/>
        <v>181.09501822249507</v>
      </c>
      <c r="E517" s="11">
        <f t="shared" si="31"/>
        <v>1016.5416823300141</v>
      </c>
      <c r="F517" s="11">
        <f>Speed_Calc!B$5*E517</f>
        <v>914.88751409701263</v>
      </c>
      <c r="G517" s="14">
        <f>Speed_Calc!G$3+Speed_Calc!G$5*A517^2</f>
        <v>29.277576099999997</v>
      </c>
      <c r="H517" s="7">
        <f>(F517-G517)/Speed_Calc!G$2*9.806</f>
        <v>6.4328081866657074</v>
      </c>
      <c r="I517" s="4">
        <f t="shared" si="32"/>
        <v>13.361111111111111</v>
      </c>
    </row>
    <row r="518" spans="1:9" x14ac:dyDescent="0.2">
      <c r="A518" s="11">
        <v>48.2</v>
      </c>
      <c r="B518" s="14">
        <v>3.133</v>
      </c>
      <c r="C518" s="11">
        <f t="shared" si="33"/>
        <v>6246.2350210241657</v>
      </c>
      <c r="D518" s="11">
        <f t="shared" si="30"/>
        <v>181.63439891300214</v>
      </c>
      <c r="E518" s="11">
        <f t="shared" si="31"/>
        <v>1017.4541017948254</v>
      </c>
      <c r="F518" s="11">
        <f>Speed_Calc!B$5*E518</f>
        <v>915.7086916153429</v>
      </c>
      <c r="G518" s="14">
        <f>Speed_Calc!G$3+Speed_Calc!G$5*A518^2</f>
        <v>29.316192399999998</v>
      </c>
      <c r="H518" s="7">
        <f>(F518-G518)/Speed_Calc!G$2*9.806</f>
        <v>6.4384924794856691</v>
      </c>
      <c r="I518" s="4">
        <f t="shared" si="32"/>
        <v>13.388888888888889</v>
      </c>
    </row>
    <row r="519" spans="1:9" x14ac:dyDescent="0.2">
      <c r="A519" s="11">
        <v>48.3</v>
      </c>
      <c r="B519" s="14">
        <v>3.133</v>
      </c>
      <c r="C519" s="11">
        <f t="shared" si="33"/>
        <v>6259.1940148437188</v>
      </c>
      <c r="D519" s="11">
        <f t="shared" si="30"/>
        <v>182.17437060188934</v>
      </c>
      <c r="E519" s="11">
        <f t="shared" si="31"/>
        <v>1018.3660468428595</v>
      </c>
      <c r="F519" s="11">
        <f>Speed_Calc!B$5*E519</f>
        <v>916.5294421585736</v>
      </c>
      <c r="G519" s="14">
        <f>Speed_Calc!G$3+Speed_Calc!G$5*A519^2</f>
        <v>29.354888899999999</v>
      </c>
      <c r="H519" s="7">
        <f>(F519-G519)/Speed_Calc!G$2*9.806</f>
        <v>6.4441730883359796</v>
      </c>
      <c r="I519" s="4">
        <f t="shared" si="32"/>
        <v>13.416666666666666</v>
      </c>
    </row>
    <row r="520" spans="1:9" x14ac:dyDescent="0.2">
      <c r="A520" s="11">
        <v>48.4</v>
      </c>
      <c r="B520" s="14">
        <v>3.133</v>
      </c>
      <c r="C520" s="11">
        <f t="shared" si="33"/>
        <v>6272.1530086632683</v>
      </c>
      <c r="D520" s="11">
        <f t="shared" si="30"/>
        <v>182.71491152063558</v>
      </c>
      <c r="E520" s="11">
        <f t="shared" si="31"/>
        <v>1019.2773989787527</v>
      </c>
      <c r="F520" s="11">
        <f>Speed_Calc!B$5*E520</f>
        <v>917.34965908087747</v>
      </c>
      <c r="G520" s="14">
        <f>Speed_Calc!G$3+Speed_Calc!G$5*A520^2</f>
        <v>29.393665599999999</v>
      </c>
      <c r="H520" s="7">
        <f>(F520-G520)/Speed_Calc!G$2*9.806</f>
        <v>6.4498492385729511</v>
      </c>
      <c r="I520" s="4">
        <f t="shared" si="32"/>
        <v>13.444444444444443</v>
      </c>
    </row>
    <row r="521" spans="1:9" x14ac:dyDescent="0.2">
      <c r="A521" s="11">
        <v>48.5</v>
      </c>
      <c r="B521" s="14">
        <v>3.133</v>
      </c>
      <c r="C521" s="11">
        <f t="shared" si="33"/>
        <v>6285.1120024828215</v>
      </c>
      <c r="D521" s="11">
        <f t="shared" si="30"/>
        <v>183.25599952578301</v>
      </c>
      <c r="E521" s="11">
        <f t="shared" si="31"/>
        <v>1020.1880385971428</v>
      </c>
      <c r="F521" s="11">
        <f>Speed_Calc!B$5*E521</f>
        <v>918.16923473742861</v>
      </c>
      <c r="G521" s="14">
        <f>Speed_Calc!G$3+Speed_Calc!G$5*A521^2</f>
        <v>29.432522499999997</v>
      </c>
      <c r="H521" s="7">
        <f>(F521-G521)/Speed_Calc!G$2*9.806</f>
        <v>6.4555201482964621</v>
      </c>
      <c r="I521" s="4">
        <f t="shared" si="32"/>
        <v>13.472222222222221</v>
      </c>
    </row>
    <row r="522" spans="1:9" x14ac:dyDescent="0.2">
      <c r="A522" s="11">
        <v>48.6</v>
      </c>
      <c r="B522" s="14">
        <v>3.133</v>
      </c>
      <c r="C522" s="11">
        <f t="shared" si="33"/>
        <v>6298.0709963023755</v>
      </c>
      <c r="D522" s="11">
        <f t="shared" si="30"/>
        <v>183.79761209687834</v>
      </c>
      <c r="E522" s="11">
        <f t="shared" si="31"/>
        <v>1021.0978449826573</v>
      </c>
      <c r="F522" s="11">
        <f>Speed_Calc!B$5*E522</f>
        <v>918.98806048439155</v>
      </c>
      <c r="G522" s="14">
        <f>Speed_Calc!G$3+Speed_Calc!G$5*A522^2</f>
        <v>29.471459599999999</v>
      </c>
      <c r="H522" s="7">
        <f>(F522-G522)/Speed_Calc!G$2*9.806</f>
        <v>6.4611850283498828</v>
      </c>
      <c r="I522" s="4">
        <f t="shared" si="32"/>
        <v>13.5</v>
      </c>
    </row>
    <row r="523" spans="1:9" x14ac:dyDescent="0.2">
      <c r="A523" s="11">
        <v>48.7</v>
      </c>
      <c r="B523" s="14">
        <v>3.133</v>
      </c>
      <c r="C523" s="11">
        <f t="shared" si="33"/>
        <v>6311.0299901219269</v>
      </c>
      <c r="D523" s="11">
        <f t="shared" si="30"/>
        <v>184.33972633441783</v>
      </c>
      <c r="E523" s="11">
        <f t="shared" si="31"/>
        <v>1022.0066963099141</v>
      </c>
      <c r="F523" s="11">
        <f>Speed_Calc!B$5*E523</f>
        <v>919.80602667892276</v>
      </c>
      <c r="G523" s="14">
        <f>Speed_Calc!G$3+Speed_Calc!G$5*A523^2</f>
        <v>29.5104769</v>
      </c>
      <c r="H523" s="7">
        <f>(F523-G523)/Speed_Calc!G$2*9.806</f>
        <v>6.4668430823200858</v>
      </c>
      <c r="I523" s="4">
        <f t="shared" si="32"/>
        <v>13.527777777777779</v>
      </c>
    </row>
    <row r="524" spans="1:9" x14ac:dyDescent="0.2">
      <c r="A524" s="11">
        <v>48.8</v>
      </c>
      <c r="B524" s="14">
        <v>3.133</v>
      </c>
      <c r="C524" s="11">
        <f t="shared" si="33"/>
        <v>6323.9889839414773</v>
      </c>
      <c r="D524" s="11">
        <f t="shared" si="30"/>
        <v>184.88231895779194</v>
      </c>
      <c r="E524" s="11">
        <f t="shared" si="31"/>
        <v>1022.9144696435212</v>
      </c>
      <c r="F524" s="11">
        <f>Speed_Calc!B$5*E524</f>
        <v>920.62302267916914</v>
      </c>
      <c r="G524" s="14">
        <f>Speed_Calc!G$3+Speed_Calc!G$5*A524^2</f>
        <v>29.549574399999997</v>
      </c>
      <c r="H524" s="7">
        <f>(F524-G524)/Speed_Calc!G$2*9.806</f>
        <v>6.4724935065374316</v>
      </c>
      <c r="I524" s="4">
        <f t="shared" si="32"/>
        <v>13.555555555555554</v>
      </c>
    </row>
    <row r="525" spans="1:9" x14ac:dyDescent="0.2">
      <c r="A525" s="11">
        <v>48.9</v>
      </c>
      <c r="B525" s="14">
        <v>3.133</v>
      </c>
      <c r="C525" s="11">
        <f t="shared" si="33"/>
        <v>6336.9479777610322</v>
      </c>
      <c r="D525" s="11">
        <f t="shared" si="30"/>
        <v>185.42536630323042</v>
      </c>
      <c r="E525" s="11">
        <f t="shared" si="31"/>
        <v>1023.821040938082</v>
      </c>
      <c r="F525" s="11">
        <f>Speed_Calc!B$5*E525</f>
        <v>921.43893684427383</v>
      </c>
      <c r="G525" s="14">
        <f>Speed_Calc!G$3+Speed_Calc!G$5*A525^2</f>
        <v>29.588752100000001</v>
      </c>
      <c r="H525" s="7">
        <f>(F525-G525)/Speed_Calc!G$2*9.806</f>
        <v>6.4781354900758137</v>
      </c>
      <c r="I525" s="4">
        <f t="shared" si="32"/>
        <v>13.583333333333332</v>
      </c>
    </row>
    <row r="526" spans="1:9" x14ac:dyDescent="0.2">
      <c r="A526" s="11">
        <v>49</v>
      </c>
      <c r="B526" s="14">
        <v>3.133</v>
      </c>
      <c r="C526" s="11">
        <f t="shared" si="33"/>
        <v>6349.9069715805836</v>
      </c>
      <c r="D526" s="11">
        <f t="shared" si="30"/>
        <v>185.9688443217442</v>
      </c>
      <c r="E526" s="11">
        <f t="shared" si="31"/>
        <v>1024.7262850381824</v>
      </c>
      <c r="F526" s="11">
        <f>Speed_Calc!B$5*E526</f>
        <v>922.25365653436415</v>
      </c>
      <c r="G526" s="14">
        <f>Speed_Calc!G$3+Speed_Calc!G$5*A526^2</f>
        <v>29.62801</v>
      </c>
      <c r="H526" s="7">
        <f>(F526-G526)/Speed_Calc!G$2*9.806</f>
        <v>6.4837682147525726</v>
      </c>
      <c r="I526" s="4">
        <f t="shared" si="32"/>
        <v>13.611111111111111</v>
      </c>
    </row>
    <row r="527" spans="1:9" x14ac:dyDescent="0.2">
      <c r="A527" s="11">
        <v>49.1</v>
      </c>
      <c r="B527" s="14">
        <v>3.133</v>
      </c>
      <c r="C527" s="11">
        <f t="shared" si="33"/>
        <v>6362.8659654001349</v>
      </c>
      <c r="D527" s="11">
        <f t="shared" si="30"/>
        <v>186.5127285770736</v>
      </c>
      <c r="E527" s="11">
        <f t="shared" si="31"/>
        <v>1025.630075678409</v>
      </c>
      <c r="F527" s="11">
        <f>Speed_Calc!B$5*E527</f>
        <v>923.06706811056813</v>
      </c>
      <c r="G527" s="14">
        <f>Speed_Calc!G$3+Speed_Calc!G$5*A527^2</f>
        <v>29.667348099999998</v>
      </c>
      <c r="H527" s="7">
        <f>(F527-G527)/Speed_Calc!G$2*9.806</f>
        <v>6.4893908551286152</v>
      </c>
      <c r="I527" s="4">
        <f t="shared" si="32"/>
        <v>13.638888888888889</v>
      </c>
    </row>
    <row r="528" spans="1:9" x14ac:dyDescent="0.2">
      <c r="A528" s="11">
        <v>49.2</v>
      </c>
      <c r="B528" s="14">
        <v>3.133</v>
      </c>
      <c r="C528" s="11">
        <f t="shared" si="33"/>
        <v>6375.8249592196889</v>
      </c>
      <c r="D528" s="11">
        <f t="shared" si="30"/>
        <v>187.05699424362996</v>
      </c>
      <c r="E528" s="11">
        <f t="shared" si="31"/>
        <v>1026.5322854833353</v>
      </c>
      <c r="F528" s="11">
        <f>Speed_Calc!B$5*E528</f>
        <v>923.87905693500181</v>
      </c>
      <c r="G528" s="14">
        <f>Speed_Calc!G$3+Speed_Calc!G$5*A528^2</f>
        <v>29.706766399999999</v>
      </c>
      <c r="H528" s="7">
        <f>(F528-G528)/Speed_Calc!G$2*9.806</f>
        <v>6.4950025785083163</v>
      </c>
      <c r="I528" s="4">
        <f t="shared" si="32"/>
        <v>13.666666666666668</v>
      </c>
    </row>
    <row r="529" spans="1:9" x14ac:dyDescent="0.2">
      <c r="A529" s="11">
        <v>49.3</v>
      </c>
      <c r="B529" s="14">
        <v>3.133</v>
      </c>
      <c r="C529" s="11">
        <f t="shared" si="33"/>
        <v>6388.7839530392384</v>
      </c>
      <c r="D529" s="11">
        <f t="shared" si="30"/>
        <v>187.60161610444143</v>
      </c>
      <c r="E529" s="11">
        <f t="shared" si="31"/>
        <v>1027.4327859675295</v>
      </c>
      <c r="F529" s="11">
        <f>Speed_Calc!B$5*E529</f>
        <v>924.6895073707766</v>
      </c>
      <c r="G529" s="14">
        <f>Speed_Calc!G$3+Speed_Calc!G$5*A529^2</f>
        <v>29.7462649</v>
      </c>
      <c r="H529" s="7">
        <f>(F529-G529)/Speed_Calc!G$2*9.806</f>
        <v>6.5006025449395812</v>
      </c>
      <c r="I529" s="4">
        <f t="shared" si="32"/>
        <v>13.694444444444443</v>
      </c>
    </row>
    <row r="530" spans="1:9" x14ac:dyDescent="0.2">
      <c r="A530" s="11">
        <v>49.4</v>
      </c>
      <c r="B530" s="14">
        <v>3.133</v>
      </c>
      <c r="C530" s="11">
        <f t="shared" si="33"/>
        <v>6401.7429468587907</v>
      </c>
      <c r="D530" s="11">
        <f t="shared" si="30"/>
        <v>188.14656854909595</v>
      </c>
      <c r="E530" s="11">
        <f t="shared" si="31"/>
        <v>1028.3314475355448</v>
      </c>
      <c r="F530" s="11">
        <f>Speed_Calc!B$5*E530</f>
        <v>925.49830278199033</v>
      </c>
      <c r="G530" s="14">
        <f>Speed_Calc!G$3+Speed_Calc!G$5*A530^2</f>
        <v>29.7858436</v>
      </c>
      <c r="H530" s="7">
        <f>(F530-G530)/Speed_Calc!G$2*9.806</f>
        <v>6.5061899072137752</v>
      </c>
      <c r="I530" s="4">
        <f t="shared" si="32"/>
        <v>13.722222222222221</v>
      </c>
    </row>
    <row r="531" spans="1:9" x14ac:dyDescent="0.2">
      <c r="A531" s="11">
        <v>49.5</v>
      </c>
      <c r="B531" s="14">
        <v>3.133</v>
      </c>
      <c r="C531" s="11">
        <f t="shared" si="33"/>
        <v>6414.7019406783456</v>
      </c>
      <c r="D531" s="11">
        <f t="shared" si="30"/>
        <v>188.69182557168753</v>
      </c>
      <c r="E531" s="11">
        <f t="shared" si="31"/>
        <v>1029.228139481932</v>
      </c>
      <c r="F531" s="11">
        <f>Speed_Calc!B$5*E531</f>
        <v>926.30532553373882</v>
      </c>
      <c r="G531" s="14">
        <f>Speed_Calc!G$3+Speed_Calc!G$5*A531^2</f>
        <v>29.825502499999999</v>
      </c>
      <c r="H531" s="7">
        <f>(F531-G531)/Speed_Calc!G$2*9.806</f>
        <v>6.5117638108658094</v>
      </c>
      <c r="I531" s="4">
        <f t="shared" si="32"/>
        <v>13.75</v>
      </c>
    </row>
    <row r="532" spans="1:9" x14ac:dyDescent="0.2">
      <c r="A532" s="11">
        <v>49.6</v>
      </c>
      <c r="B532" s="14">
        <v>3.133</v>
      </c>
      <c r="C532" s="11">
        <f t="shared" si="33"/>
        <v>6427.660934497897</v>
      </c>
      <c r="D532" s="11">
        <f t="shared" si="30"/>
        <v>189.23736076875906</v>
      </c>
      <c r="E532" s="11">
        <f t="shared" si="31"/>
        <v>1030.1227299912287</v>
      </c>
      <c r="F532" s="11">
        <f>Speed_Calc!B$5*E532</f>
        <v>927.11045699210581</v>
      </c>
      <c r="G532" s="14">
        <f>Speed_Calc!G$3+Speed_Calc!G$5*A532^2</f>
        <v>29.865241600000001</v>
      </c>
      <c r="H532" s="7">
        <f>(F532-G532)/Speed_Calc!G$2*9.806</f>
        <v>6.517323394174066</v>
      </c>
      <c r="I532" s="4">
        <f t="shared" si="32"/>
        <v>13.777777777777779</v>
      </c>
    </row>
    <row r="533" spans="1:9" x14ac:dyDescent="0.2">
      <c r="A533" s="11">
        <v>49.7</v>
      </c>
      <c r="B533" s="14">
        <v>3.133</v>
      </c>
      <c r="C533" s="11">
        <f t="shared" si="33"/>
        <v>6440.6199283174483</v>
      </c>
      <c r="D533" s="11">
        <f t="shared" si="30"/>
        <v>189.78314733724858</v>
      </c>
      <c r="E533" s="11">
        <f t="shared" si="31"/>
        <v>1031.0150861379702</v>
      </c>
      <c r="F533" s="11">
        <f>Speed_Calc!B$5*E533</f>
        <v>927.91357752417321</v>
      </c>
      <c r="G533" s="14">
        <f>Speed_Calc!G$3+Speed_Calc!G$5*A533^2</f>
        <v>29.905060900000002</v>
      </c>
      <c r="H533" s="7">
        <f>(F533-G533)/Speed_Calc!G$2*9.806</f>
        <v>6.5228677881604753</v>
      </c>
      <c r="I533" s="4">
        <f t="shared" si="32"/>
        <v>13.805555555555555</v>
      </c>
    </row>
    <row r="534" spans="1:9" x14ac:dyDescent="0.2">
      <c r="A534" s="11">
        <v>49.8</v>
      </c>
      <c r="B534" s="14">
        <v>3.133</v>
      </c>
      <c r="C534" s="11">
        <f t="shared" si="33"/>
        <v>6453.5789221370023</v>
      </c>
      <c r="D534" s="11">
        <f t="shared" si="30"/>
        <v>190.32915807243114</v>
      </c>
      <c r="E534" s="11">
        <f t="shared" si="31"/>
        <v>1031.9050738866747</v>
      </c>
      <c r="F534" s="11">
        <f>Speed_Calc!B$5*E534</f>
        <v>928.71456649800723</v>
      </c>
      <c r="G534" s="14">
        <f>Speed_Calc!G$3+Speed_Calc!G$5*A534^2</f>
        <v>29.944960399999999</v>
      </c>
      <c r="H534" s="7">
        <f>(F534-G534)/Speed_Calc!G$2*9.806</f>
        <v>6.5283961165904136</v>
      </c>
      <c r="I534" s="4">
        <f t="shared" si="32"/>
        <v>13.833333333333332</v>
      </c>
    </row>
    <row r="535" spans="1:9" x14ac:dyDescent="0.2">
      <c r="A535" s="11">
        <v>49.9</v>
      </c>
      <c r="B535" s="14">
        <v>3.133</v>
      </c>
      <c r="C535" s="11">
        <f t="shared" si="33"/>
        <v>6466.5379159565537</v>
      </c>
      <c r="D535" s="11">
        <f t="shared" si="30"/>
        <v>190.87536536586532</v>
      </c>
      <c r="E535" s="11">
        <f t="shared" si="31"/>
        <v>1032.7925580918563</v>
      </c>
      <c r="F535" s="11">
        <f>Speed_Calc!B$5*E535</f>
        <v>929.51330228267068</v>
      </c>
      <c r="G535" s="14">
        <f>Speed_Calc!G$3+Speed_Calc!G$5*A535^2</f>
        <v>29.984940099999996</v>
      </c>
      <c r="H535" s="7">
        <f>(F535-G535)/Speed_Calc!G$2*9.806</f>
        <v>6.533907495972791</v>
      </c>
      <c r="I535" s="4">
        <f t="shared" si="32"/>
        <v>13.861111111111111</v>
      </c>
    </row>
    <row r="536" spans="1:9" x14ac:dyDescent="0.2">
      <c r="A536" s="11">
        <v>50</v>
      </c>
      <c r="B536" s="14">
        <v>3.133</v>
      </c>
      <c r="C536" s="11">
        <f t="shared" si="33"/>
        <v>6479.4969097761068</v>
      </c>
      <c r="D536" s="11">
        <f t="shared" si="30"/>
        <v>191.42174120333704</v>
      </c>
      <c r="E536" s="11">
        <f t="shared" si="31"/>
        <v>1033.6774024980198</v>
      </c>
      <c r="F536" s="11">
        <f>Speed_Calc!B$5*E536</f>
        <v>930.30966224821782</v>
      </c>
      <c r="G536" s="14">
        <f>Speed_Calc!G$3+Speed_Calc!G$5*A536^2</f>
        <v>30.024999999999999</v>
      </c>
      <c r="H536" s="7">
        <f>(F536-G536)/Speed_Calc!G$2*9.806</f>
        <v>6.5394010355600178</v>
      </c>
      <c r="I536" s="4">
        <f t="shared" si="32"/>
        <v>13.888888888888889</v>
      </c>
    </row>
    <row r="537" spans="1:9" x14ac:dyDescent="0.2">
      <c r="A537" s="11">
        <v>50.1</v>
      </c>
      <c r="B537" s="14">
        <v>3.133</v>
      </c>
      <c r="C537" s="11">
        <f t="shared" si="33"/>
        <v>6492.455903595659</v>
      </c>
      <c r="D537" s="11">
        <f t="shared" si="30"/>
        <v>191.96825716280409</v>
      </c>
      <c r="E537" s="11">
        <f t="shared" si="31"/>
        <v>1034.5594697396627</v>
      </c>
      <c r="F537" s="11">
        <f>Speed_Calc!B$5*E537</f>
        <v>931.10352276569654</v>
      </c>
      <c r="G537" s="14">
        <f>Speed_Calc!G$3+Speed_Calc!G$5*A537^2</f>
        <v>30.065140100000001</v>
      </c>
      <c r="H537" s="7">
        <f>(F537-G537)/Speed_Calc!G$2*9.806</f>
        <v>6.5448758373480143</v>
      </c>
      <c r="I537" s="4">
        <f t="shared" si="32"/>
        <v>13.916666666666666</v>
      </c>
    </row>
    <row r="538" spans="1:9" x14ac:dyDescent="0.2">
      <c r="A538" s="11">
        <v>50.2</v>
      </c>
      <c r="B538" s="14">
        <v>3.133</v>
      </c>
      <c r="C538" s="11">
        <f t="shared" si="33"/>
        <v>6505.4148974152104</v>
      </c>
      <c r="D538" s="11">
        <f t="shared" si="30"/>
        <v>192.51488441234082</v>
      </c>
      <c r="E538" s="11">
        <f t="shared" si="31"/>
        <v>1035.4386213412752</v>
      </c>
      <c r="F538" s="11">
        <f>Speed_Calc!B$5*E538</f>
        <v>931.89475920714767</v>
      </c>
      <c r="G538" s="14">
        <f>Speed_Calc!G$3+Speed_Calc!G$5*A538^2</f>
        <v>30.105360400000002</v>
      </c>
      <c r="H538" s="7">
        <f>(F538-G538)/Speed_Calc!G$2*9.806</f>
        <v>6.5503309960762142</v>
      </c>
      <c r="I538" s="4">
        <f t="shared" si="32"/>
        <v>13.944444444444445</v>
      </c>
    </row>
    <row r="539" spans="1:9" x14ac:dyDescent="0.2">
      <c r="A539" s="11">
        <v>50.3</v>
      </c>
      <c r="B539" s="14">
        <v>3.133</v>
      </c>
      <c r="C539" s="11">
        <f t="shared" si="33"/>
        <v>6518.3738912347617</v>
      </c>
      <c r="D539" s="11">
        <f t="shared" si="30"/>
        <v>193.06159370808047</v>
      </c>
      <c r="E539" s="11">
        <f t="shared" si="31"/>
        <v>1036.3147177173307</v>
      </c>
      <c r="F539" s="11">
        <f>Speed_Calc!B$5*E539</f>
        <v>932.68324594559772</v>
      </c>
      <c r="G539" s="14">
        <f>Speed_Calc!G$3+Speed_Calc!G$5*A539^2</f>
        <v>30.145660899999996</v>
      </c>
      <c r="H539" s="7">
        <f>(F539-G539)/Speed_Calc!G$2*9.806</f>
        <v>6.555765599227505</v>
      </c>
      <c r="I539" s="4">
        <f t="shared" si="32"/>
        <v>13.972222222222221</v>
      </c>
    </row>
    <row r="540" spans="1:9" x14ac:dyDescent="0.2">
      <c r="A540" s="11">
        <v>50.4</v>
      </c>
      <c r="B540" s="14">
        <v>3.133</v>
      </c>
      <c r="C540" s="11">
        <f t="shared" si="33"/>
        <v>6531.3328850543139</v>
      </c>
      <c r="D540" s="11">
        <f t="shared" si="30"/>
        <v>193.6083553921633</v>
      </c>
      <c r="E540" s="11">
        <f t="shared" si="31"/>
        <v>1037.1876181723035</v>
      </c>
      <c r="F540" s="11">
        <f>Speed_Calc!B$5*E540</f>
        <v>933.46885635507317</v>
      </c>
      <c r="G540" s="14">
        <f>Speed_Calc!G$3+Speed_Calc!G$5*A540^2</f>
        <v>30.186041599999999</v>
      </c>
      <c r="H540" s="7">
        <f>(F540-G540)/Speed_Calc!G$2*9.806</f>
        <v>6.5611787270283317</v>
      </c>
      <c r="I540" s="4">
        <f t="shared" si="32"/>
        <v>14</v>
      </c>
    </row>
    <row r="541" spans="1:9" x14ac:dyDescent="0.2">
      <c r="A541" s="11">
        <v>50.5</v>
      </c>
      <c r="B541" s="14">
        <v>3.133</v>
      </c>
      <c r="C541" s="11">
        <f t="shared" si="33"/>
        <v>6544.2918788738652</v>
      </c>
      <c r="D541" s="11">
        <f t="shared" si="30"/>
        <v>194.15513939067773</v>
      </c>
      <c r="E541" s="11">
        <f t="shared" si="31"/>
        <v>1038.0571809006533</v>
      </c>
      <c r="F541" s="11">
        <f>Speed_Calc!B$5*E541</f>
        <v>934.25146281058801</v>
      </c>
      <c r="G541" s="14">
        <f>Speed_Calc!G$3+Speed_Calc!G$5*A541^2</f>
        <v>30.226502499999999</v>
      </c>
      <c r="H541" s="7">
        <f>(F541-G541)/Speed_Calc!G$2*9.806</f>
        <v>6.5665694524486105</v>
      </c>
      <c r="I541" s="4">
        <f t="shared" si="32"/>
        <v>14.027777777777777</v>
      </c>
    </row>
    <row r="542" spans="1:9" x14ac:dyDescent="0.2">
      <c r="A542" s="11">
        <v>50.6</v>
      </c>
      <c r="B542" s="14">
        <v>3.133</v>
      </c>
      <c r="C542" s="11">
        <f t="shared" si="33"/>
        <v>6557.2508726934193</v>
      </c>
      <c r="D542" s="11">
        <f t="shared" si="30"/>
        <v>194.70191521160606</v>
      </c>
      <c r="E542" s="11">
        <f t="shared" si="31"/>
        <v>1038.9232629868307</v>
      </c>
      <c r="F542" s="11">
        <f>Speed_Calc!B$5*E542</f>
        <v>935.03093668814756</v>
      </c>
      <c r="G542" s="14">
        <f>Speed_Calc!G$3+Speed_Calc!G$5*A542^2</f>
        <v>30.267043600000001</v>
      </c>
      <c r="H542" s="7">
        <f>(F542-G542)/Speed_Calc!G$2*9.806</f>
        <v>6.5719368412017589</v>
      </c>
      <c r="I542" s="4">
        <f t="shared" si="32"/>
        <v>14.055555555555555</v>
      </c>
    </row>
    <row r="543" spans="1:9" x14ac:dyDescent="0.2">
      <c r="A543" s="11">
        <v>50.7</v>
      </c>
      <c r="B543" s="14">
        <v>3.133</v>
      </c>
      <c r="C543" s="11">
        <f t="shared" si="33"/>
        <v>6570.2098665129706</v>
      </c>
      <c r="D543" s="11">
        <f t="shared" si="30"/>
        <v>195.24865194277044</v>
      </c>
      <c r="E543" s="11">
        <f t="shared" si="31"/>
        <v>1039.7857204052866</v>
      </c>
      <c r="F543" s="11">
        <f>Speed_Calc!B$5*E543</f>
        <v>935.80714836475795</v>
      </c>
      <c r="G543" s="14">
        <f>Speed_Calc!G$3+Speed_Calc!G$5*A543^2</f>
        <v>30.307664899999999</v>
      </c>
      <c r="H543" s="7">
        <f>(F543-G543)/Speed_Calc!G$2*9.806</f>
        <v>6.5772799517447522</v>
      </c>
      <c r="I543" s="4">
        <f t="shared" si="32"/>
        <v>14.083333333333334</v>
      </c>
    </row>
    <row r="544" spans="1:9" x14ac:dyDescent="0.2">
      <c r="A544" s="11">
        <v>50.8</v>
      </c>
      <c r="B544" s="14">
        <v>3.133</v>
      </c>
      <c r="C544" s="11">
        <f t="shared" si="33"/>
        <v>6583.1688603325238</v>
      </c>
      <c r="D544" s="11">
        <f t="shared" si="30"/>
        <v>195.7953182497738</v>
      </c>
      <c r="E544" s="11">
        <f t="shared" si="31"/>
        <v>1040.644408020451</v>
      </c>
      <c r="F544" s="11">
        <f>Speed_Calc!B$5*E544</f>
        <v>936.57996721840595</v>
      </c>
      <c r="G544" s="14">
        <f>Speed_Calc!G$3+Speed_Calc!G$5*A544^2</f>
        <v>30.348366399999996</v>
      </c>
      <c r="H544" s="7">
        <f>(F544-G544)/Speed_Calc!G$2*9.806</f>
        <v>6.5825978352779915</v>
      </c>
      <c r="I544" s="4">
        <f t="shared" si="32"/>
        <v>14.111111111111111</v>
      </c>
    </row>
    <row r="545" spans="1:9" x14ac:dyDescent="0.2">
      <c r="A545" s="11">
        <v>50.9</v>
      </c>
      <c r="B545" s="14">
        <v>3.133</v>
      </c>
      <c r="C545" s="11">
        <f t="shared" si="33"/>
        <v>6596.1278541520751</v>
      </c>
      <c r="D545" s="11">
        <f t="shared" si="30"/>
        <v>196.34188237394707</v>
      </c>
      <c r="E545" s="11">
        <f t="shared" si="31"/>
        <v>1041.4991795867527</v>
      </c>
      <c r="F545" s="11">
        <f>Speed_Calc!B$5*E545</f>
        <v>937.34926162807744</v>
      </c>
      <c r="G545" s="14">
        <f>Speed_Calc!G$3+Speed_Calc!G$5*A545^2</f>
        <v>30.3891481</v>
      </c>
      <c r="H545" s="7">
        <f>(F545-G545)/Speed_Calc!G$2*9.806</f>
        <v>6.5878895357454281</v>
      </c>
      <c r="I545" s="4">
        <f t="shared" si="32"/>
        <v>14.138888888888888</v>
      </c>
    </row>
    <row r="546" spans="1:9" x14ac:dyDescent="0.2">
      <c r="A546" s="11">
        <v>51</v>
      </c>
      <c r="B546" s="14">
        <v>3.133</v>
      </c>
      <c r="C546" s="11">
        <f t="shared" si="33"/>
        <v>6609.0868479716264</v>
      </c>
      <c r="D546" s="11">
        <f t="shared" si="30"/>
        <v>196.8883121302926</v>
      </c>
      <c r="E546" s="11">
        <f t="shared" si="31"/>
        <v>1042.3498877486081</v>
      </c>
      <c r="F546" s="11">
        <f>Speed_Calc!B$5*E546</f>
        <v>938.11489897374736</v>
      </c>
      <c r="G546" s="14">
        <f>Speed_Calc!G$3+Speed_Calc!G$5*A546^2</f>
        <v>30.430009999999999</v>
      </c>
      <c r="H546" s="7">
        <f>(F546-G546)/Speed_Calc!G$2*9.806</f>
        <v>6.5931540898344929</v>
      </c>
      <c r="I546" s="4">
        <f t="shared" si="32"/>
        <v>14.166666666666666</v>
      </c>
    </row>
    <row r="547" spans="1:9" x14ac:dyDescent="0.2">
      <c r="A547" s="11">
        <v>51.1</v>
      </c>
      <c r="B547" s="14">
        <v>3.133</v>
      </c>
      <c r="C547" s="11">
        <f t="shared" si="33"/>
        <v>6622.0458417911805</v>
      </c>
      <c r="D547" s="11">
        <f t="shared" si="30"/>
        <v>197.4345749054294</v>
      </c>
      <c r="E547" s="11">
        <f t="shared" si="31"/>
        <v>1043.1963840404294</v>
      </c>
      <c r="F547" s="11">
        <f>Speed_Calc!B$5*E547</f>
        <v>938.87674563638643</v>
      </c>
      <c r="G547" s="14">
        <f>Speed_Calc!G$3+Speed_Calc!G$5*A547^2</f>
        <v>30.470952099999998</v>
      </c>
      <c r="H547" s="7">
        <f>(F547-G547)/Speed_Calc!G$2*9.806</f>
        <v>6.5983905269761518</v>
      </c>
      <c r="I547" s="4">
        <f t="shared" si="32"/>
        <v>14.194444444444445</v>
      </c>
    </row>
    <row r="548" spans="1:9" x14ac:dyDescent="0.2">
      <c r="A548" s="11">
        <v>51.2</v>
      </c>
      <c r="B548" s="14">
        <v>3.133</v>
      </c>
      <c r="C548" s="11">
        <f t="shared" si="33"/>
        <v>6635.0048356107327</v>
      </c>
      <c r="D548" s="11">
        <f t="shared" si="30"/>
        <v>197.98063765553627</v>
      </c>
      <c r="E548" s="11">
        <f t="shared" si="31"/>
        <v>1044.0385188866169</v>
      </c>
      <c r="F548" s="11">
        <f>Speed_Calc!B$5*E548</f>
        <v>939.63466699795526</v>
      </c>
      <c r="G548" s="14">
        <f>Speed_Calc!G$3+Speed_Calc!G$5*A548^2</f>
        <v>30.5119744</v>
      </c>
      <c r="H548" s="7">
        <f>(F548-G548)/Speed_Calc!G$2*9.806</f>
        <v>6.6035978693448509</v>
      </c>
      <c r="I548" s="4">
        <f t="shared" si="32"/>
        <v>14.222222222222223</v>
      </c>
    </row>
    <row r="549" spans="1:9" x14ac:dyDescent="0.2">
      <c r="A549" s="11">
        <v>51.3</v>
      </c>
      <c r="B549" s="14">
        <v>3.133</v>
      </c>
      <c r="C549" s="11">
        <f t="shared" si="33"/>
        <v>6647.963829430284</v>
      </c>
      <c r="D549" s="11">
        <f t="shared" ref="D549:D612" si="34">-4.687*10^(-17)*C549^5+9.129*10^(-13)*C549^4-6.175*10^(-9)*C549^3+1.799*10^(-5)*C549^2+6.502*10^(-3)*C549</f>
        <v>198.52646690429671</v>
      </c>
      <c r="E549" s="11">
        <f t="shared" si="31"/>
        <v>1044.8761416015616</v>
      </c>
      <c r="F549" s="11">
        <f>Speed_Calc!B$5*E549</f>
        <v>940.38852744140547</v>
      </c>
      <c r="G549" s="14">
        <f>Speed_Calc!G$3+Speed_Calc!G$5*A549^2</f>
        <v>30.553076899999997</v>
      </c>
      <c r="H549" s="7">
        <f>(F549-G549)/Speed_Calc!G$2*9.806</f>
        <v>6.6087751318585344</v>
      </c>
      <c r="I549" s="4">
        <f t="shared" si="32"/>
        <v>14.249999999999998</v>
      </c>
    </row>
    <row r="550" spans="1:9" x14ac:dyDescent="0.2">
      <c r="A550" s="11">
        <v>51.4</v>
      </c>
      <c r="B550" s="14">
        <v>3.133</v>
      </c>
      <c r="C550" s="11">
        <f t="shared" si="33"/>
        <v>6660.9228232498363</v>
      </c>
      <c r="D550" s="11">
        <f t="shared" si="34"/>
        <v>199.0720287408439</v>
      </c>
      <c r="E550" s="11">
        <f t="shared" ref="E550:E613" si="35">D550*75*B550*B$31*B$32/B$23/C550/2/PI()*60</f>
        <v>1045.7091003896471</v>
      </c>
      <c r="F550" s="11">
        <f>Speed_Calc!B$5*E550</f>
        <v>941.13819035068241</v>
      </c>
      <c r="G550" s="14">
        <f>Speed_Calc!G$3+Speed_Calc!G$5*A550^2</f>
        <v>30.594259600000001</v>
      </c>
      <c r="H550" s="7">
        <f>(F550-G550)/Speed_Calc!G$2*9.806</f>
        <v>6.6139213221786601</v>
      </c>
      <c r="I550" s="4">
        <f t="shared" ref="I550:I613" si="36">A550/3.6</f>
        <v>14.277777777777777</v>
      </c>
    </row>
    <row r="551" spans="1:9" x14ac:dyDescent="0.2">
      <c r="A551" s="11">
        <v>51.5</v>
      </c>
      <c r="B551" s="14">
        <v>3.133</v>
      </c>
      <c r="C551" s="11">
        <f t="shared" si="33"/>
        <v>6673.8818170693885</v>
      </c>
      <c r="D551" s="11">
        <f t="shared" si="34"/>
        <v>199.61728881770512</v>
      </c>
      <c r="E551" s="11">
        <f t="shared" si="35"/>
        <v>1046.5372423452504</v>
      </c>
      <c r="F551" s="11">
        <f>Speed_Calc!B$5*E551</f>
        <v>941.88351811072539</v>
      </c>
      <c r="G551" s="14">
        <f>Speed_Calc!G$3+Speed_Calc!G$5*A551^2</f>
        <v>30.6355225</v>
      </c>
      <c r="H551" s="7">
        <f>(F551-G551)/Speed_Calc!G$2*9.806</f>
        <v>6.6190354407102019</v>
      </c>
      <c r="I551" s="4">
        <f t="shared" si="36"/>
        <v>14.305555555555555</v>
      </c>
    </row>
    <row r="552" spans="1:9" x14ac:dyDescent="0.2">
      <c r="A552" s="11">
        <v>51.6</v>
      </c>
      <c r="B552" s="14">
        <v>3.133</v>
      </c>
      <c r="C552" s="11">
        <f t="shared" si="33"/>
        <v>6686.8408108889407</v>
      </c>
      <c r="D552" s="11">
        <f t="shared" si="34"/>
        <v>200.16221234874524</v>
      </c>
      <c r="E552" s="11">
        <f t="shared" si="35"/>
        <v>1047.3604134527368</v>
      </c>
      <c r="F552" s="11">
        <f>Speed_Calc!B$5*E552</f>
        <v>942.62437210746316</v>
      </c>
      <c r="G552" s="14">
        <f>Speed_Calc!G$3+Speed_Calc!G$5*A552^2</f>
        <v>30.676865599999999</v>
      </c>
      <c r="H552" s="7">
        <f>(F552-G552)/Speed_Calc!G$2*9.806</f>
        <v>6.6241164806016162</v>
      </c>
      <c r="I552" s="4">
        <f t="shared" si="36"/>
        <v>14.333333333333334</v>
      </c>
    </row>
    <row r="553" spans="1:9" x14ac:dyDescent="0.2">
      <c r="A553" s="11">
        <v>51.7</v>
      </c>
      <c r="B553" s="14">
        <v>3.133</v>
      </c>
      <c r="C553" s="11">
        <f t="shared" si="33"/>
        <v>6699.799804708493</v>
      </c>
      <c r="D553" s="11">
        <f t="shared" si="34"/>
        <v>200.70676410711104</v>
      </c>
      <c r="E553" s="11">
        <f t="shared" si="35"/>
        <v>1048.17845858646</v>
      </c>
      <c r="F553" s="11">
        <f>Speed_Calc!B$5*E553</f>
        <v>943.36061272781399</v>
      </c>
      <c r="G553" s="14">
        <f>Speed_Calc!G$3+Speed_Calc!G$5*A553^2</f>
        <v>30.718288900000001</v>
      </c>
      <c r="H553" s="7">
        <f>(F553-G553)/Speed_Calc!G$2*9.806</f>
        <v>6.6291634277448468</v>
      </c>
      <c r="I553" s="4">
        <f t="shared" si="36"/>
        <v>14.361111111111111</v>
      </c>
    </row>
    <row r="554" spans="1:9" x14ac:dyDescent="0.2">
      <c r="A554" s="11">
        <v>51.8</v>
      </c>
      <c r="B554" s="14">
        <v>3.133</v>
      </c>
      <c r="C554" s="11">
        <f t="shared" si="33"/>
        <v>6712.7587985280452</v>
      </c>
      <c r="D554" s="11">
        <f t="shared" si="34"/>
        <v>201.25090842317812</v>
      </c>
      <c r="E554" s="11">
        <f t="shared" si="35"/>
        <v>1048.991221510774</v>
      </c>
      <c r="F554" s="11">
        <f>Speed_Calc!B$5*E554</f>
        <v>944.0920993596967</v>
      </c>
      <c r="G554" s="14">
        <f>Speed_Calc!G$3+Speed_Calc!G$5*A554^2</f>
        <v>30.759792399999998</v>
      </c>
      <c r="H554" s="7">
        <f>(F554-G554)/Speed_Calc!G$2*9.806</f>
        <v>6.6341752607753959</v>
      </c>
      <c r="I554" s="4">
        <f t="shared" si="36"/>
        <v>14.388888888888888</v>
      </c>
    </row>
    <row r="555" spans="1:9" x14ac:dyDescent="0.2">
      <c r="A555" s="11">
        <v>51.9</v>
      </c>
      <c r="B555" s="14">
        <v>3.133</v>
      </c>
      <c r="C555" s="11">
        <f t="shared" ref="C555:C618" si="37">A555/3.6/B$23/2/PI()*B$32*B$31*B555*60</f>
        <v>6725.7177923475965</v>
      </c>
      <c r="D555" s="11">
        <f t="shared" si="34"/>
        <v>201.7946091824922</v>
      </c>
      <c r="E555" s="11">
        <f t="shared" si="35"/>
        <v>1049.7985448800175</v>
      </c>
      <c r="F555" s="11">
        <f>Speed_Calc!B$5*E555</f>
        <v>944.81869039201581</v>
      </c>
      <c r="G555" s="14">
        <f>Speed_Calc!G$3+Speed_Calc!G$5*A555^2</f>
        <v>30.801376099999999</v>
      </c>
      <c r="H555" s="7">
        <f>(F555-G555)/Speed_Calc!G$2*9.806</f>
        <v>6.6391509510722271</v>
      </c>
      <c r="I555" s="4">
        <f t="shared" si="36"/>
        <v>14.416666666666666</v>
      </c>
    </row>
    <row r="556" spans="1:9" x14ac:dyDescent="0.2">
      <c r="A556" s="11">
        <v>52</v>
      </c>
      <c r="B556" s="14">
        <v>3.133</v>
      </c>
      <c r="C556" s="11">
        <f t="shared" si="37"/>
        <v>6738.6767861671506</v>
      </c>
      <c r="D556" s="11">
        <f t="shared" si="34"/>
        <v>202.3378298237146</v>
      </c>
      <c r="E556" s="11">
        <f t="shared" si="35"/>
        <v>1050.6002702385179</v>
      </c>
      <c r="F556" s="11">
        <f>Speed_Calc!B$5*E556</f>
        <v>945.54024321466613</v>
      </c>
      <c r="G556" s="14">
        <f>Speed_Calc!G$3+Speed_Calc!G$5*A556^2</f>
        <v>30.843039999999998</v>
      </c>
      <c r="H556" s="7">
        <f>(F556-G556)/Speed_Calc!G$2*9.806</f>
        <v>6.6440894627577887</v>
      </c>
      <c r="I556" s="4">
        <f t="shared" si="36"/>
        <v>14.444444444444445</v>
      </c>
    </row>
    <row r="557" spans="1:9" x14ac:dyDescent="0.2">
      <c r="A557" s="11">
        <v>52.1</v>
      </c>
      <c r="B557" s="14">
        <v>3.133</v>
      </c>
      <c r="C557" s="11">
        <f t="shared" si="37"/>
        <v>6751.6357799867019</v>
      </c>
      <c r="D557" s="11">
        <f t="shared" si="34"/>
        <v>202.88053333656825</v>
      </c>
      <c r="E557" s="11">
        <f t="shared" si="35"/>
        <v>1051.3962380206033</v>
      </c>
      <c r="F557" s="11">
        <f>Speed_Calc!B$5*E557</f>
        <v>946.25661421854295</v>
      </c>
      <c r="G557" s="14">
        <f>Speed_Calc!G$3+Speed_Calc!G$5*A557^2</f>
        <v>30.884784100000001</v>
      </c>
      <c r="H557" s="7">
        <f>(F557-G557)/Speed_Calc!G$2*9.806</f>
        <v>6.6489897526980961</v>
      </c>
      <c r="I557" s="4">
        <f t="shared" si="36"/>
        <v>14.472222222222221</v>
      </c>
    </row>
    <row r="558" spans="1:9" x14ac:dyDescent="0.2">
      <c r="A558" s="11">
        <v>52.2</v>
      </c>
      <c r="B558" s="14">
        <v>3.133</v>
      </c>
      <c r="C558" s="11">
        <f t="shared" si="37"/>
        <v>6764.5947738062532</v>
      </c>
      <c r="D558" s="11">
        <f t="shared" si="34"/>
        <v>203.42268225978034</v>
      </c>
      <c r="E558" s="11">
        <f t="shared" si="35"/>
        <v>1052.1862875505881</v>
      </c>
      <c r="F558" s="11">
        <f>Speed_Calc!B$5*E558</f>
        <v>946.96765879552925</v>
      </c>
      <c r="G558" s="14">
        <f>Speed_Calc!G$3+Speed_Calc!G$5*A558^2</f>
        <v>30.926608399999999</v>
      </c>
      <c r="H558" s="7">
        <f>(F558-G558)/Speed_Calc!G$2*9.806</f>
        <v>6.6538507705026371</v>
      </c>
      <c r="I558" s="4">
        <f t="shared" si="36"/>
        <v>14.5</v>
      </c>
    </row>
    <row r="559" spans="1:9" x14ac:dyDescent="0.2">
      <c r="A559" s="11">
        <v>52.3</v>
      </c>
      <c r="B559" s="14">
        <v>3.133</v>
      </c>
      <c r="C559" s="11">
        <f t="shared" si="37"/>
        <v>6777.5537676258064</v>
      </c>
      <c r="D559" s="11">
        <f t="shared" si="34"/>
        <v>203.96423867902547</v>
      </c>
      <c r="E559" s="11">
        <f t="shared" si="35"/>
        <v>1052.9702570427701</v>
      </c>
      <c r="F559" s="11">
        <f>Speed_Calc!B$5*E559</f>
        <v>947.67323133849311</v>
      </c>
      <c r="G559" s="14">
        <f>Speed_Calc!G$3+Speed_Calc!G$5*A559^2</f>
        <v>30.968512899999997</v>
      </c>
      <c r="H559" s="7">
        <f>(F559-G559)/Speed_Calc!G$2*9.806</f>
        <v>6.6586714585243429</v>
      </c>
      <c r="I559" s="4">
        <f t="shared" si="36"/>
        <v>14.527777777777777</v>
      </c>
    </row>
    <row r="560" spans="1:9" x14ac:dyDescent="0.2">
      <c r="A560" s="11">
        <v>52.4</v>
      </c>
      <c r="B560" s="14">
        <v>3.133</v>
      </c>
      <c r="C560" s="11">
        <f t="shared" si="37"/>
        <v>6790.5127614453595</v>
      </c>
      <c r="D560" s="11">
        <f t="shared" si="34"/>
        <v>204.50516422487485</v>
      </c>
      <c r="E560" s="11">
        <f t="shared" si="35"/>
        <v>1053.7479836014543</v>
      </c>
      <c r="F560" s="11">
        <f>Speed_Calc!B$5*E560</f>
        <v>948.37318524130887</v>
      </c>
      <c r="G560" s="14">
        <f>Speed_Calc!G$3+Speed_Calc!G$5*A560^2</f>
        <v>31.010497600000001</v>
      </c>
      <c r="H560" s="7">
        <f>(F560-G560)/Speed_Calc!G$2*9.806</f>
        <v>6.6634507518597585</v>
      </c>
      <c r="I560" s="4">
        <f t="shared" si="36"/>
        <v>14.555555555555555</v>
      </c>
    </row>
    <row r="561" spans="1:9" x14ac:dyDescent="0.2">
      <c r="A561" s="11">
        <v>52.5</v>
      </c>
      <c r="B561" s="14">
        <v>3.133</v>
      </c>
      <c r="C561" s="11">
        <f t="shared" si="37"/>
        <v>6803.4717552649099</v>
      </c>
      <c r="D561" s="11">
        <f t="shared" si="34"/>
        <v>205.04542007073567</v>
      </c>
      <c r="E561" s="11">
        <f t="shared" si="35"/>
        <v>1054.5193032209263</v>
      </c>
      <c r="F561" s="11">
        <f>Speed_Calc!B$5*E561</f>
        <v>949.0673728988337</v>
      </c>
      <c r="G561" s="14">
        <f>Speed_Calc!G$3+Speed_Calc!G$5*A561^2</f>
        <v>31.052562500000001</v>
      </c>
      <c r="H561" s="7">
        <f>(F561-G561)/Speed_Calc!G$2*9.806</f>
        <v>6.6681875783488609</v>
      </c>
      <c r="I561" s="4">
        <f t="shared" si="36"/>
        <v>14.583333333333332</v>
      </c>
    </row>
    <row r="562" spans="1:9" x14ac:dyDescent="0.2">
      <c r="A562" s="11">
        <v>52.6</v>
      </c>
      <c r="B562" s="14">
        <v>3.133</v>
      </c>
      <c r="C562" s="11">
        <f t="shared" si="37"/>
        <v>6816.4307490844631</v>
      </c>
      <c r="D562" s="11">
        <f t="shared" si="34"/>
        <v>205.58496693079803</v>
      </c>
      <c r="E562" s="11">
        <f t="shared" si="35"/>
        <v>1055.2840507854653</v>
      </c>
      <c r="F562" s="11">
        <f>Speed_Calc!B$5*E562</f>
        <v>949.75564570691881</v>
      </c>
      <c r="G562" s="14">
        <f>Speed_Calc!G$3+Speed_Calc!G$5*A562^2</f>
        <v>31.0947076</v>
      </c>
      <c r="H562" s="7">
        <f>(F562-G562)/Speed_Calc!G$2*9.806</f>
        <v>6.6728808585751445</v>
      </c>
      <c r="I562" s="4">
        <f t="shared" si="36"/>
        <v>14.611111111111111</v>
      </c>
    </row>
    <row r="563" spans="1:9" x14ac:dyDescent="0.2">
      <c r="A563" s="11">
        <v>52.7</v>
      </c>
      <c r="B563" s="14">
        <v>3.133</v>
      </c>
      <c r="C563" s="11">
        <f t="shared" si="37"/>
        <v>6829.3897429040153</v>
      </c>
      <c r="D563" s="11">
        <f t="shared" si="34"/>
        <v>206.12376505797849</v>
      </c>
      <c r="E563" s="11">
        <f t="shared" si="35"/>
        <v>1056.0420600693394</v>
      </c>
      <c r="F563" s="11">
        <f>Speed_Calc!B$5*E563</f>
        <v>950.43785406240545</v>
      </c>
      <c r="G563" s="14">
        <f>Speed_Calc!G$3+Speed_Calc!G$5*A563^2</f>
        <v>31.136932900000001</v>
      </c>
      <c r="H563" s="7">
        <f>(F563-G563)/Speed_Calc!G$2*9.806</f>
        <v>6.6775295058655901</v>
      </c>
      <c r="I563" s="4">
        <f t="shared" si="36"/>
        <v>14.638888888888889</v>
      </c>
    </row>
    <row r="564" spans="1:9" x14ac:dyDescent="0.2">
      <c r="A564" s="11">
        <v>52.8</v>
      </c>
      <c r="B564" s="14">
        <v>3.133</v>
      </c>
      <c r="C564" s="11">
        <f t="shared" si="37"/>
        <v>6842.3487367235666</v>
      </c>
      <c r="D564" s="11">
        <f t="shared" si="34"/>
        <v>206.66177424186588</v>
      </c>
      <c r="E564" s="11">
        <f t="shared" si="35"/>
        <v>1056.7931637368142</v>
      </c>
      <c r="F564" s="11">
        <f>Speed_Calc!B$5*E564</f>
        <v>951.11384736313278</v>
      </c>
      <c r="G564" s="14">
        <f>Speed_Calc!G$3+Speed_Calc!G$5*A564^2</f>
        <v>31.179238399999996</v>
      </c>
      <c r="H564" s="7">
        <f>(F564-G564)/Speed_Calc!G$2*9.806</f>
        <v>6.6821324262907256</v>
      </c>
      <c r="I564" s="4">
        <f t="shared" si="36"/>
        <v>14.666666666666666</v>
      </c>
    </row>
    <row r="565" spans="1:9" x14ac:dyDescent="0.2">
      <c r="A565" s="11">
        <v>52.9</v>
      </c>
      <c r="B565" s="14">
        <v>3.133</v>
      </c>
      <c r="C565" s="11">
        <f t="shared" si="37"/>
        <v>6855.3077305431179</v>
      </c>
      <c r="D565" s="11">
        <f t="shared" si="34"/>
        <v>207.19895380666401</v>
      </c>
      <c r="E565" s="11">
        <f t="shared" si="35"/>
        <v>1057.5371933421418</v>
      </c>
      <c r="F565" s="11">
        <f>Speed_Calc!B$5*E565</f>
        <v>951.78347400792768</v>
      </c>
      <c r="G565" s="14">
        <f>Speed_Calc!G$3+Speed_Calc!G$5*A565^2</f>
        <v>31.2216241</v>
      </c>
      <c r="H565" s="7">
        <f>(F565-G565)/Speed_Calc!G$2*9.806</f>
        <v>6.6866885186645471</v>
      </c>
      <c r="I565" s="4">
        <f t="shared" si="36"/>
        <v>14.694444444444443</v>
      </c>
    </row>
    <row r="566" spans="1:9" x14ac:dyDescent="0.2">
      <c r="A566" s="11">
        <v>53</v>
      </c>
      <c r="B566" s="14">
        <v>3.133</v>
      </c>
      <c r="C566" s="11">
        <f t="shared" si="37"/>
        <v>6868.266724362672</v>
      </c>
      <c r="D566" s="11">
        <f t="shared" si="34"/>
        <v>207.73526260913741</v>
      </c>
      <c r="E566" s="11">
        <f t="shared" si="35"/>
        <v>1058.273979329568</v>
      </c>
      <c r="F566" s="11">
        <f>Speed_Calc!B$5*E566</f>
        <v>952.44658139661124</v>
      </c>
      <c r="G566" s="14">
        <f>Speed_Calc!G$3+Speed_Calc!G$5*A566^2</f>
        <v>31.264089999999999</v>
      </c>
      <c r="H566" s="7">
        <f>(F566-G566)/Speed_Calc!G$2*9.806</f>
        <v>6.6911966745445692</v>
      </c>
      <c r="I566" s="4">
        <f t="shared" si="36"/>
        <v>14.722222222222221</v>
      </c>
    </row>
    <row r="567" spans="1:9" x14ac:dyDescent="0.2">
      <c r="A567" s="11">
        <v>53.1</v>
      </c>
      <c r="B567" s="14">
        <v>3.133</v>
      </c>
      <c r="C567" s="11">
        <f t="shared" si="37"/>
        <v>6881.2257181822233</v>
      </c>
      <c r="D567" s="11">
        <f t="shared" si="34"/>
        <v>208.2706590365546</v>
      </c>
      <c r="E567" s="11">
        <f t="shared" si="35"/>
        <v>1059.0033510333285</v>
      </c>
      <c r="F567" s="11">
        <f>Speed_Calc!B$5*E567</f>
        <v>953.10301592999565</v>
      </c>
      <c r="G567" s="14">
        <f>Speed_Calc!G$3+Speed_Calc!G$5*A567^2</f>
        <v>31.306636099999999</v>
      </c>
      <c r="H567" s="7">
        <f>(F567-G567)/Speed_Calc!G$2*9.806</f>
        <v>6.6956557782318047</v>
      </c>
      <c r="I567" s="4">
        <f t="shared" si="36"/>
        <v>14.75</v>
      </c>
    </row>
    <row r="568" spans="1:9" x14ac:dyDescent="0.2">
      <c r="A568" s="11">
        <v>53.2</v>
      </c>
      <c r="B568" s="14">
        <v>3.133</v>
      </c>
      <c r="C568" s="11">
        <f t="shared" si="37"/>
        <v>6894.1847120017774</v>
      </c>
      <c r="D568" s="11">
        <f t="shared" si="34"/>
        <v>208.80510100463295</v>
      </c>
      <c r="E568" s="11">
        <f t="shared" si="35"/>
        <v>1059.7251366776482</v>
      </c>
      <c r="F568" s="11">
        <f>Speed_Calc!B$5*E568</f>
        <v>953.75262300988334</v>
      </c>
      <c r="G568" s="14">
        <f>Speed_Calc!G$3+Speed_Calc!G$5*A568^2</f>
        <v>31.349262400000001</v>
      </c>
      <c r="H568" s="7">
        <f>(F568-G568)/Speed_Calc!G$2*9.806</f>
        <v>6.7000647067707515</v>
      </c>
      <c r="I568" s="4">
        <f t="shared" si="36"/>
        <v>14.777777777777779</v>
      </c>
    </row>
    <row r="569" spans="1:9" x14ac:dyDescent="0.2">
      <c r="A569" s="11">
        <v>53.3</v>
      </c>
      <c r="B569" s="14">
        <v>3.133</v>
      </c>
      <c r="C569" s="11">
        <f t="shared" si="37"/>
        <v>6907.1437058213287</v>
      </c>
      <c r="D569" s="11">
        <f t="shared" si="34"/>
        <v>209.33854595548405</v>
      </c>
      <c r="E569" s="11">
        <f t="shared" si="35"/>
        <v>1060.4391633767482</v>
      </c>
      <c r="F569" s="11">
        <f>Speed_Calc!B$5*E569</f>
        <v>954.39524703907341</v>
      </c>
      <c r="G569" s="14">
        <f>Speed_Calc!G$3+Speed_Calc!G$5*A569^2</f>
        <v>31.391968899999998</v>
      </c>
      <c r="H569" s="7">
        <f>(F569-G569)/Speed_Calc!G$2*9.806</f>
        <v>6.7044223299494465</v>
      </c>
      <c r="I569" s="4">
        <f t="shared" si="36"/>
        <v>14.805555555555554</v>
      </c>
    </row>
    <row r="570" spans="1:9" x14ac:dyDescent="0.2">
      <c r="A570" s="11">
        <v>53.4</v>
      </c>
      <c r="B570" s="14">
        <v>3.133</v>
      </c>
      <c r="C570" s="11">
        <f t="shared" si="37"/>
        <v>6920.10269964088</v>
      </c>
      <c r="D570" s="11">
        <f t="shared" si="34"/>
        <v>209.87095085555629</v>
      </c>
      <c r="E570" s="11">
        <f t="shared" si="35"/>
        <v>1061.1452571348357</v>
      </c>
      <c r="F570" s="11">
        <f>Speed_Calc!B$5*E570</f>
        <v>955.03073142135213</v>
      </c>
      <c r="G570" s="14">
        <f>Speed_Calc!G$3+Speed_Calc!G$5*A570^2</f>
        <v>31.434755599999999</v>
      </c>
      <c r="H570" s="7">
        <f>(F570-G570)/Speed_Calc!G$2*9.806</f>
        <v>6.7087275102993917</v>
      </c>
      <c r="I570" s="4">
        <f t="shared" si="36"/>
        <v>14.833333333333332</v>
      </c>
    </row>
    <row r="571" spans="1:9" x14ac:dyDescent="0.2">
      <c r="A571" s="11">
        <v>53.5</v>
      </c>
      <c r="B571" s="14">
        <v>3.133</v>
      </c>
      <c r="C571" s="11">
        <f t="shared" si="37"/>
        <v>6933.0616934604332</v>
      </c>
      <c r="D571" s="11">
        <f t="shared" si="34"/>
        <v>210.40227219358263</v>
      </c>
      <c r="E571" s="11">
        <f t="shared" si="35"/>
        <v>1061.8432428461178</v>
      </c>
      <c r="F571" s="11">
        <f>Speed_Calc!B$5*E571</f>
        <v>955.65891856150608</v>
      </c>
      <c r="G571" s="14">
        <f>Speed_Calc!G$3+Speed_Calc!G$5*A571^2</f>
        <v>31.477622499999999</v>
      </c>
      <c r="H571" s="7">
        <f>(F571-G571)/Speed_Calc!G$2*9.806</f>
        <v>6.71297910309565</v>
      </c>
      <c r="I571" s="4">
        <f t="shared" si="36"/>
        <v>14.861111111111111</v>
      </c>
    </row>
    <row r="572" spans="1:9" x14ac:dyDescent="0.2">
      <c r="A572" s="11">
        <v>53.6</v>
      </c>
      <c r="B572" s="14">
        <v>3.133</v>
      </c>
      <c r="C572" s="11">
        <f t="shared" si="37"/>
        <v>6946.0206872799863</v>
      </c>
      <c r="D572" s="11">
        <f t="shared" si="34"/>
        <v>210.93246597851902</v>
      </c>
      <c r="E572" s="11">
        <f t="shared" si="35"/>
        <v>1062.5329442947786</v>
      </c>
      <c r="F572" s="11">
        <f>Speed_Calc!B$5*E572</f>
        <v>956.27964986530083</v>
      </c>
      <c r="G572" s="14">
        <f>Speed_Calc!G$3+Speed_Calc!G$5*A572^2</f>
        <v>31.520569600000002</v>
      </c>
      <c r="H572" s="7">
        <f>(F572-G572)/Speed_Calc!G$2*9.806</f>
        <v>6.7171759563566953</v>
      </c>
      <c r="I572" s="4">
        <f t="shared" si="36"/>
        <v>14.888888888888889</v>
      </c>
    </row>
    <row r="573" spans="1:9" x14ac:dyDescent="0.2">
      <c r="A573" s="11">
        <v>53.7</v>
      </c>
      <c r="B573" s="14">
        <v>3.133</v>
      </c>
      <c r="C573" s="11">
        <f t="shared" si="37"/>
        <v>6958.9796810995385</v>
      </c>
      <c r="D573" s="11">
        <f t="shared" si="34"/>
        <v>211.46148773749701</v>
      </c>
      <c r="E573" s="11">
        <f t="shared" si="35"/>
        <v>1063.2141841550126</v>
      </c>
      <c r="F573" s="11">
        <f>Speed_Calc!B$5*E573</f>
        <v>956.89276573951133</v>
      </c>
      <c r="G573" s="14">
        <f>Speed_Calc!G$3+Speed_Calc!G$5*A573^2</f>
        <v>31.5635969</v>
      </c>
      <c r="H573" s="7">
        <f>(F573-G573)/Speed_Calc!G$2*9.806</f>
        <v>6.721316910844628</v>
      </c>
      <c r="I573" s="4">
        <f t="shared" si="36"/>
        <v>14.916666666666668</v>
      </c>
    </row>
    <row r="574" spans="1:9" x14ac:dyDescent="0.2">
      <c r="A574" s="11">
        <v>53.8</v>
      </c>
      <c r="B574" s="14">
        <v>3.133</v>
      </c>
      <c r="C574" s="11">
        <f t="shared" si="37"/>
        <v>6971.9386749190899</v>
      </c>
      <c r="D574" s="11">
        <f t="shared" si="34"/>
        <v>211.98929251376009</v>
      </c>
      <c r="E574" s="11">
        <f t="shared" si="35"/>
        <v>1063.8867839909892</v>
      </c>
      <c r="F574" s="11">
        <f>Speed_Calc!B$5*E574</f>
        <v>957.49810559189029</v>
      </c>
      <c r="G574" s="14">
        <f>Speed_Calc!G$3+Speed_Calc!G$5*A574^2</f>
        <v>31.606704399999998</v>
      </c>
      <c r="H574" s="7">
        <f>(F574-G574)/Speed_Calc!G$2*9.806</f>
        <v>6.7254008000649446</v>
      </c>
      <c r="I574" s="4">
        <f t="shared" si="36"/>
        <v>14.944444444444443</v>
      </c>
    </row>
    <row r="575" spans="1:9" x14ac:dyDescent="0.2">
      <c r="A575" s="11">
        <v>53.9</v>
      </c>
      <c r="B575" s="14">
        <v>3.133</v>
      </c>
      <c r="C575" s="11">
        <f t="shared" si="37"/>
        <v>6984.8976687386403</v>
      </c>
      <c r="D575" s="11">
        <f t="shared" si="34"/>
        <v>212.51583486461215</v>
      </c>
      <c r="E575" s="11">
        <f t="shared" si="35"/>
        <v>1064.5505642568698</v>
      </c>
      <c r="F575" s="11">
        <f>Speed_Calc!B$5*E575</f>
        <v>958.09550783118289</v>
      </c>
      <c r="G575" s="14">
        <f>Speed_Calc!G$3+Speed_Calc!G$5*A575^2</f>
        <v>31.649892099999999</v>
      </c>
      <c r="H575" s="7">
        <f>(F575-G575)/Speed_Calc!G$2*9.806</f>
        <v>6.7294264502666508</v>
      </c>
      <c r="I575" s="4">
        <f t="shared" si="36"/>
        <v>14.972222222222221</v>
      </c>
    </row>
    <row r="576" spans="1:9" x14ac:dyDescent="0.2">
      <c r="A576" s="11">
        <v>54</v>
      </c>
      <c r="B576" s="14">
        <v>3.133</v>
      </c>
      <c r="C576" s="11">
        <f t="shared" si="37"/>
        <v>6997.8566625581952</v>
      </c>
      <c r="D576" s="11">
        <f t="shared" si="34"/>
        <v>213.04106885936451</v>
      </c>
      <c r="E576" s="11">
        <f t="shared" si="35"/>
        <v>1065.2053442968222</v>
      </c>
      <c r="F576" s="11">
        <f>Speed_Calc!B$5*E576</f>
        <v>958.68480986713996</v>
      </c>
      <c r="G576" s="14">
        <f>Speed_Calc!G$3+Speed_Calc!G$5*A576^2</f>
        <v>31.693159999999999</v>
      </c>
      <c r="H576" s="7">
        <f>(F576-G576)/Speed_Calc!G$2*9.806</f>
        <v>6.7333926804423498</v>
      </c>
      <c r="I576" s="4">
        <f t="shared" si="36"/>
        <v>15</v>
      </c>
    </row>
    <row r="577" spans="1:9" x14ac:dyDescent="0.2">
      <c r="A577" s="11">
        <v>54.1</v>
      </c>
      <c r="B577" s="14">
        <v>3.133</v>
      </c>
      <c r="C577" s="11">
        <f t="shared" si="37"/>
        <v>7010.8156563777466</v>
      </c>
      <c r="D577" s="11">
        <f t="shared" si="34"/>
        <v>213.56494807727336</v>
      </c>
      <c r="E577" s="11">
        <f t="shared" si="35"/>
        <v>1065.8509423449873</v>
      </c>
      <c r="F577" s="11">
        <f>Speed_Calc!B$5*E577</f>
        <v>959.26584811048861</v>
      </c>
      <c r="G577" s="14">
        <f>Speed_Calc!G$3+Speed_Calc!G$5*A577^2</f>
        <v>31.736508099999998</v>
      </c>
      <c r="H577" s="7">
        <f>(F577-G577)/Speed_Calc!G$2*9.806</f>
        <v>6.7372983023280373</v>
      </c>
      <c r="I577" s="4">
        <f t="shared" si="36"/>
        <v>15.027777777777779</v>
      </c>
    </row>
    <row r="578" spans="1:9" x14ac:dyDescent="0.2">
      <c r="A578" s="11">
        <v>54.2</v>
      </c>
      <c r="B578" s="14">
        <v>3.133</v>
      </c>
      <c r="C578" s="11">
        <f t="shared" si="37"/>
        <v>7023.7746501972988</v>
      </c>
      <c r="D578" s="11">
        <f t="shared" si="34"/>
        <v>214.08742560549223</v>
      </c>
      <c r="E578" s="11">
        <f t="shared" si="35"/>
        <v>1066.4871755255147</v>
      </c>
      <c r="F578" s="11">
        <f>Speed_Calc!B$5*E578</f>
        <v>959.83845797296317</v>
      </c>
      <c r="G578" s="14">
        <f>Speed_Calc!G$3+Speed_Calc!G$5*A578^2</f>
        <v>31.7799364</v>
      </c>
      <c r="H578" s="7">
        <f>(F578-G578)/Speed_Calc!G$2*9.806</f>
        <v>6.7411421204033157</v>
      </c>
      <c r="I578" s="4">
        <f t="shared" si="36"/>
        <v>15.055555555555555</v>
      </c>
    </row>
    <row r="579" spans="1:9" x14ac:dyDescent="0.2">
      <c r="A579" s="11">
        <v>54.3</v>
      </c>
      <c r="B579" s="14">
        <v>3.133</v>
      </c>
      <c r="C579" s="11">
        <f t="shared" si="37"/>
        <v>7036.7336440168501</v>
      </c>
      <c r="D579" s="11">
        <f t="shared" si="34"/>
        <v>214.60845403700856</v>
      </c>
      <c r="E579" s="11">
        <f t="shared" si="35"/>
        <v>1067.1138598525288</v>
      </c>
      <c r="F579" s="11">
        <f>Speed_Calc!B$5*E579</f>
        <v>960.40247386727594</v>
      </c>
      <c r="G579" s="14">
        <f>Speed_Calc!G$3+Speed_Calc!G$5*A579^2</f>
        <v>31.823444899999998</v>
      </c>
      <c r="H579" s="7">
        <f>(F579-G579)/Speed_Calc!G$2*9.806</f>
        <v>6.7449229318911899</v>
      </c>
      <c r="I579" s="4">
        <f t="shared" si="36"/>
        <v>15.083333333333332</v>
      </c>
    </row>
    <row r="580" spans="1:9" x14ac:dyDescent="0.2">
      <c r="A580" s="11">
        <v>54.4</v>
      </c>
      <c r="B580" s="14">
        <v>3.133</v>
      </c>
      <c r="C580" s="11">
        <f t="shared" si="37"/>
        <v>7049.6926378364014</v>
      </c>
      <c r="D580" s="11">
        <f t="shared" si="34"/>
        <v>215.12798546859415</v>
      </c>
      <c r="E580" s="11">
        <f t="shared" si="35"/>
        <v>1067.7308102301549</v>
      </c>
      <c r="F580" s="11">
        <f>Speed_Calc!B$5*E580</f>
        <v>960.95772920713944</v>
      </c>
      <c r="G580" s="14">
        <f>Speed_Calc!G$3+Speed_Calc!G$5*A580^2</f>
        <v>31.867033599999999</v>
      </c>
      <c r="H580" s="7">
        <f>(F580-G580)/Speed_Calc!G$2*9.806</f>
        <v>6.748639526758228</v>
      </c>
      <c r="I580" s="4">
        <f t="shared" si="36"/>
        <v>15.111111111111111</v>
      </c>
    </row>
    <row r="581" spans="1:9" x14ac:dyDescent="0.2">
      <c r="A581" s="11">
        <v>54.5</v>
      </c>
      <c r="B581" s="14">
        <v>3.133</v>
      </c>
      <c r="C581" s="11">
        <f t="shared" si="37"/>
        <v>7062.6516316559555</v>
      </c>
      <c r="D581" s="11">
        <f t="shared" si="34"/>
        <v>215.64597149874768</v>
      </c>
      <c r="E581" s="11">
        <f t="shared" si="35"/>
        <v>1068.3378404525113</v>
      </c>
      <c r="F581" s="11">
        <f>Speed_Calc!B$5*E581</f>
        <v>961.50405640726012</v>
      </c>
      <c r="G581" s="14">
        <f>Speed_Calc!G$3+Speed_Calc!G$5*A581^2</f>
        <v>31.910702499999999</v>
      </c>
      <c r="H581" s="7">
        <f>(F581-G581)/Speed_Calc!G$2*9.806</f>
        <v>6.7522906877145124</v>
      </c>
      <c r="I581" s="4">
        <f t="shared" si="36"/>
        <v>15.138888888888889</v>
      </c>
    </row>
    <row r="582" spans="1:9" x14ac:dyDescent="0.2">
      <c r="A582" s="11">
        <v>54.6</v>
      </c>
      <c r="B582" s="14">
        <v>3.133</v>
      </c>
      <c r="C582" s="11">
        <f t="shared" si="37"/>
        <v>7075.6106254755068</v>
      </c>
      <c r="D582" s="11">
        <f t="shared" si="34"/>
        <v>216.16236322563572</v>
      </c>
      <c r="E582" s="11">
        <f t="shared" si="35"/>
        <v>1068.9347632036931</v>
      </c>
      <c r="F582" s="11">
        <f>Speed_Calc!B$5*E582</f>
        <v>962.04128688332389</v>
      </c>
      <c r="G582" s="14">
        <f>Speed_Calc!G$3+Speed_Calc!G$5*A582^2</f>
        <v>31.954451599999999</v>
      </c>
      <c r="H582" s="7">
        <f>(F582-G582)/Speed_Calc!G$2*9.806</f>
        <v>6.7558751902135352</v>
      </c>
      <c r="I582" s="4">
        <f t="shared" si="36"/>
        <v>15.166666666666666</v>
      </c>
    </row>
    <row r="583" spans="1:9" x14ac:dyDescent="0.2">
      <c r="A583" s="11">
        <v>54.7</v>
      </c>
      <c r="B583" s="14">
        <v>3.133</v>
      </c>
      <c r="C583" s="11">
        <f t="shared" si="37"/>
        <v>7088.5696192950581</v>
      </c>
      <c r="D583" s="11">
        <f t="shared" si="34"/>
        <v>216.67711124504581</v>
      </c>
      <c r="E583" s="11">
        <f t="shared" si="35"/>
        <v>1069.5213900578131</v>
      </c>
      <c r="F583" s="11">
        <f>Speed_Calc!B$5*E583</f>
        <v>962.56925105203175</v>
      </c>
      <c r="G583" s="14">
        <f>Speed_Calc!G$3+Speed_Calc!G$5*A583^2</f>
        <v>31.998280899999997</v>
      </c>
      <c r="H583" s="7">
        <f>(F583-G583)/Speed_Calc!G$2*9.806</f>
        <v>6.7593918024524617</v>
      </c>
      <c r="I583" s="4">
        <f t="shared" si="36"/>
        <v>15.194444444444445</v>
      </c>
    </row>
    <row r="584" spans="1:9" x14ac:dyDescent="0.2">
      <c r="A584" s="11">
        <v>54.8</v>
      </c>
      <c r="B584" s="14">
        <v>3.133</v>
      </c>
      <c r="C584" s="11">
        <f t="shared" si="37"/>
        <v>7101.5286131146104</v>
      </c>
      <c r="D584" s="11">
        <f t="shared" si="34"/>
        <v>217.19016564831952</v>
      </c>
      <c r="E584" s="11">
        <f t="shared" si="35"/>
        <v>1070.0975314789471</v>
      </c>
      <c r="F584" s="11">
        <f>Speed_Calc!B$5*E584</f>
        <v>963.08777833105239</v>
      </c>
      <c r="G584" s="14">
        <f>Speed_Calc!G$3+Speed_Calc!G$5*A584^2</f>
        <v>32.042190399999996</v>
      </c>
      <c r="H584" s="7">
        <f>(F584-G584)/Speed_Calc!G$2*9.806</f>
        <v>6.7628392853717765</v>
      </c>
      <c r="I584" s="4">
        <f t="shared" si="36"/>
        <v>15.222222222222221</v>
      </c>
    </row>
    <row r="585" spans="1:9" x14ac:dyDescent="0.2">
      <c r="A585" s="11">
        <v>54.9</v>
      </c>
      <c r="B585" s="14">
        <v>3.133</v>
      </c>
      <c r="C585" s="11">
        <f t="shared" si="37"/>
        <v>7114.4876069341635</v>
      </c>
      <c r="D585" s="11">
        <f t="shared" si="34"/>
        <v>217.7014760203071</v>
      </c>
      <c r="E585" s="11">
        <f t="shared" si="35"/>
        <v>1070.6629968211826</v>
      </c>
      <c r="F585" s="11">
        <f>Speed_Calc!B$5*E585</f>
        <v>963.5966971390643</v>
      </c>
      <c r="G585" s="14">
        <f>Speed_Calc!G$3+Speed_Calc!G$5*A585^2</f>
        <v>32.0861801</v>
      </c>
      <c r="H585" s="7">
        <f>(F585-G585)/Speed_Calc!G$2*9.806</f>
        <v>6.7662163926556032</v>
      </c>
      <c r="I585" s="4">
        <f t="shared" si="36"/>
        <v>15.25</v>
      </c>
    </row>
    <row r="586" spans="1:9" x14ac:dyDescent="0.2">
      <c r="A586" s="11">
        <v>55</v>
      </c>
      <c r="B586" s="14">
        <v>3.133</v>
      </c>
      <c r="C586" s="11">
        <f t="shared" si="37"/>
        <v>7127.4466007537148</v>
      </c>
      <c r="D586" s="11">
        <f t="shared" si="34"/>
        <v>218.21099143730422</v>
      </c>
      <c r="E586" s="11">
        <f t="shared" si="35"/>
        <v>1071.2175943285845</v>
      </c>
      <c r="F586" s="11">
        <f>Speed_Calc!B$5*E586</f>
        <v>964.09583489572606</v>
      </c>
      <c r="G586" s="14">
        <f>Speed_Calc!G$3+Speed_Calc!G$5*A586^2</f>
        <v>32.130249999999997</v>
      </c>
      <c r="H586" s="7">
        <f>(F586-G586)/Speed_Calc!G$2*9.806</f>
        <v>6.7695218707314728</v>
      </c>
      <c r="I586" s="4">
        <f t="shared" si="36"/>
        <v>15.277777777777777</v>
      </c>
    </row>
    <row r="587" spans="1:9" x14ac:dyDescent="0.2">
      <c r="A587" s="11">
        <v>55.1</v>
      </c>
      <c r="B587" s="14">
        <v>3.133</v>
      </c>
      <c r="C587" s="11">
        <f t="shared" si="37"/>
        <v>7140.4055945732689</v>
      </c>
      <c r="D587" s="11">
        <f t="shared" si="34"/>
        <v>218.71866046500224</v>
      </c>
      <c r="E587" s="11">
        <f t="shared" si="35"/>
        <v>1071.7611311352196</v>
      </c>
      <c r="F587" s="11">
        <f>Speed_Calc!B$5*E587</f>
        <v>964.58501802169758</v>
      </c>
      <c r="G587" s="14">
        <f>Speed_Calc!G$3+Speed_Calc!G$5*A587^2</f>
        <v>32.1744001</v>
      </c>
      <c r="H587" s="7">
        <f>(F587-G587)/Speed_Calc!G$2*9.806</f>
        <v>6.7727544587704935</v>
      </c>
      <c r="I587" s="4">
        <f t="shared" si="36"/>
        <v>15.305555555555555</v>
      </c>
    </row>
    <row r="588" spans="1:9" x14ac:dyDescent="0.2">
      <c r="A588" s="11">
        <v>55.2</v>
      </c>
      <c r="B588" s="14">
        <v>3.133</v>
      </c>
      <c r="C588" s="11">
        <f t="shared" si="37"/>
        <v>7153.364588392822</v>
      </c>
      <c r="D588" s="11">
        <f t="shared" si="34"/>
        <v>219.22443115642977</v>
      </c>
      <c r="E588" s="11">
        <f t="shared" si="35"/>
        <v>1072.2934132651455</v>
      </c>
      <c r="F588" s="11">
        <f>Speed_Calc!B$5*E588</f>
        <v>965.06407193863106</v>
      </c>
      <c r="G588" s="14">
        <f>Speed_Calc!G$3+Speed_Calc!G$5*A588^2</f>
        <v>32.218630400000002</v>
      </c>
      <c r="H588" s="7">
        <f>(F588-G588)/Speed_Calc!G$2*9.806</f>
        <v>6.7759128886872704</v>
      </c>
      <c r="I588" s="4">
        <f t="shared" si="36"/>
        <v>15.333333333333334</v>
      </c>
    </row>
    <row r="589" spans="1:9" x14ac:dyDescent="0.2">
      <c r="A589" s="11">
        <v>55.3</v>
      </c>
      <c r="B589" s="14">
        <v>3.133</v>
      </c>
      <c r="C589" s="11">
        <f t="shared" si="37"/>
        <v>7166.3235822123715</v>
      </c>
      <c r="D589" s="11">
        <f t="shared" si="34"/>
        <v>219.72825104989494</v>
      </c>
      <c r="E589" s="11">
        <f t="shared" si="35"/>
        <v>1072.8142456323988</v>
      </c>
      <c r="F589" s="11">
        <f>Speed_Calc!B$5*E589</f>
        <v>965.5328210691589</v>
      </c>
      <c r="G589" s="14">
        <f>Speed_Calc!G$3+Speed_Calc!G$5*A589^2</f>
        <v>32.262940899999997</v>
      </c>
      <c r="H589" s="7">
        <f>(F589-G589)/Speed_Calc!G$2*9.806</f>
        <v>6.7789958851398309</v>
      </c>
      <c r="I589" s="4">
        <f t="shared" si="36"/>
        <v>15.361111111111111</v>
      </c>
    </row>
    <row r="590" spans="1:9" x14ac:dyDescent="0.2">
      <c r="A590" s="11">
        <v>55.4</v>
      </c>
      <c r="B590" s="14">
        <v>3.133</v>
      </c>
      <c r="C590" s="11">
        <f t="shared" si="37"/>
        <v>7179.2825760319238</v>
      </c>
      <c r="D590" s="11">
        <f t="shared" si="34"/>
        <v>220.23006716693445</v>
      </c>
      <c r="E590" s="11">
        <f t="shared" si="35"/>
        <v>1073.3234320410165</v>
      </c>
      <c r="F590" s="11">
        <f>Speed_Calc!B$5*E590</f>
        <v>965.99108883691486</v>
      </c>
      <c r="G590" s="14">
        <f>Speed_Calc!G$3+Speed_Calc!G$5*A590^2</f>
        <v>32.307331599999998</v>
      </c>
      <c r="H590" s="7">
        <f>(F590-G590)/Speed_Calc!G$2*9.806</f>
        <v>6.782002165529768</v>
      </c>
      <c r="I590" s="4">
        <f t="shared" si="36"/>
        <v>15.388888888888888</v>
      </c>
    </row>
    <row r="591" spans="1:9" x14ac:dyDescent="0.2">
      <c r="A591" s="11">
        <v>55.5</v>
      </c>
      <c r="B591" s="14">
        <v>3.133</v>
      </c>
      <c r="C591" s="11">
        <f t="shared" si="37"/>
        <v>7192.241569851476</v>
      </c>
      <c r="D591" s="11">
        <f t="shared" si="34"/>
        <v>220.72982601025774</v>
      </c>
      <c r="E591" s="11">
        <f t="shared" si="35"/>
        <v>1073.8207751850377</v>
      </c>
      <c r="F591" s="11">
        <f>Speed_Calc!B$5*E591</f>
        <v>966.43869766653404</v>
      </c>
      <c r="G591" s="14">
        <f>Speed_Calc!G$3+Speed_Calc!G$5*A591^2</f>
        <v>32.351802499999998</v>
      </c>
      <c r="H591" s="7">
        <f>(F591-G591)/Speed_Calc!G$2*9.806</f>
        <v>6.7849304400022463</v>
      </c>
      <c r="I591" s="4">
        <f t="shared" si="36"/>
        <v>15.416666666666666</v>
      </c>
    </row>
    <row r="592" spans="1:9" x14ac:dyDescent="0.2">
      <c r="A592" s="11">
        <v>55.6</v>
      </c>
      <c r="B592" s="14">
        <v>3.133</v>
      </c>
      <c r="C592" s="11">
        <f t="shared" si="37"/>
        <v>7205.2005636710273</v>
      </c>
      <c r="D592" s="11">
        <f t="shared" si="34"/>
        <v>221.22747356168435</v>
      </c>
      <c r="E592" s="11">
        <f t="shared" si="35"/>
        <v>1074.3060766484675</v>
      </c>
      <c r="F592" s="11">
        <f>Speed_Calc!B$5*E592</f>
        <v>966.87546898362075</v>
      </c>
      <c r="G592" s="14">
        <f>Speed_Calc!G$3+Speed_Calc!G$5*A592^2</f>
        <v>32.396353599999998</v>
      </c>
      <c r="H592" s="7">
        <f>(F592-G592)/Speed_Calc!G$2*9.806</f>
        <v>6.7877794114457659</v>
      </c>
      <c r="I592" s="4">
        <f t="shared" si="36"/>
        <v>15.444444444444445</v>
      </c>
    </row>
    <row r="593" spans="1:9" x14ac:dyDescent="0.2">
      <c r="A593" s="11">
        <v>55.7</v>
      </c>
      <c r="B593" s="14">
        <v>3.133</v>
      </c>
      <c r="C593" s="11">
        <f t="shared" si="37"/>
        <v>7218.1595574905832</v>
      </c>
      <c r="D593" s="11">
        <f t="shared" si="34"/>
        <v>221.72295528009869</v>
      </c>
      <c r="E593" s="11">
        <f t="shared" si="35"/>
        <v>1074.7791369053255</v>
      </c>
      <c r="F593" s="11">
        <f>Speed_Calc!B$5*E593</f>
        <v>967.30122321479291</v>
      </c>
      <c r="G593" s="14">
        <f>Speed_Calc!G$3+Speed_Calc!G$5*A593^2</f>
        <v>32.440984900000004</v>
      </c>
      <c r="H593" s="7">
        <f>(F593-G593)/Speed_Calc!G$2*9.806</f>
        <v>6.7905477754924872</v>
      </c>
      <c r="I593" s="4">
        <f t="shared" si="36"/>
        <v>15.472222222222223</v>
      </c>
    </row>
    <row r="594" spans="1:9" x14ac:dyDescent="0.2">
      <c r="A594" s="11">
        <v>55.8</v>
      </c>
      <c r="B594" s="14">
        <v>3.133</v>
      </c>
      <c r="C594" s="11">
        <f t="shared" si="37"/>
        <v>7231.1185513101336</v>
      </c>
      <c r="D594" s="11">
        <f t="shared" si="34"/>
        <v>222.21621609938541</v>
      </c>
      <c r="E594" s="11">
        <f t="shared" si="35"/>
        <v>1075.239755319607</v>
      </c>
      <c r="F594" s="11">
        <f>Speed_Calc!B$5*E594</f>
        <v>967.71577978764628</v>
      </c>
      <c r="G594" s="14">
        <f>Speed_Calc!G$3+Speed_Calc!G$5*A594^2</f>
        <v>32.485696399999995</v>
      </c>
      <c r="H594" s="7">
        <f>(F594-G594)/Speed_Calc!G$2*9.806</f>
        <v>6.7932342205179701</v>
      </c>
      <c r="I594" s="4">
        <f t="shared" si="36"/>
        <v>15.499999999999998</v>
      </c>
    </row>
    <row r="595" spans="1:9" x14ac:dyDescent="0.2">
      <c r="A595" s="11">
        <v>55.9</v>
      </c>
      <c r="B595" s="14">
        <v>3.133</v>
      </c>
      <c r="C595" s="11">
        <f t="shared" si="37"/>
        <v>7244.0775451296849</v>
      </c>
      <c r="D595" s="11">
        <f t="shared" si="34"/>
        <v>222.70720042638138</v>
      </c>
      <c r="E595" s="11">
        <f t="shared" si="35"/>
        <v>1075.6877301453126</v>
      </c>
      <c r="F595" s="11">
        <f>Speed_Calc!B$5*E595</f>
        <v>968.11895713078138</v>
      </c>
      <c r="G595" s="14">
        <f>Speed_Calc!G$3+Speed_Calc!G$5*A595^2</f>
        <v>32.530488099999999</v>
      </c>
      <c r="H595" s="7">
        <f>(F595-G595)/Speed_Calc!G$2*9.806</f>
        <v>6.7958374276413647</v>
      </c>
      <c r="I595" s="4">
        <f t="shared" si="36"/>
        <v>15.527777777777777</v>
      </c>
    </row>
    <row r="596" spans="1:9" x14ac:dyDescent="0.2">
      <c r="A596" s="11">
        <v>56</v>
      </c>
      <c r="B596" s="14">
        <v>3.133</v>
      </c>
      <c r="C596" s="11">
        <f t="shared" si="37"/>
        <v>7257.0365389492381</v>
      </c>
      <c r="D596" s="11">
        <f t="shared" si="34"/>
        <v>223.19585213881265</v>
      </c>
      <c r="E596" s="11">
        <f t="shared" si="35"/>
        <v>1076.1228585264182</v>
      </c>
      <c r="F596" s="11">
        <f>Speed_Calc!B$5*E596</f>
        <v>968.51057267377644</v>
      </c>
      <c r="G596" s="14">
        <f>Speed_Calc!G$3+Speed_Calc!G$5*A596^2</f>
        <v>32.575360000000003</v>
      </c>
      <c r="H596" s="7">
        <f>(F596-G596)/Speed_Calc!G$2*9.806</f>
        <v>6.7983560707252222</v>
      </c>
      <c r="I596" s="4">
        <f t="shared" si="36"/>
        <v>15.555555555555555</v>
      </c>
    </row>
    <row r="597" spans="1:9" x14ac:dyDescent="0.2">
      <c r="A597" s="11">
        <v>56.1</v>
      </c>
      <c r="B597" s="14">
        <v>3.133</v>
      </c>
      <c r="C597" s="11">
        <f t="shared" si="37"/>
        <v>7269.9955327687903</v>
      </c>
      <c r="D597" s="11">
        <f t="shared" si="34"/>
        <v>223.68211458324643</v>
      </c>
      <c r="E597" s="11">
        <f t="shared" si="35"/>
        <v>1076.5449364969079</v>
      </c>
      <c r="F597" s="11">
        <f>Speed_Calc!B$5*E597</f>
        <v>968.89044284721717</v>
      </c>
      <c r="G597" s="14">
        <f>Speed_Calc!G$3+Speed_Calc!G$5*A597^2</f>
        <v>32.6203121</v>
      </c>
      <c r="H597" s="7">
        <f>(F597-G597)/Speed_Calc!G$2*9.806</f>
        <v>6.8007888163757118</v>
      </c>
      <c r="I597" s="4">
        <f t="shared" si="36"/>
        <v>15.583333333333334</v>
      </c>
    </row>
    <row r="598" spans="1:9" x14ac:dyDescent="0.2">
      <c r="A598" s="11">
        <v>56.2</v>
      </c>
      <c r="B598" s="14">
        <v>3.133</v>
      </c>
      <c r="C598" s="11">
        <f t="shared" si="37"/>
        <v>7282.9545265883417</v>
      </c>
      <c r="D598" s="11">
        <f t="shared" si="34"/>
        <v>224.16593057302862</v>
      </c>
      <c r="E598" s="11">
        <f t="shared" si="35"/>
        <v>1076.9537589807424</v>
      </c>
      <c r="F598" s="11">
        <f>Speed_Calc!B$5*E598</f>
        <v>969.25838308266816</v>
      </c>
      <c r="G598" s="14">
        <f>Speed_Calc!G$3+Speed_Calc!G$5*A598^2</f>
        <v>32.665344400000002</v>
      </c>
      <c r="H598" s="7">
        <f>(F598-G598)/Speed_Calc!G$2*9.806</f>
        <v>6.8031343239424027</v>
      </c>
      <c r="I598" s="4">
        <f t="shared" si="36"/>
        <v>15.611111111111111</v>
      </c>
    </row>
    <row r="599" spans="1:9" x14ac:dyDescent="0.2">
      <c r="A599" s="11">
        <v>56.3</v>
      </c>
      <c r="B599" s="14">
        <v>3.133</v>
      </c>
      <c r="C599" s="11">
        <f t="shared" si="37"/>
        <v>7295.9135204078948</v>
      </c>
      <c r="D599" s="11">
        <f t="shared" si="34"/>
        <v>224.64724238623384</v>
      </c>
      <c r="E599" s="11">
        <f t="shared" si="35"/>
        <v>1077.3491197918852</v>
      </c>
      <c r="F599" s="11">
        <f>Speed_Calc!B$5*E599</f>
        <v>969.61420781269669</v>
      </c>
      <c r="G599" s="14">
        <f>Speed_Calc!G$3+Speed_Calc!G$5*A599^2</f>
        <v>32.710456899999997</v>
      </c>
      <c r="H599" s="7">
        <f>(F599-G599)/Speed_Calc!G$2*9.806</f>
        <v>6.8053912455184475</v>
      </c>
      <c r="I599" s="4">
        <f t="shared" si="36"/>
        <v>15.638888888888888</v>
      </c>
    </row>
    <row r="600" spans="1:9" x14ac:dyDescent="0.2">
      <c r="A600" s="11">
        <v>56.4</v>
      </c>
      <c r="B600" s="14">
        <v>3.133</v>
      </c>
      <c r="C600" s="11">
        <f t="shared" si="37"/>
        <v>7308.8725142274461</v>
      </c>
      <c r="D600" s="11">
        <f t="shared" si="34"/>
        <v>225.12599176360601</v>
      </c>
      <c r="E600" s="11">
        <f t="shared" si="35"/>
        <v>1077.7308116342842</v>
      </c>
      <c r="F600" s="11">
        <f>Speed_Calc!B$5*E600</f>
        <v>969.95773047085584</v>
      </c>
      <c r="G600" s="14">
        <f>Speed_Calc!G$3+Speed_Calc!G$5*A600^2</f>
        <v>32.755649599999998</v>
      </c>
      <c r="H600" s="7">
        <f>(F600-G600)/Speed_Calc!G$2*9.806</f>
        <v>6.8075582259404532</v>
      </c>
      <c r="I600" s="4">
        <f t="shared" si="36"/>
        <v>15.666666666666666</v>
      </c>
    </row>
    <row r="601" spans="1:9" x14ac:dyDescent="0.2">
      <c r="A601" s="11">
        <v>56.5</v>
      </c>
      <c r="B601" s="14">
        <v>3.133</v>
      </c>
      <c r="C601" s="11">
        <f t="shared" si="37"/>
        <v>7321.8315080469984</v>
      </c>
      <c r="D601" s="11">
        <f t="shared" si="34"/>
        <v>225.60211990650362</v>
      </c>
      <c r="E601" s="11">
        <f t="shared" si="35"/>
        <v>1078.0986261018759</v>
      </c>
      <c r="F601" s="11">
        <f>Speed_Calc!B$5*E601</f>
        <v>970.28876349168831</v>
      </c>
      <c r="G601" s="14">
        <f>Speed_Calc!G$3+Speed_Calc!G$5*A601^2</f>
        <v>32.800922499999999</v>
      </c>
      <c r="H601" s="7">
        <f>(F601-G601)/Speed_Calc!G$2*9.806</f>
        <v>6.8096339027885149</v>
      </c>
      <c r="I601" s="4">
        <f t="shared" si="36"/>
        <v>15.694444444444445</v>
      </c>
    </row>
    <row r="602" spans="1:9" x14ac:dyDescent="0.2">
      <c r="A602" s="11">
        <v>56.6</v>
      </c>
      <c r="B602" s="14">
        <v>3.133</v>
      </c>
      <c r="C602" s="11">
        <f t="shared" si="37"/>
        <v>7334.7905018665515</v>
      </c>
      <c r="D602" s="11">
        <f t="shared" si="34"/>
        <v>226.07556747484693</v>
      </c>
      <c r="E602" s="11">
        <f t="shared" si="35"/>
        <v>1078.4523536785985</v>
      </c>
      <c r="F602" s="11">
        <f>Speed_Calc!B$5*E602</f>
        <v>970.60711831073866</v>
      </c>
      <c r="G602" s="14">
        <f>Speed_Calc!G$3+Speed_Calc!G$5*A602^2</f>
        <v>32.846275599999998</v>
      </c>
      <c r="H602" s="7">
        <f>(F602-G602)/Speed_Calc!G$2*9.806</f>
        <v>6.8116169063862984</v>
      </c>
      <c r="I602" s="4">
        <f t="shared" si="36"/>
        <v>15.722222222222221</v>
      </c>
    </row>
    <row r="603" spans="1:9" x14ac:dyDescent="0.2">
      <c r="A603" s="11">
        <v>56.7</v>
      </c>
      <c r="B603" s="14">
        <v>3.133</v>
      </c>
      <c r="C603" s="11">
        <f t="shared" si="37"/>
        <v>7347.7494956861028</v>
      </c>
      <c r="D603" s="11">
        <f t="shared" si="34"/>
        <v>226.54627458505871</v>
      </c>
      <c r="E603" s="11">
        <f t="shared" si="35"/>
        <v>1078.7917837383748</v>
      </c>
      <c r="F603" s="11">
        <f>Speed_Calc!B$5*E603</f>
        <v>970.91260536453728</v>
      </c>
      <c r="G603" s="14">
        <f>Speed_Calc!G$3+Speed_Calc!G$5*A603^2</f>
        <v>32.891708899999998</v>
      </c>
      <c r="H603" s="7">
        <f>(F603-G603)/Speed_Calc!G$2*9.806</f>
        <v>6.8135058598009266</v>
      </c>
      <c r="I603" s="4">
        <f t="shared" si="36"/>
        <v>15.75</v>
      </c>
    </row>
    <row r="604" spans="1:9" x14ac:dyDescent="0.2">
      <c r="A604" s="11">
        <v>56.8</v>
      </c>
      <c r="B604" s="14">
        <v>3.133</v>
      </c>
      <c r="C604" s="11">
        <f t="shared" si="37"/>
        <v>7360.7084895056541</v>
      </c>
      <c r="D604" s="11">
        <f t="shared" si="34"/>
        <v>227.01418080800991</v>
      </c>
      <c r="E604" s="11">
        <f t="shared" si="35"/>
        <v>1079.1167045451177</v>
      </c>
      <c r="F604" s="11">
        <f>Speed_Calc!B$5*E604</f>
        <v>971.20503409060598</v>
      </c>
      <c r="G604" s="14">
        <f>Speed_Calc!G$3+Speed_Calc!G$5*A604^2</f>
        <v>32.937222399999996</v>
      </c>
      <c r="H604" s="7">
        <f>(F604-G604)/Speed_Calc!G$2*9.806</f>
        <v>6.8152993788430241</v>
      </c>
      <c r="I604" s="4">
        <f t="shared" si="36"/>
        <v>15.777777777777777</v>
      </c>
    </row>
    <row r="605" spans="1:9" x14ac:dyDescent="0.2">
      <c r="A605" s="11">
        <v>56.9</v>
      </c>
      <c r="B605" s="14">
        <v>3.133</v>
      </c>
      <c r="C605" s="11">
        <f t="shared" si="37"/>
        <v>7373.6674833252091</v>
      </c>
      <c r="D605" s="11">
        <f t="shared" si="34"/>
        <v>227.47922516696485</v>
      </c>
      <c r="E605" s="11">
        <f t="shared" si="35"/>
        <v>1079.4269032527329</v>
      </c>
      <c r="F605" s="11">
        <f>Speed_Calc!B$5*E605</f>
        <v>971.48421292745968</v>
      </c>
      <c r="G605" s="14">
        <f>Speed_Calc!G$3+Speed_Calc!G$5*A605^2</f>
        <v>32.982816099999994</v>
      </c>
      <c r="H605" s="7">
        <f>(F605-G605)/Speed_Calc!G$2*9.806</f>
        <v>6.8169960720667175</v>
      </c>
      <c r="I605" s="4">
        <f t="shared" si="36"/>
        <v>15.805555555555555</v>
      </c>
    </row>
    <row r="606" spans="1:9" x14ac:dyDescent="0.2">
      <c r="A606" s="11">
        <v>57</v>
      </c>
      <c r="B606" s="14">
        <v>3.133</v>
      </c>
      <c r="C606" s="11">
        <f t="shared" si="37"/>
        <v>7386.6264771447604</v>
      </c>
      <c r="D606" s="11">
        <f t="shared" si="34"/>
        <v>227.94134613552589</v>
      </c>
      <c r="E606" s="11">
        <f t="shared" si="35"/>
        <v>1079.7221659051224</v>
      </c>
      <c r="F606" s="11">
        <f>Speed_Calc!B$5*E606</f>
        <v>971.74994931461026</v>
      </c>
      <c r="G606" s="14">
        <f>Speed_Calc!G$3+Speed_Calc!G$5*A606^2</f>
        <v>33.028489999999998</v>
      </c>
      <c r="H606" s="7">
        <f>(F606-G606)/Speed_Calc!G$2*9.806</f>
        <v>6.8185945407696797</v>
      </c>
      <c r="I606" s="4">
        <f t="shared" si="36"/>
        <v>15.833333333333332</v>
      </c>
    </row>
    <row r="607" spans="1:9" x14ac:dyDescent="0.2">
      <c r="A607" s="11">
        <v>57.1</v>
      </c>
      <c r="B607" s="14">
        <v>3.133</v>
      </c>
      <c r="C607" s="11">
        <f t="shared" si="37"/>
        <v>7399.5854709643127</v>
      </c>
      <c r="D607" s="11">
        <f t="shared" si="34"/>
        <v>228.40048163557532</v>
      </c>
      <c r="E607" s="11">
        <f t="shared" si="35"/>
        <v>1080.0022774361705</v>
      </c>
      <c r="F607" s="11">
        <f>Speed_Calc!B$5*E607</f>
        <v>972.00204969255344</v>
      </c>
      <c r="G607" s="14">
        <f>Speed_Calc!G$3+Speed_Calc!G$5*A607^2</f>
        <v>33.074244100000001</v>
      </c>
      <c r="H607" s="7">
        <f>(F607-G607)/Speed_Calc!G$2*9.806</f>
        <v>6.8200933789930209</v>
      </c>
      <c r="I607" s="4">
        <f t="shared" si="36"/>
        <v>15.861111111111111</v>
      </c>
    </row>
    <row r="608" spans="1:9" x14ac:dyDescent="0.2">
      <c r="A608" s="11">
        <v>57.2</v>
      </c>
      <c r="B608" s="14">
        <v>3.133</v>
      </c>
      <c r="C608" s="11">
        <f t="shared" si="37"/>
        <v>7412.5444647838649</v>
      </c>
      <c r="D608" s="11">
        <f t="shared" si="34"/>
        <v>228.85656903522354</v>
      </c>
      <c r="E608" s="11">
        <f t="shared" si="35"/>
        <v>1080.2670216697616</v>
      </c>
      <c r="F608" s="11">
        <f>Speed_Calc!B$5*E608</f>
        <v>972.24031950278538</v>
      </c>
      <c r="G608" s="14">
        <f>Speed_Calc!G$3+Speed_Calc!G$5*A608^2</f>
        <v>33.120078399999997</v>
      </c>
      <c r="H608" s="7">
        <f>(F608-G608)/Speed_Calc!G$2*9.806</f>
        <v>6.8214911735214168</v>
      </c>
      <c r="I608" s="4">
        <f t="shared" si="36"/>
        <v>15.888888888888889</v>
      </c>
    </row>
    <row r="609" spans="1:9" x14ac:dyDescent="0.2">
      <c r="A609" s="11">
        <v>57.3</v>
      </c>
      <c r="B609" s="14">
        <v>3.133</v>
      </c>
      <c r="C609" s="11">
        <f t="shared" si="37"/>
        <v>7425.5034586034162</v>
      </c>
      <c r="D609" s="11">
        <f t="shared" si="34"/>
        <v>229.30954514674988</v>
      </c>
      <c r="E609" s="11">
        <f t="shared" si="35"/>
        <v>1080.5161813197637</v>
      </c>
      <c r="F609" s="11">
        <f>Speed_Calc!B$5*E609</f>
        <v>972.46456318778735</v>
      </c>
      <c r="G609" s="14">
        <f>Speed_Calc!G$3+Speed_Calc!G$5*A609^2</f>
        <v>33.165992899999999</v>
      </c>
      <c r="H609" s="7">
        <f>(F609-G609)/Speed_Calc!G$2*9.806</f>
        <v>6.8227865038829938</v>
      </c>
      <c r="I609" s="4">
        <f t="shared" si="36"/>
        <v>15.916666666666666</v>
      </c>
    </row>
    <row r="610" spans="1:9" x14ac:dyDescent="0.2">
      <c r="A610" s="11">
        <v>57.4</v>
      </c>
      <c r="B610" s="14">
        <v>3.133</v>
      </c>
      <c r="C610" s="11">
        <f t="shared" si="37"/>
        <v>7438.4624524229675</v>
      </c>
      <c r="D610" s="11">
        <f t="shared" si="34"/>
        <v>229.75934622454992</v>
      </c>
      <c r="E610" s="11">
        <f t="shared" si="35"/>
        <v>1080.7495379900436</v>
      </c>
      <c r="F610" s="11">
        <f>Speed_Calc!B$5*E610</f>
        <v>972.67458419103923</v>
      </c>
      <c r="G610" s="14">
        <f>Speed_Calc!G$3+Speed_Calc!G$5*A610^2</f>
        <v>33.2119876</v>
      </c>
      <c r="H610" s="7">
        <f>(F610-G610)/Speed_Calc!G$2*9.806</f>
        <v>6.8239779423494298</v>
      </c>
      <c r="I610" s="4">
        <f t="shared" si="36"/>
        <v>15.944444444444443</v>
      </c>
    </row>
    <row r="611" spans="1:9" x14ac:dyDescent="0.2">
      <c r="A611" s="11">
        <v>57.5</v>
      </c>
      <c r="B611" s="14">
        <v>3.133</v>
      </c>
      <c r="C611" s="11">
        <f t="shared" si="37"/>
        <v>7451.4214462425216</v>
      </c>
      <c r="D611" s="11">
        <f t="shared" si="34"/>
        <v>230.20590796307766</v>
      </c>
      <c r="E611" s="11">
        <f t="shared" si="35"/>
        <v>1080.9668721744517</v>
      </c>
      <c r="F611" s="11">
        <f>Speed_Calc!B$5*E611</f>
        <v>972.87018495700659</v>
      </c>
      <c r="G611" s="14">
        <f>Speed_Calc!G$3+Speed_Calc!G$5*A611^2</f>
        <v>33.258062500000001</v>
      </c>
      <c r="H611" s="7">
        <f>(F611-G611)/Speed_Calc!G$2*9.806</f>
        <v>6.825064053935856</v>
      </c>
      <c r="I611" s="4">
        <f t="shared" si="36"/>
        <v>15.972222222222221</v>
      </c>
    </row>
    <row r="612" spans="1:9" x14ac:dyDescent="0.2">
      <c r="A612" s="11">
        <v>57.6</v>
      </c>
      <c r="B612" s="14">
        <v>3.133</v>
      </c>
      <c r="C612" s="11">
        <f t="shared" si="37"/>
        <v>7464.3804400620729</v>
      </c>
      <c r="D612" s="11">
        <f t="shared" si="34"/>
        <v>230.64916549479153</v>
      </c>
      <c r="E612" s="11">
        <f t="shared" si="35"/>
        <v>1081.1679632568353</v>
      </c>
      <c r="F612" s="11">
        <f>Speed_Calc!B$5*E612</f>
        <v>973.05116693115178</v>
      </c>
      <c r="G612" s="14">
        <f>Speed_Calc!G$3+Speed_Calc!G$5*A612^2</f>
        <v>33.304217600000001</v>
      </c>
      <c r="H612" s="7">
        <f>(F612-G612)/Speed_Calc!G$2*9.806</f>
        <v>6.8260433964009435</v>
      </c>
      <c r="I612" s="4">
        <f t="shared" si="36"/>
        <v>16</v>
      </c>
    </row>
    <row r="613" spans="1:9" x14ac:dyDescent="0.2">
      <c r="A613" s="11">
        <v>57.7</v>
      </c>
      <c r="B613" s="14">
        <v>3.133</v>
      </c>
      <c r="C613" s="11">
        <f t="shared" si="37"/>
        <v>7477.3394338816261</v>
      </c>
      <c r="D613" s="11">
        <f t="shared" ref="D613:D676" si="38">-4.687*10^(-17)*C613^5+9.129*10^(-13)*C613^4-6.175*10^(-9)*C613^3+1.799*10^(-5)*C613^2+6.502*10^(-3)*C613</f>
        <v>231.08905338809848</v>
      </c>
      <c r="E613" s="11">
        <f t="shared" si="35"/>
        <v>1081.3525895110326</v>
      </c>
      <c r="F613" s="11">
        <f>Speed_Calc!B$5*E613</f>
        <v>973.21733055992945</v>
      </c>
      <c r="G613" s="14">
        <f>Speed_Calc!G$3+Speed_Calc!G$5*A613^2</f>
        <v>33.350452900000001</v>
      </c>
      <c r="H613" s="7">
        <f>(F613-G613)/Speed_Calc!G$2*9.806</f>
        <v>6.8269145202468637</v>
      </c>
      <c r="I613" s="4">
        <f t="shared" si="36"/>
        <v>16.027777777777779</v>
      </c>
    </row>
    <row r="614" spans="1:9" x14ac:dyDescent="0.2">
      <c r="A614" s="11">
        <v>57.8</v>
      </c>
      <c r="B614" s="14">
        <v>3.133</v>
      </c>
      <c r="C614" s="11">
        <f t="shared" si="37"/>
        <v>7490.2984277011783</v>
      </c>
      <c r="D614" s="11">
        <f t="shared" si="38"/>
        <v>231.52550564529707</v>
      </c>
      <c r="E614" s="11">
        <f t="shared" ref="E614:E677" si="39">D614*75*B614*B$31*B$32/B$23/C614/2/PI()*60</f>
        <v>1081.5205281008689</v>
      </c>
      <c r="F614" s="11">
        <f>Speed_Calc!B$5*E614</f>
        <v>973.36847529078204</v>
      </c>
      <c r="G614" s="14">
        <f>Speed_Calc!G$3+Speed_Calc!G$5*A614^2</f>
        <v>33.396768399999999</v>
      </c>
      <c r="H614" s="7">
        <f>(F614-G614)/Speed_Calc!G$2*9.806</f>
        <v>6.8276759687192641</v>
      </c>
      <c r="I614" s="4">
        <f t="shared" ref="I614:I677" si="40">A614/3.6</f>
        <v>16.055555555555554</v>
      </c>
    </row>
    <row r="615" spans="1:9" x14ac:dyDescent="0.2">
      <c r="A615" s="11">
        <v>57.9</v>
      </c>
      <c r="B615" s="14">
        <v>3.133</v>
      </c>
      <c r="C615" s="11">
        <f t="shared" si="37"/>
        <v>7503.2574215207296</v>
      </c>
      <c r="D615" s="11">
        <f t="shared" si="38"/>
        <v>231.95845570052452</v>
      </c>
      <c r="E615" s="11">
        <f t="shared" si="39"/>
        <v>1081.6715550801662</v>
      </c>
      <c r="F615" s="11">
        <f>Speed_Calc!B$5*E615</f>
        <v>973.50439957214962</v>
      </c>
      <c r="G615" s="14">
        <f>Speed_Calc!G$3+Speed_Calc!G$5*A615^2</f>
        <v>33.443164099999997</v>
      </c>
      <c r="H615" s="7">
        <f>(F615-G615)/Speed_Calc!G$2*9.806</f>
        <v>6.8283262778073324</v>
      </c>
      <c r="I615" s="4">
        <f t="shared" si="40"/>
        <v>16.083333333333332</v>
      </c>
    </row>
    <row r="616" spans="1:9" x14ac:dyDescent="0.2">
      <c r="A616" s="11">
        <v>58</v>
      </c>
      <c r="B616" s="14">
        <v>3.133</v>
      </c>
      <c r="C616" s="11">
        <f t="shared" si="37"/>
        <v>7516.2164153402809</v>
      </c>
      <c r="D616" s="11">
        <f t="shared" si="38"/>
        <v>232.38783641769908</v>
      </c>
      <c r="E616" s="11">
        <f t="shared" si="39"/>
        <v>1081.8054453927373</v>
      </c>
      <c r="F616" s="11">
        <f>Speed_Calc!B$5*E616</f>
        <v>973.6249008534636</v>
      </c>
      <c r="G616" s="14">
        <f>Speed_Calc!G$3+Speed_Calc!G$5*A616^2</f>
        <v>33.489640000000001</v>
      </c>
      <c r="H616" s="7">
        <f>(F616-G616)/Speed_Calc!G$2*9.806</f>
        <v>6.82886397624375</v>
      </c>
      <c r="I616" s="4">
        <f t="shared" si="40"/>
        <v>16.111111111111111</v>
      </c>
    </row>
    <row r="617" spans="1:9" x14ac:dyDescent="0.2">
      <c r="A617" s="11">
        <v>58.1</v>
      </c>
      <c r="B617" s="14">
        <v>3.133</v>
      </c>
      <c r="C617" s="11">
        <f t="shared" si="37"/>
        <v>7529.1754091598359</v>
      </c>
      <c r="D617" s="11">
        <f t="shared" si="38"/>
        <v>232.81358008846402</v>
      </c>
      <c r="E617" s="11">
        <f t="shared" si="39"/>
        <v>1081.9219728723801</v>
      </c>
      <c r="F617" s="11">
        <f>Speed_Calc!B$5*E617</f>
        <v>973.72977558514219</v>
      </c>
      <c r="G617" s="14">
        <f>Speed_Calc!G$3+Speed_Calc!G$5*A617^2</f>
        <v>33.536196099999998</v>
      </c>
      <c r="H617" s="7">
        <f>(F617-G617)/Speed_Calc!G$2*9.806</f>
        <v>6.8292875855046686</v>
      </c>
      <c r="I617" s="4">
        <f t="shared" si="40"/>
        <v>16.138888888888889</v>
      </c>
    </row>
    <row r="618" spans="1:9" x14ac:dyDescent="0.2">
      <c r="A618" s="11">
        <v>58.2</v>
      </c>
      <c r="B618" s="14">
        <v>3.133</v>
      </c>
      <c r="C618" s="11">
        <f t="shared" si="37"/>
        <v>7542.1344029793872</v>
      </c>
      <c r="D618" s="11">
        <f t="shared" si="38"/>
        <v>233.23561843013493</v>
      </c>
      <c r="E618" s="11">
        <f t="shared" si="39"/>
        <v>1082.0209102428939</v>
      </c>
      <c r="F618" s="11">
        <f>Speed_Calc!B$5*E618</f>
        <v>973.81881921860452</v>
      </c>
      <c r="G618" s="14">
        <f>Speed_Calc!G$3+Speed_Calc!G$5*A618^2</f>
        <v>33.582832400000001</v>
      </c>
      <c r="H618" s="7">
        <f>(F618-G618)/Speed_Calc!G$2*9.806</f>
        <v>6.8295956198098038</v>
      </c>
      <c r="I618" s="4">
        <f t="shared" si="40"/>
        <v>16.166666666666668</v>
      </c>
    </row>
    <row r="619" spans="1:9" x14ac:dyDescent="0.2">
      <c r="A619" s="11">
        <v>58.3</v>
      </c>
      <c r="B619" s="14">
        <v>3.133</v>
      </c>
      <c r="C619" s="11">
        <f t="shared" ref="C619:C682" si="41">A619/3.6/B$23/2/PI()*B$32*B$31*B619*60</f>
        <v>7555.0933967989376</v>
      </c>
      <c r="D619" s="11">
        <f t="shared" si="38"/>
        <v>233.65388258363885</v>
      </c>
      <c r="E619" s="11">
        <f t="shared" si="39"/>
        <v>1082.1020291180535</v>
      </c>
      <c r="F619" s="11">
        <f>Speed_Calc!B$5*E619</f>
        <v>973.89182620624808</v>
      </c>
      <c r="G619" s="14">
        <f>Speed_Calc!G$3+Speed_Calc!G$5*A619^2</f>
        <v>33.629548899999996</v>
      </c>
      <c r="H619" s="7">
        <f>(F619-G619)/Speed_Calc!G$2*9.806</f>
        <v>6.829786586122272</v>
      </c>
      <c r="I619" s="4">
        <f t="shared" si="40"/>
        <v>16.194444444444443</v>
      </c>
    </row>
    <row r="620" spans="1:9" x14ac:dyDescent="0.2">
      <c r="A620" s="11">
        <v>58.4</v>
      </c>
      <c r="B620" s="14">
        <v>3.133</v>
      </c>
      <c r="C620" s="11">
        <f t="shared" si="41"/>
        <v>7568.0523906184899</v>
      </c>
      <c r="D620" s="11">
        <f t="shared" si="38"/>
        <v>234.06830311146732</v>
      </c>
      <c r="E620" s="11">
        <f t="shared" si="39"/>
        <v>1082.1651000016468</v>
      </c>
      <c r="F620" s="11">
        <f>Speed_Calc!B$5*E620</f>
        <v>973.9485900014821</v>
      </c>
      <c r="G620" s="14">
        <f>Speed_Calc!G$3+Speed_Calc!G$5*A620^2</f>
        <v>33.676345599999998</v>
      </c>
      <c r="H620" s="7">
        <f>(F620-G620)/Speed_Calc!G$2*9.806</f>
        <v>6.8298589841488395</v>
      </c>
      <c r="I620" s="4">
        <f t="shared" si="40"/>
        <v>16.222222222222221</v>
      </c>
    </row>
    <row r="621" spans="1:9" x14ac:dyDescent="0.2">
      <c r="A621" s="11">
        <v>58.5</v>
      </c>
      <c r="B621" s="14">
        <v>3.133</v>
      </c>
      <c r="C621" s="11">
        <f t="shared" si="41"/>
        <v>7581.011384438043</v>
      </c>
      <c r="D621" s="11">
        <f t="shared" si="38"/>
        <v>234.47880999561067</v>
      </c>
      <c r="E621" s="11">
        <f t="shared" si="39"/>
        <v>1082.2098922874338</v>
      </c>
      <c r="F621" s="11">
        <f>Speed_Calc!B$5*E621</f>
        <v>973.98890305869043</v>
      </c>
      <c r="G621" s="14">
        <f>Speed_Calc!G$3+Speed_Calc!G$5*A621^2</f>
        <v>33.723222499999999</v>
      </c>
      <c r="H621" s="7">
        <f>(F621-G621)/Speed_Calc!G$2*9.806</f>
        <v>6.8298113063396428</v>
      </c>
      <c r="I621" s="4">
        <f t="shared" si="40"/>
        <v>16.25</v>
      </c>
    </row>
    <row r="622" spans="1:9" x14ac:dyDescent="0.2">
      <c r="A622" s="11">
        <v>58.6</v>
      </c>
      <c r="B622" s="14">
        <v>3.133</v>
      </c>
      <c r="C622" s="11">
        <f t="shared" si="41"/>
        <v>7593.9703782575962</v>
      </c>
      <c r="D622" s="11">
        <f t="shared" si="38"/>
        <v>234.88533263550954</v>
      </c>
      <c r="E622" s="11">
        <f t="shared" si="39"/>
        <v>1082.2361742591738</v>
      </c>
      <c r="F622" s="11">
        <f>Speed_Calc!B$5*E622</f>
        <v>974.01255683325644</v>
      </c>
      <c r="G622" s="14">
        <f>Speed_Calc!G$3+Speed_Calc!G$5*A622^2</f>
        <v>33.770179599999999</v>
      </c>
      <c r="H622" s="7">
        <f>(F622-G622)/Speed_Calc!G$2*9.806</f>
        <v>6.8296420378883793</v>
      </c>
      <c r="I622" s="4">
        <f t="shared" si="40"/>
        <v>16.277777777777779</v>
      </c>
    </row>
    <row r="623" spans="1:9" x14ac:dyDescent="0.2">
      <c r="A623" s="11">
        <v>58.7</v>
      </c>
      <c r="B623" s="14">
        <v>3.133</v>
      </c>
      <c r="C623" s="11">
        <f t="shared" si="41"/>
        <v>7606.9293720771484</v>
      </c>
      <c r="D623" s="11">
        <f t="shared" si="38"/>
        <v>235.28779984599828</v>
      </c>
      <c r="E623" s="11">
        <f t="shared" si="39"/>
        <v>1082.2437130906221</v>
      </c>
      <c r="F623" s="11">
        <f>Speed_Calc!B$5*E623</f>
        <v>974.01934178155989</v>
      </c>
      <c r="G623" s="14">
        <f>Speed_Calc!G$3+Speed_Calc!G$5*A623^2</f>
        <v>33.817216900000005</v>
      </c>
      <c r="H623" s="7">
        <f>(F623-G623)/Speed_Calc!G$2*9.806</f>
        <v>6.829349656732278</v>
      </c>
      <c r="I623" s="4">
        <f t="shared" si="40"/>
        <v>16.305555555555557</v>
      </c>
    </row>
    <row r="624" spans="1:9" x14ac:dyDescent="0.2">
      <c r="A624" s="11">
        <v>58.8</v>
      </c>
      <c r="B624" s="14">
        <v>3.133</v>
      </c>
      <c r="C624" s="11">
        <f t="shared" si="41"/>
        <v>7619.8883658966997</v>
      </c>
      <c r="D624" s="11">
        <f t="shared" si="38"/>
        <v>235.68613985524527</v>
      </c>
      <c r="E624" s="11">
        <f t="shared" si="39"/>
        <v>1082.232274845514</v>
      </c>
      <c r="F624" s="11">
        <f>Speed_Calc!B$5*E624</f>
        <v>974.00904736096265</v>
      </c>
      <c r="G624" s="14">
        <f>Speed_Calc!G$3+Speed_Calc!G$5*A624^2</f>
        <v>33.864334399999997</v>
      </c>
      <c r="H624" s="7">
        <f>(F624-G624)/Speed_Calc!G$2*9.806</f>
        <v>6.8289326335519993</v>
      </c>
      <c r="I624" s="4">
        <f t="shared" si="40"/>
        <v>16.333333333333332</v>
      </c>
    </row>
    <row r="625" spans="1:9" x14ac:dyDescent="0.2">
      <c r="A625" s="11">
        <v>58.9</v>
      </c>
      <c r="B625" s="14">
        <v>3.133</v>
      </c>
      <c r="C625" s="11">
        <f t="shared" si="41"/>
        <v>7632.8473597162529</v>
      </c>
      <c r="D625" s="11">
        <f t="shared" si="38"/>
        <v>236.08028030270265</v>
      </c>
      <c r="E625" s="11">
        <f t="shared" si="39"/>
        <v>1082.2016244775841</v>
      </c>
      <c r="F625" s="11">
        <f>Speed_Calc!B$5*E625</f>
        <v>973.98146202982571</v>
      </c>
      <c r="G625" s="14">
        <f>Speed_Calc!G$3+Speed_Calc!G$5*A625^2</f>
        <v>33.911532100000002</v>
      </c>
      <c r="H625" s="7">
        <f>(F625-G625)/Speed_Calc!G$2*9.806</f>
        <v>6.8283894317717548</v>
      </c>
      <c r="I625" s="4">
        <f t="shared" si="40"/>
        <v>16.361111111111111</v>
      </c>
    </row>
    <row r="626" spans="1:9" x14ac:dyDescent="0.2">
      <c r="A626" s="11">
        <v>59</v>
      </c>
      <c r="B626" s="14">
        <v>3.133</v>
      </c>
      <c r="C626" s="11">
        <f t="shared" si="41"/>
        <v>7645.8063535358051</v>
      </c>
      <c r="D626" s="11">
        <f t="shared" si="38"/>
        <v>236.47014823704845</v>
      </c>
      <c r="E626" s="11">
        <f t="shared" si="39"/>
        <v>1082.1515258305608</v>
      </c>
      <c r="F626" s="11">
        <f>Speed_Calc!B$5*E626</f>
        <v>973.93637324750478</v>
      </c>
      <c r="G626" s="14">
        <f>Speed_Calc!G$3+Speed_Calc!G$5*A626^2</f>
        <v>33.95881</v>
      </c>
      <c r="H626" s="7">
        <f>(F626-G626)/Speed_Calc!G$2*9.806</f>
        <v>6.8277185075592826</v>
      </c>
      <c r="I626" s="4">
        <f t="shared" si="40"/>
        <v>16.388888888888889</v>
      </c>
    </row>
    <row r="627" spans="1:9" x14ac:dyDescent="0.2">
      <c r="A627" s="11">
        <v>59.1</v>
      </c>
      <c r="B627" s="14">
        <v>3.133</v>
      </c>
      <c r="C627" s="11">
        <f t="shared" si="41"/>
        <v>7658.7653473553564</v>
      </c>
      <c r="D627" s="11">
        <f t="shared" si="38"/>
        <v>236.85567011412979</v>
      </c>
      <c r="E627" s="11">
        <f t="shared" si="39"/>
        <v>1082.0817416381565</v>
      </c>
      <c r="F627" s="11">
        <f>Speed_Calc!B$5*E627</f>
        <v>973.8735674743408</v>
      </c>
      <c r="G627" s="14">
        <f>Speed_Calc!G$3+Speed_Calc!G$5*A627^2</f>
        <v>34.006168099999996</v>
      </c>
      <c r="H627" s="7">
        <f>(F627-G627)/Speed_Calc!G$2*9.806</f>
        <v>6.8269183098257669</v>
      </c>
      <c r="I627" s="4">
        <f t="shared" si="40"/>
        <v>16.416666666666668</v>
      </c>
    </row>
    <row r="628" spans="1:9" x14ac:dyDescent="0.2">
      <c r="A628" s="11">
        <v>59.2</v>
      </c>
      <c r="B628" s="14">
        <v>3.133</v>
      </c>
      <c r="C628" s="11">
        <f t="shared" si="41"/>
        <v>7671.7243411749105</v>
      </c>
      <c r="D628" s="11">
        <f t="shared" si="38"/>
        <v>237.23677179490923</v>
      </c>
      <c r="E628" s="11">
        <f t="shared" si="39"/>
        <v>1081.992033524079</v>
      </c>
      <c r="F628" s="11">
        <f>Speed_Calc!B$5*E628</f>
        <v>973.7928301716712</v>
      </c>
      <c r="G628" s="14">
        <f>Speed_Calc!G$3+Speed_Calc!G$5*A628^2</f>
        <v>34.0536064</v>
      </c>
      <c r="H628" s="7">
        <f>(F628-G628)/Speed_Calc!G$2*9.806</f>
        <v>6.8259872802259309</v>
      </c>
      <c r="I628" s="4">
        <f t="shared" si="40"/>
        <v>16.444444444444446</v>
      </c>
    </row>
    <row r="629" spans="1:9" x14ac:dyDescent="0.2">
      <c r="A629" s="11">
        <v>59.3</v>
      </c>
      <c r="B629" s="14">
        <v>3.133</v>
      </c>
      <c r="C629" s="11">
        <f t="shared" si="41"/>
        <v>7684.6833349944627</v>
      </c>
      <c r="D629" s="11">
        <f t="shared" si="38"/>
        <v>237.61337854340746</v>
      </c>
      <c r="E629" s="11">
        <f t="shared" si="39"/>
        <v>1081.8821620020237</v>
      </c>
      <c r="F629" s="11">
        <f>Speed_Calc!B$5*E629</f>
        <v>973.69394580182143</v>
      </c>
      <c r="G629" s="14">
        <f>Speed_Calc!G$3+Speed_Calc!G$5*A629^2</f>
        <v>34.101124900000002</v>
      </c>
      <c r="H629" s="7">
        <f>(F629-G629)/Speed_Calc!G$2*9.806</f>
        <v>6.8249238531579701</v>
      </c>
      <c r="I629" s="4">
        <f t="shared" si="40"/>
        <v>16.472222222222221</v>
      </c>
    </row>
    <row r="630" spans="1:9" x14ac:dyDescent="0.2">
      <c r="A630" s="11">
        <v>59.4</v>
      </c>
      <c r="B630" s="14">
        <v>3.133</v>
      </c>
      <c r="C630" s="11">
        <f t="shared" si="41"/>
        <v>7697.6423288140131</v>
      </c>
      <c r="D630" s="11">
        <f t="shared" si="38"/>
        <v>237.98541502464991</v>
      </c>
      <c r="E630" s="11">
        <f t="shared" si="39"/>
        <v>1081.7518864756814</v>
      </c>
      <c r="F630" s="11">
        <f>Speed_Calc!B$5*E630</f>
        <v>973.57669782811331</v>
      </c>
      <c r="G630" s="14">
        <f>Speed_Calc!G$3+Speed_Calc!G$5*A630^2</f>
        <v>34.148723599999997</v>
      </c>
      <c r="H630" s="7">
        <f>(F630-G630)/Speed_Calc!G$2*9.806</f>
        <v>6.8237264557636133</v>
      </c>
      <c r="I630" s="4">
        <f t="shared" si="40"/>
        <v>16.5</v>
      </c>
    </row>
    <row r="631" spans="1:9" x14ac:dyDescent="0.2">
      <c r="A631" s="11">
        <v>59.5</v>
      </c>
      <c r="B631" s="14">
        <v>3.133</v>
      </c>
      <c r="C631" s="11">
        <f t="shared" si="41"/>
        <v>7710.6013226335645</v>
      </c>
      <c r="D631" s="11">
        <f t="shared" si="38"/>
        <v>238.35280530260999</v>
      </c>
      <c r="E631" s="11">
        <f t="shared" si="39"/>
        <v>1081.6009652387347</v>
      </c>
      <c r="F631" s="11">
        <f>Speed_Calc!B$5*E631</f>
        <v>973.44086871486127</v>
      </c>
      <c r="G631" s="14">
        <f>Speed_Calc!G$3+Speed_Calc!G$5*A631^2</f>
        <v>34.196402499999998</v>
      </c>
      <c r="H631" s="7">
        <f>(F631-G631)/Speed_Calc!G$2*9.806</f>
        <v>6.8223935079280951</v>
      </c>
      <c r="I631" s="4">
        <f t="shared" si="40"/>
        <v>16.527777777777779</v>
      </c>
    </row>
    <row r="632" spans="1:9" x14ac:dyDescent="0.2">
      <c r="A632" s="11">
        <v>59.6</v>
      </c>
      <c r="B632" s="14">
        <v>3.133</v>
      </c>
      <c r="C632" s="11">
        <f t="shared" si="41"/>
        <v>7723.5603164531167</v>
      </c>
      <c r="D632" s="11">
        <f t="shared" si="38"/>
        <v>238.71547283815306</v>
      </c>
      <c r="E632" s="11">
        <f t="shared" si="39"/>
        <v>1081.4291554748547</v>
      </c>
      <c r="F632" s="11">
        <f>Speed_Calc!B$5*E632</f>
        <v>973.28623992736925</v>
      </c>
      <c r="G632" s="14">
        <f>Speed_Calc!G$3+Speed_Calc!G$5*A632^2</f>
        <v>34.244161599999998</v>
      </c>
      <c r="H632" s="7">
        <f>(F632-G632)/Speed_Calc!G$2*9.806</f>
        <v>6.8209234222801349</v>
      </c>
      <c r="I632" s="4">
        <f t="shared" si="40"/>
        <v>16.555555555555557</v>
      </c>
    </row>
    <row r="633" spans="1:9" x14ac:dyDescent="0.2">
      <c r="A633" s="11">
        <v>59.7</v>
      </c>
      <c r="B633" s="14">
        <v>3.133</v>
      </c>
      <c r="C633" s="11">
        <f t="shared" si="41"/>
        <v>7736.5193102726698</v>
      </c>
      <c r="D633" s="11">
        <f t="shared" si="38"/>
        <v>239.07334048698036</v>
      </c>
      <c r="E633" s="11">
        <f t="shared" si="39"/>
        <v>1081.2362132577</v>
      </c>
      <c r="F633" s="11">
        <f>Speed_Calc!B$5*E633</f>
        <v>973.11259193193007</v>
      </c>
      <c r="G633" s="14">
        <f>Speed_Calc!G$3+Speed_Calc!G$5*A633^2</f>
        <v>34.292000899999998</v>
      </c>
      <c r="H633" s="7">
        <f>(F633-G633)/Speed_Calc!G$2*9.806</f>
        <v>6.8193146041919306</v>
      </c>
      <c r="I633" s="4">
        <f t="shared" si="40"/>
        <v>16.583333333333332</v>
      </c>
    </row>
    <row r="634" spans="1:9" x14ac:dyDescent="0.2">
      <c r="A634" s="11">
        <v>59.8</v>
      </c>
      <c r="B634" s="14">
        <v>3.133</v>
      </c>
      <c r="C634" s="11">
        <f t="shared" si="41"/>
        <v>7749.478304092223</v>
      </c>
      <c r="D634" s="11">
        <f t="shared" si="38"/>
        <v>239.42633049757762</v>
      </c>
      <c r="E634" s="11">
        <f t="shared" si="39"/>
        <v>1081.0218935509358</v>
      </c>
      <c r="F634" s="11">
        <f>Speed_Calc!B$5*E634</f>
        <v>972.91970419584231</v>
      </c>
      <c r="G634" s="14">
        <f>Speed_Calc!G$3+Speed_Calc!G$5*A634^2</f>
        <v>34.339920399999997</v>
      </c>
      <c r="H634" s="7">
        <f>(F634-G634)/Speed_Calc!G$2*9.806</f>
        <v>6.8175654517792807</v>
      </c>
      <c r="I634" s="4">
        <f t="shared" si="40"/>
        <v>16.611111111111111</v>
      </c>
    </row>
    <row r="635" spans="1:9" x14ac:dyDescent="0.2">
      <c r="A635" s="11">
        <v>59.9</v>
      </c>
      <c r="B635" s="14">
        <v>3.133</v>
      </c>
      <c r="C635" s="11">
        <f t="shared" si="41"/>
        <v>7762.4372979117752</v>
      </c>
      <c r="D635" s="11">
        <f t="shared" si="38"/>
        <v>239.7743645091526</v>
      </c>
      <c r="E635" s="11">
        <f t="shared" si="39"/>
        <v>1080.7859502082003</v>
      </c>
      <c r="F635" s="11">
        <f>Speed_Calc!B$5*E635</f>
        <v>972.70735518738036</v>
      </c>
      <c r="G635" s="14">
        <f>Speed_Calc!G$3+Speed_Calc!G$5*A635^2</f>
        <v>34.387920100000002</v>
      </c>
      <c r="H635" s="7">
        <f>(F635-G635)/Speed_Calc!G$2*9.806</f>
        <v>6.8156743559013711</v>
      </c>
      <c r="I635" s="4">
        <f t="shared" si="40"/>
        <v>16.638888888888889</v>
      </c>
    </row>
    <row r="636" spans="1:9" x14ac:dyDescent="0.2">
      <c r="A636" s="11">
        <v>60</v>
      </c>
      <c r="B636" s="14">
        <v>3.133</v>
      </c>
      <c r="C636" s="11">
        <f t="shared" si="41"/>
        <v>7775.3962917313283</v>
      </c>
      <c r="D636" s="11">
        <f t="shared" si="38"/>
        <v>240.11736354958458</v>
      </c>
      <c r="E636" s="11">
        <f t="shared" si="39"/>
        <v>1080.5281359731305</v>
      </c>
      <c r="F636" s="11">
        <f>Speed_Calc!B$5*E636</f>
        <v>972.47532237581743</v>
      </c>
      <c r="G636" s="14">
        <f>Speed_Calc!G$3+Speed_Calc!G$5*A636^2</f>
        <v>34.436</v>
      </c>
      <c r="H636" s="7">
        <f>(F636-G636)/Speed_Calc!G$2*9.806</f>
        <v>6.8136397001609366</v>
      </c>
      <c r="I636" s="4">
        <f t="shared" si="40"/>
        <v>16.666666666666668</v>
      </c>
    </row>
    <row r="637" spans="1:9" x14ac:dyDescent="0.2">
      <c r="A637" s="11">
        <v>60.1</v>
      </c>
      <c r="B637" s="14">
        <v>3.133</v>
      </c>
      <c r="C637" s="11">
        <f t="shared" si="41"/>
        <v>7788.3552855508779</v>
      </c>
      <c r="D637" s="11">
        <f t="shared" si="38"/>
        <v>240.45524803336934</v>
      </c>
      <c r="E637" s="11">
        <f t="shared" si="39"/>
        <v>1080.2482024793633</v>
      </c>
      <c r="F637" s="11">
        <f>Speed_Calc!B$5*E637</f>
        <v>972.22338223142697</v>
      </c>
      <c r="G637" s="14">
        <f>Speed_Calc!G$3+Speed_Calc!G$5*A637^2</f>
        <v>34.484160099999997</v>
      </c>
      <c r="H637" s="7">
        <f>(F637-G637)/Speed_Calc!G$2*9.806</f>
        <v>6.811459860904276</v>
      </c>
      <c r="I637" s="4">
        <f t="shared" si="40"/>
        <v>16.694444444444443</v>
      </c>
    </row>
    <row r="638" spans="1:9" x14ac:dyDescent="0.2">
      <c r="A638" s="11">
        <v>60.2</v>
      </c>
      <c r="B638" s="14">
        <v>3.133</v>
      </c>
      <c r="C638" s="11">
        <f t="shared" si="41"/>
        <v>7801.3142793704319</v>
      </c>
      <c r="D638" s="11">
        <f t="shared" si="38"/>
        <v>240.78793775955751</v>
      </c>
      <c r="E638" s="11">
        <f t="shared" si="39"/>
        <v>1079.9459002505071</v>
      </c>
      <c r="F638" s="11">
        <f>Speed_Calc!B$5*E638</f>
        <v>971.95131022545638</v>
      </c>
      <c r="G638" s="14">
        <f>Speed_Calc!G$3+Speed_Calc!G$5*A638^2</f>
        <v>34.5324004</v>
      </c>
      <c r="H638" s="7">
        <f>(F638-G638)/Speed_Calc!G$2*9.806</f>
        <v>6.8091332072210546</v>
      </c>
      <c r="I638" s="4">
        <f t="shared" si="40"/>
        <v>16.722222222222221</v>
      </c>
    </row>
    <row r="639" spans="1:9" x14ac:dyDescent="0.2">
      <c r="A639" s="11">
        <v>60.3</v>
      </c>
      <c r="B639" s="14">
        <v>3.133</v>
      </c>
      <c r="C639" s="11">
        <f t="shared" si="41"/>
        <v>7814.2732731899832</v>
      </c>
      <c r="D639" s="11">
        <f t="shared" si="38"/>
        <v>241.11535190970716</v>
      </c>
      <c r="E639" s="11">
        <f t="shared" si="39"/>
        <v>1079.6209787001812</v>
      </c>
      <c r="F639" s="11">
        <f>Speed_Calc!B$5*E639</f>
        <v>971.65888083016318</v>
      </c>
      <c r="G639" s="14">
        <f>Speed_Calc!G$3+Speed_Calc!G$5*A639^2</f>
        <v>34.580720899999996</v>
      </c>
      <c r="H639" s="7">
        <f>(F639-G639)/Speed_Calc!G$2*9.806</f>
        <v>6.8066581009445768</v>
      </c>
      <c r="I639" s="4">
        <f t="shared" si="40"/>
        <v>16.75</v>
      </c>
    </row>
    <row r="640" spans="1:9" x14ac:dyDescent="0.2">
      <c r="A640" s="11">
        <v>60.4</v>
      </c>
      <c r="B640" s="14">
        <v>3.133</v>
      </c>
      <c r="C640" s="11">
        <f t="shared" si="41"/>
        <v>7827.2322670095346</v>
      </c>
      <c r="D640" s="11">
        <f t="shared" si="38"/>
        <v>241.43740904582242</v>
      </c>
      <c r="E640" s="11">
        <f t="shared" si="39"/>
        <v>1079.2731861319876</v>
      </c>
      <c r="F640" s="11">
        <f>Speed_Calc!B$5*E640</f>
        <v>971.34586751878885</v>
      </c>
      <c r="G640" s="14">
        <f>Speed_Calc!G$3+Speed_Calc!G$5*A640^2</f>
        <v>34.629121599999998</v>
      </c>
      <c r="H640" s="7">
        <f>(F640-G640)/Speed_Calc!G$2*9.806</f>
        <v>6.8040328966515871</v>
      </c>
      <c r="I640" s="4">
        <f t="shared" si="40"/>
        <v>16.777777777777779</v>
      </c>
    </row>
    <row r="641" spans="1:9" x14ac:dyDescent="0.2">
      <c r="A641" s="11">
        <v>60.5</v>
      </c>
      <c r="B641" s="14">
        <v>3.133</v>
      </c>
      <c r="C641" s="11">
        <f t="shared" si="41"/>
        <v>7840.1912608290886</v>
      </c>
      <c r="D641" s="11">
        <f t="shared" si="38"/>
        <v>241.75402710829951</v>
      </c>
      <c r="E641" s="11">
        <f t="shared" si="39"/>
        <v>1078.9022697395183</v>
      </c>
      <c r="F641" s="11">
        <f>Speed_Calc!B$5*E641</f>
        <v>971.01204276556643</v>
      </c>
      <c r="G641" s="14">
        <f>Speed_Calc!G$3+Speed_Calc!G$5*A641^2</f>
        <v>34.677602499999999</v>
      </c>
      <c r="H641" s="7">
        <f>(F641-G641)/Speed_Calc!G$2*9.806</f>
        <v>6.8012559416623279</v>
      </c>
      <c r="I641" s="4">
        <f t="shared" si="40"/>
        <v>16.805555555555554</v>
      </c>
    </row>
    <row r="642" spans="1:9" x14ac:dyDescent="0.2">
      <c r="A642" s="11">
        <v>60.6</v>
      </c>
      <c r="B642" s="14">
        <v>3.133</v>
      </c>
      <c r="C642" s="11">
        <f t="shared" si="41"/>
        <v>7853.1502546486399</v>
      </c>
      <c r="D642" s="11">
        <f t="shared" si="38"/>
        <v>242.06512341387187</v>
      </c>
      <c r="E642" s="11">
        <f t="shared" si="39"/>
        <v>1078.5079756063597</v>
      </c>
      <c r="F642" s="11">
        <f>Speed_Calc!B$5*E642</f>
        <v>970.65717804572375</v>
      </c>
      <c r="G642" s="14">
        <f>Speed_Calc!G$3+Speed_Calc!G$5*A642^2</f>
        <v>34.7261636</v>
      </c>
      <c r="H642" s="7">
        <f>(F642-G642)/Speed_Calc!G$2*9.806</f>
        <v>6.7983255760405683</v>
      </c>
      <c r="I642" s="4">
        <f t="shared" si="40"/>
        <v>16.833333333333332</v>
      </c>
    </row>
    <row r="643" spans="1:9" x14ac:dyDescent="0.2">
      <c r="A643" s="11">
        <v>60.7</v>
      </c>
      <c r="B643" s="14">
        <v>3.133</v>
      </c>
      <c r="C643" s="11">
        <f t="shared" si="41"/>
        <v>7866.1092484681913</v>
      </c>
      <c r="D643" s="11">
        <f t="shared" si="38"/>
        <v>242.3706146535531</v>
      </c>
      <c r="E643" s="11">
        <f t="shared" si="39"/>
        <v>1078.0900487060846</v>
      </c>
      <c r="F643" s="11">
        <f>Speed_Calc!B$5*E643</f>
        <v>970.28104383547623</v>
      </c>
      <c r="G643" s="14">
        <f>Speed_Calc!G$3+Speed_Calc!G$5*A643^2</f>
        <v>34.774804899999999</v>
      </c>
      <c r="H643" s="7">
        <f>(F643-G643)/Speed_Calc!G$2*9.806</f>
        <v>6.7952401325935403</v>
      </c>
      <c r="I643" s="4">
        <f t="shared" si="40"/>
        <v>16.861111111111111</v>
      </c>
    </row>
    <row r="644" spans="1:9" x14ac:dyDescent="0.2">
      <c r="A644" s="11">
        <v>60.8</v>
      </c>
      <c r="B644" s="14">
        <v>3.133</v>
      </c>
      <c r="C644" s="11">
        <f t="shared" si="41"/>
        <v>7879.0682422877435</v>
      </c>
      <c r="D644" s="11">
        <f t="shared" si="38"/>
        <v>242.67041689058465</v>
      </c>
      <c r="E644" s="11">
        <f t="shared" si="39"/>
        <v>1077.6482329022674</v>
      </c>
      <c r="F644" s="11">
        <f>Speed_Calc!B$5*E644</f>
        <v>969.88340961204074</v>
      </c>
      <c r="G644" s="14">
        <f>Speed_Calc!G$3+Speed_Calc!G$5*A644^2</f>
        <v>34.823526399999999</v>
      </c>
      <c r="H644" s="7">
        <f>(F644-G644)/Speed_Calc!G$2*9.806</f>
        <v>6.7919979368720522</v>
      </c>
      <c r="I644" s="4">
        <f t="shared" si="40"/>
        <v>16.888888888888889</v>
      </c>
    </row>
    <row r="645" spans="1:9" x14ac:dyDescent="0.2">
      <c r="A645" s="11">
        <v>60.9</v>
      </c>
      <c r="B645" s="14">
        <v>3.133</v>
      </c>
      <c r="C645" s="11">
        <f t="shared" si="41"/>
        <v>7892.0272361072948</v>
      </c>
      <c r="D645" s="11">
        <f t="shared" si="38"/>
        <v>242.96444555837613</v>
      </c>
      <c r="E645" s="11">
        <f t="shared" si="39"/>
        <v>1077.1822709484659</v>
      </c>
      <c r="F645" s="11">
        <f>Speed_Calc!B$5*E645</f>
        <v>969.46404385361927</v>
      </c>
      <c r="G645" s="14">
        <f>Speed_Calc!G$3+Speed_Calc!G$5*A645^2</f>
        <v>34.872328099999997</v>
      </c>
      <c r="H645" s="7">
        <f>(F645-G645)/Speed_Calc!G$2*9.806</f>
        <v>6.7885973071703631</v>
      </c>
      <c r="I645" s="4">
        <f t="shared" si="40"/>
        <v>16.916666666666664</v>
      </c>
    </row>
    <row r="646" spans="1:9" x14ac:dyDescent="0.2">
      <c r="A646" s="11">
        <v>61</v>
      </c>
      <c r="B646" s="14">
        <v>3.133</v>
      </c>
      <c r="C646" s="11">
        <f t="shared" si="41"/>
        <v>7904.986229926848</v>
      </c>
      <c r="D646" s="11">
        <f t="shared" si="38"/>
        <v>243.25261545845154</v>
      </c>
      <c r="E646" s="11">
        <f t="shared" si="39"/>
        <v>1076.6919044882279</v>
      </c>
      <c r="F646" s="11">
        <f>Speed_Calc!B$5*E646</f>
        <v>969.02271403940517</v>
      </c>
      <c r="G646" s="14">
        <f>Speed_Calc!G$3+Speed_Calc!G$5*A646^2</f>
        <v>34.921210000000002</v>
      </c>
      <c r="H646" s="7">
        <f>(F646-G646)/Speed_Calc!G$2*9.806</f>
        <v>6.7850365545262274</v>
      </c>
      <c r="I646" s="4">
        <f t="shared" si="40"/>
        <v>16.944444444444443</v>
      </c>
    </row>
    <row r="647" spans="1:9" x14ac:dyDescent="0.2">
      <c r="A647" s="11">
        <v>61.1</v>
      </c>
      <c r="B647" s="14">
        <v>3.133</v>
      </c>
      <c r="C647" s="11">
        <f t="shared" si="41"/>
        <v>7917.9452237464002</v>
      </c>
      <c r="D647" s="11">
        <f t="shared" si="38"/>
        <v>243.53484075839415</v>
      </c>
      <c r="E647" s="11">
        <f t="shared" si="39"/>
        <v>1076.176874055097</v>
      </c>
      <c r="F647" s="11">
        <f>Speed_Calc!B$5*E647</f>
        <v>968.55918664958733</v>
      </c>
      <c r="G647" s="14">
        <f>Speed_Calc!G$3+Speed_Calc!G$5*A647^2</f>
        <v>34.970172099999999</v>
      </c>
      <c r="H647" s="7">
        <f>(F647-G647)/Speed_Calc!G$2*9.806</f>
        <v>6.7813139827209277</v>
      </c>
      <c r="I647" s="4">
        <f t="shared" si="40"/>
        <v>16.972222222222221</v>
      </c>
    </row>
    <row r="648" spans="1:9" x14ac:dyDescent="0.2">
      <c r="A648" s="11">
        <v>61.2</v>
      </c>
      <c r="B648" s="14">
        <v>3.133</v>
      </c>
      <c r="C648" s="11">
        <f t="shared" si="41"/>
        <v>7930.9042175659552</v>
      </c>
      <c r="D648" s="11">
        <f t="shared" si="38"/>
        <v>243.81103498979215</v>
      </c>
      <c r="E648" s="11">
        <f t="shared" si="39"/>
        <v>1075.6369190726123</v>
      </c>
      <c r="F648" s="11">
        <f>Speed_Calc!B$5*E648</f>
        <v>968.07322716535111</v>
      </c>
      <c r="G648" s="14">
        <f>Speed_Calc!G$3+Speed_Calc!G$5*A648^2</f>
        <v>35.019214400000003</v>
      </c>
      <c r="H648" s="7">
        <f>(F648-G648)/Speed_Calc!G$2*9.806</f>
        <v>6.7774278882792833</v>
      </c>
      <c r="I648" s="4">
        <f t="shared" si="40"/>
        <v>17</v>
      </c>
    </row>
    <row r="649" spans="1:9" x14ac:dyDescent="0.2">
      <c r="A649" s="11">
        <v>61.3</v>
      </c>
      <c r="B649" s="14">
        <v>3.133</v>
      </c>
      <c r="C649" s="11">
        <f t="shared" si="41"/>
        <v>7943.8632113855037</v>
      </c>
      <c r="D649" s="11">
        <f t="shared" si="38"/>
        <v>244.08111104617555</v>
      </c>
      <c r="E649" s="11">
        <f t="shared" si="39"/>
        <v>1075.071777854281</v>
      </c>
      <c r="F649" s="11">
        <f>Speed_Calc!B$5*E649</f>
        <v>967.56460006885288</v>
      </c>
      <c r="G649" s="14">
        <f>Speed_Calc!G$3+Speed_Calc!G$5*A649^2</f>
        <v>35.068336899999998</v>
      </c>
      <c r="H649" s="7">
        <f>(F649-G649)/Speed_Calc!G$2*9.806</f>
        <v>6.77337656046946</v>
      </c>
      <c r="I649" s="4">
        <f t="shared" si="40"/>
        <v>17.027777777777775</v>
      </c>
    </row>
    <row r="650" spans="1:9" x14ac:dyDescent="0.2">
      <c r="A650" s="11">
        <v>61.4</v>
      </c>
      <c r="B650" s="14">
        <v>3.133</v>
      </c>
      <c r="C650" s="11">
        <f t="shared" si="41"/>
        <v>7956.8222052050569</v>
      </c>
      <c r="D650" s="11">
        <f t="shared" si="38"/>
        <v>244.34498118097605</v>
      </c>
      <c r="E650" s="11">
        <f t="shared" si="39"/>
        <v>1074.4811876036406</v>
      </c>
      <c r="F650" s="11">
        <f>Speed_Calc!B$5*E650</f>
        <v>967.03306884327651</v>
      </c>
      <c r="G650" s="14">
        <f>Speed_Calc!G$3+Speed_Calc!G$5*A650^2</f>
        <v>35.117539600000001</v>
      </c>
      <c r="H650" s="7">
        <f>(F650-G650)/Speed_Calc!G$2*9.806</f>
        <v>6.7691582813033842</v>
      </c>
      <c r="I650" s="4">
        <f t="shared" si="40"/>
        <v>17.055555555555554</v>
      </c>
    </row>
    <row r="651" spans="1:9" x14ac:dyDescent="0.2">
      <c r="A651" s="11">
        <v>61.5</v>
      </c>
      <c r="B651" s="14">
        <v>3.133</v>
      </c>
      <c r="C651" s="11">
        <f t="shared" si="41"/>
        <v>7969.7811990246082</v>
      </c>
      <c r="D651" s="11">
        <f t="shared" si="38"/>
        <v>244.60255700545304</v>
      </c>
      <c r="E651" s="11">
        <f t="shared" si="39"/>
        <v>1073.8648844141842</v>
      </c>
      <c r="F651" s="11">
        <f>Speed_Calc!B$5*E651</f>
        <v>966.47839597276584</v>
      </c>
      <c r="G651" s="14">
        <f>Speed_Calc!G$3+Speed_Calc!G$5*A651^2</f>
        <v>35.166822499999995</v>
      </c>
      <c r="H651" s="7">
        <f>(F651-G651)/Speed_Calc!G$2*9.806</f>
        <v>6.7647713255362527</v>
      </c>
      <c r="I651" s="4">
        <f t="shared" si="40"/>
        <v>17.083333333333332</v>
      </c>
    </row>
    <row r="652" spans="1:9" x14ac:dyDescent="0.2">
      <c r="A652" s="11">
        <v>61.6</v>
      </c>
      <c r="B652" s="14">
        <v>3.133</v>
      </c>
      <c r="C652" s="11">
        <f t="shared" si="41"/>
        <v>7982.7401928441632</v>
      </c>
      <c r="D652" s="11">
        <f t="shared" si="38"/>
        <v>244.8537494866523</v>
      </c>
      <c r="E652" s="11">
        <f t="shared" si="39"/>
        <v>1073.2226032694173</v>
      </c>
      <c r="F652" s="11">
        <f>Speed_Calc!B$5*E652</f>
        <v>965.90034294247562</v>
      </c>
      <c r="G652" s="14">
        <f>Speed_Calc!G$3+Speed_Calc!G$5*A652^2</f>
        <v>35.216185600000003</v>
      </c>
      <c r="H652" s="7">
        <f>(F652-G652)/Speed_Calc!G$2*9.806</f>
        <v>6.7602139606668992</v>
      </c>
      <c r="I652" s="4">
        <f t="shared" si="40"/>
        <v>17.111111111111111</v>
      </c>
    </row>
    <row r="653" spans="1:9" x14ac:dyDescent="0.2">
      <c r="A653" s="11">
        <v>61.7</v>
      </c>
      <c r="B653" s="14">
        <v>3.133</v>
      </c>
      <c r="C653" s="11">
        <f t="shared" si="41"/>
        <v>7995.6991866637154</v>
      </c>
      <c r="D653" s="11">
        <f t="shared" si="38"/>
        <v>245.098468945343</v>
      </c>
      <c r="E653" s="11">
        <f t="shared" si="39"/>
        <v>1072.5540780428298</v>
      </c>
      <c r="F653" s="11">
        <f>Speed_Calc!B$5*E653</f>
        <v>965.29867023854683</v>
      </c>
      <c r="G653" s="14">
        <f>Speed_Calc!G$3+Speed_Calc!G$5*A653^2</f>
        <v>35.265628899999996</v>
      </c>
      <c r="H653" s="7">
        <f>(F653-G653)/Speed_Calc!G$2*9.806</f>
        <v>6.7554844469376212</v>
      </c>
      <c r="I653" s="4">
        <f t="shared" si="40"/>
        <v>17.138888888888889</v>
      </c>
    </row>
    <row r="654" spans="1:9" x14ac:dyDescent="0.2">
      <c r="A654" s="11">
        <v>61.8</v>
      </c>
      <c r="B654" s="14">
        <v>3.133</v>
      </c>
      <c r="C654" s="11">
        <f t="shared" si="41"/>
        <v>8008.6581804832649</v>
      </c>
      <c r="D654" s="11">
        <f t="shared" si="38"/>
        <v>245.33662505396242</v>
      </c>
      <c r="E654" s="11">
        <f t="shared" si="39"/>
        <v>1071.8590414978944</v>
      </c>
      <c r="F654" s="11">
        <f>Speed_Calc!B$5*E654</f>
        <v>964.673137348105</v>
      </c>
      <c r="G654" s="14">
        <f>Speed_Calc!G$3+Speed_Calc!G$5*A654^2</f>
        <v>35.315152399999995</v>
      </c>
      <c r="H654" s="7">
        <f>(F654-G654)/Speed_Calc!G$2*9.806</f>
        <v>6.750581037334161</v>
      </c>
      <c r="I654" s="4">
        <f t="shared" si="40"/>
        <v>17.166666666666664</v>
      </c>
    </row>
    <row r="655" spans="1:9" x14ac:dyDescent="0.2">
      <c r="A655" s="11">
        <v>61.9</v>
      </c>
      <c r="B655" s="14">
        <v>3.133</v>
      </c>
      <c r="C655" s="11">
        <f t="shared" si="41"/>
        <v>8021.6171743028171</v>
      </c>
      <c r="D655" s="11">
        <f t="shared" si="38"/>
        <v>245.5681268345669</v>
      </c>
      <c r="E655" s="11">
        <f t="shared" si="39"/>
        <v>1071.1372252880949</v>
      </c>
      <c r="F655" s="11">
        <f>Speed_Calc!B$5*E655</f>
        <v>964.02350275928541</v>
      </c>
      <c r="G655" s="14">
        <f>Speed_Calc!G$3+Speed_Calc!G$5*A655^2</f>
        <v>35.364756099999994</v>
      </c>
      <c r="H655" s="7">
        <f>(F655-G655)/Speed_Calc!G$2*9.806</f>
        <v>6.7455019775858904</v>
      </c>
      <c r="I655" s="4">
        <f t="shared" si="40"/>
        <v>17.194444444444443</v>
      </c>
    </row>
    <row r="656" spans="1:9" x14ac:dyDescent="0.2">
      <c r="A656" s="11">
        <v>62</v>
      </c>
      <c r="B656" s="14">
        <v>3.133</v>
      </c>
      <c r="C656" s="11">
        <f t="shared" si="41"/>
        <v>8034.5761681223703</v>
      </c>
      <c r="D656" s="11">
        <f t="shared" si="38"/>
        <v>245.79288265676664</v>
      </c>
      <c r="E656" s="11">
        <f t="shared" si="39"/>
        <v>1070.3883599568871</v>
      </c>
      <c r="F656" s="11">
        <f>Speed_Calc!B$5*E656</f>
        <v>963.34952396119843</v>
      </c>
      <c r="G656" s="14">
        <f>Speed_Calc!G$3+Speed_Calc!G$5*A656^2</f>
        <v>35.414439999999999</v>
      </c>
      <c r="H656" s="7">
        <f>(F656-G656)/Speed_Calc!G$2*9.806</f>
        <v>6.7402455061655635</v>
      </c>
      <c r="I656" s="4">
        <f t="shared" si="40"/>
        <v>17.222222222222221</v>
      </c>
    </row>
    <row r="657" spans="1:9" x14ac:dyDescent="0.2">
      <c r="A657" s="11">
        <v>62.1</v>
      </c>
      <c r="B657" s="14">
        <v>3.133</v>
      </c>
      <c r="C657" s="11">
        <f t="shared" si="41"/>
        <v>8047.5351619419253</v>
      </c>
      <c r="D657" s="11">
        <f t="shared" si="38"/>
        <v>246.01080023567769</v>
      </c>
      <c r="E657" s="11">
        <f t="shared" si="39"/>
        <v>1069.6121749377287</v>
      </c>
      <c r="F657" s="11">
        <f>Speed_Calc!B$5*E657</f>
        <v>962.6509574439558</v>
      </c>
      <c r="G657" s="14">
        <f>Speed_Calc!G$3+Speed_Calc!G$5*A657^2</f>
        <v>35.464204100000003</v>
      </c>
      <c r="H657" s="7">
        <f>(F657-G657)/Speed_Calc!G$2*9.806</f>
        <v>6.7348098542895043</v>
      </c>
      <c r="I657" s="4">
        <f t="shared" si="40"/>
        <v>17.25</v>
      </c>
    </row>
    <row r="658" spans="1:9" x14ac:dyDescent="0.2">
      <c r="A658" s="11">
        <v>62.2</v>
      </c>
      <c r="B658" s="14">
        <v>3.133</v>
      </c>
      <c r="C658" s="11">
        <f t="shared" si="41"/>
        <v>8060.4941557614766</v>
      </c>
      <c r="D658" s="11">
        <f t="shared" si="38"/>
        <v>246.22178662986204</v>
      </c>
      <c r="E658" s="11">
        <f t="shared" si="39"/>
        <v>1068.8083985540634</v>
      </c>
      <c r="F658" s="11">
        <f>Speed_Calc!B$5*E658</f>
        <v>961.92755869865709</v>
      </c>
      <c r="G658" s="14">
        <f>Speed_Calc!G$3+Speed_Calc!G$5*A658^2</f>
        <v>35.5140484</v>
      </c>
      <c r="H658" s="7">
        <f>(F658-G658)/Speed_Calc!G$2*9.806</f>
        <v>6.7291932459175037</v>
      </c>
      <c r="I658" s="4">
        <f t="shared" si="40"/>
        <v>17.277777777777779</v>
      </c>
    </row>
    <row r="659" spans="1:9" x14ac:dyDescent="0.2">
      <c r="A659" s="11">
        <v>62.3</v>
      </c>
      <c r="B659" s="14">
        <v>3.133</v>
      </c>
      <c r="C659" s="11">
        <f t="shared" si="41"/>
        <v>8073.453149581027</v>
      </c>
      <c r="D659" s="11">
        <f t="shared" si="38"/>
        <v>246.42574823927703</v>
      </c>
      <c r="E659" s="11">
        <f t="shared" si="39"/>
        <v>1067.9767580193386</v>
      </c>
      <c r="F659" s="11">
        <f>Speed_Calc!B$5*E659</f>
        <v>961.17908221740481</v>
      </c>
      <c r="G659" s="14">
        <f>Speed_Calc!G$3+Speed_Calc!G$5*A659^2</f>
        <v>35.563972899999996</v>
      </c>
      <c r="H659" s="7">
        <f>(F659-G659)/Speed_Calc!G$2*9.806</f>
        <v>6.7233938977529419</v>
      </c>
      <c r="I659" s="4">
        <f t="shared" si="40"/>
        <v>17.305555555555554</v>
      </c>
    </row>
    <row r="660" spans="1:9" x14ac:dyDescent="0.2">
      <c r="A660" s="11">
        <v>62.4</v>
      </c>
      <c r="B660" s="14">
        <v>3.133</v>
      </c>
      <c r="C660" s="11">
        <f t="shared" si="41"/>
        <v>8086.4121434005783</v>
      </c>
      <c r="D660" s="11">
        <f t="shared" si="38"/>
        <v>246.62259080321218</v>
      </c>
      <c r="E660" s="11">
        <f t="shared" si="39"/>
        <v>1067.116979436976</v>
      </c>
      <c r="F660" s="11">
        <f>Speed_Calc!B$5*E660</f>
        <v>960.40528149327838</v>
      </c>
      <c r="G660" s="14">
        <f>Speed_Calc!G$3+Speed_Calc!G$5*A660^2</f>
        <v>35.613977599999998</v>
      </c>
      <c r="H660" s="7">
        <f>(F660-G660)/Speed_Calc!G$2*9.806</f>
        <v>6.7174100192425827</v>
      </c>
      <c r="I660" s="4">
        <f t="shared" si="40"/>
        <v>17.333333333333332</v>
      </c>
    </row>
    <row r="661" spans="1:9" x14ac:dyDescent="0.2">
      <c r="A661" s="11">
        <v>62.5</v>
      </c>
      <c r="B661" s="14">
        <v>3.133</v>
      </c>
      <c r="C661" s="11">
        <f t="shared" si="41"/>
        <v>8099.3711372201315</v>
      </c>
      <c r="D661" s="11">
        <f t="shared" si="38"/>
        <v>246.8122193982403</v>
      </c>
      <c r="E661" s="11">
        <f t="shared" si="39"/>
        <v>1066.2287878003981</v>
      </c>
      <c r="F661" s="11">
        <f>Speed_Calc!B$5*E661</f>
        <v>959.60590902035835</v>
      </c>
      <c r="G661" s="14">
        <f>Speed_Calc!G$3+Speed_Calc!G$5*A661^2</f>
        <v>35.6640625</v>
      </c>
      <c r="H661" s="7">
        <f>(F661-G661)/Speed_Calc!G$2*9.806</f>
        <v>6.7112398125767658</v>
      </c>
      <c r="I661" s="4">
        <f t="shared" si="40"/>
        <v>17.361111111111111</v>
      </c>
    </row>
    <row r="662" spans="1:9" x14ac:dyDescent="0.2">
      <c r="A662" s="11">
        <v>62.6</v>
      </c>
      <c r="B662" s="14">
        <v>3.133</v>
      </c>
      <c r="C662" s="11">
        <f t="shared" si="41"/>
        <v>8112.3301310396837</v>
      </c>
      <c r="D662" s="11">
        <f t="shared" si="38"/>
        <v>246.99453843615822</v>
      </c>
      <c r="E662" s="11">
        <f t="shared" si="39"/>
        <v>1065.3119069930149</v>
      </c>
      <c r="F662" s="11">
        <f>Speed_Calc!B$5*E662</f>
        <v>958.78071629371345</v>
      </c>
      <c r="G662" s="14">
        <f>Speed_Calc!G$3+Speed_Calc!G$5*A662^2</f>
        <v>35.714227600000001</v>
      </c>
      <c r="H662" s="7">
        <f>(F662-G662)/Speed_Calc!G$2*9.806</f>
        <v>6.7048814726892996</v>
      </c>
      <c r="I662" s="4">
        <f t="shared" si="40"/>
        <v>17.388888888888889</v>
      </c>
    </row>
    <row r="663" spans="1:9" x14ac:dyDescent="0.2">
      <c r="A663" s="11">
        <v>62.7</v>
      </c>
      <c r="B663" s="14">
        <v>3.133</v>
      </c>
      <c r="C663" s="11">
        <f t="shared" si="41"/>
        <v>8125.2891248592368</v>
      </c>
      <c r="D663" s="11">
        <f t="shared" si="38"/>
        <v>247.16945166193284</v>
      </c>
      <c r="E663" s="11">
        <f t="shared" si="39"/>
        <v>1064.3660597882274</v>
      </c>
      <c r="F663" s="11">
        <f>Speed_Calc!B$5*E663</f>
        <v>957.92945380940466</v>
      </c>
      <c r="G663" s="14">
        <f>Speed_Calc!G$3+Speed_Calc!G$5*A663^2</f>
        <v>35.764472900000001</v>
      </c>
      <c r="H663" s="7">
        <f>(F663-G663)/Speed_Calc!G$2*9.806</f>
        <v>6.6983331872574974</v>
      </c>
      <c r="I663" s="4">
        <f t="shared" si="40"/>
        <v>17.416666666666668</v>
      </c>
    </row>
    <row r="664" spans="1:9" x14ac:dyDescent="0.2">
      <c r="A664" s="11">
        <v>62.8</v>
      </c>
      <c r="B664" s="14">
        <v>3.133</v>
      </c>
      <c r="C664" s="11">
        <f t="shared" si="41"/>
        <v>8138.2481186787863</v>
      </c>
      <c r="D664" s="11">
        <f t="shared" si="38"/>
        <v>247.33686215164681</v>
      </c>
      <c r="E664" s="11">
        <f t="shared" si="39"/>
        <v>1063.3909678494374</v>
      </c>
      <c r="F664" s="11">
        <f>Speed_Calc!B$5*E664</f>
        <v>957.05187106449364</v>
      </c>
      <c r="G664" s="14">
        <f>Speed_Calc!G$3+Speed_Calc!G$5*A664^2</f>
        <v>35.814798400000001</v>
      </c>
      <c r="H664" s="7">
        <f>(F664-G664)/Speed_Calc!G$2*9.806</f>
        <v>6.6915931367022408</v>
      </c>
      <c r="I664" s="4">
        <f t="shared" si="40"/>
        <v>17.444444444444443</v>
      </c>
    </row>
    <row r="665" spans="1:9" x14ac:dyDescent="0.2">
      <c r="A665" s="11">
        <v>62.9</v>
      </c>
      <c r="B665" s="14">
        <v>3.133</v>
      </c>
      <c r="C665" s="11">
        <f t="shared" si="41"/>
        <v>8151.2071124983404</v>
      </c>
      <c r="D665" s="11">
        <f t="shared" si="38"/>
        <v>247.49667231043989</v>
      </c>
      <c r="E665" s="11">
        <f t="shared" si="39"/>
        <v>1062.3863517300283</v>
      </c>
      <c r="F665" s="11">
        <f>Speed_Calc!B$5*E665</f>
        <v>956.14771655702555</v>
      </c>
      <c r="G665" s="14">
        <f>Speed_Calc!G$3+Speed_Calc!G$5*A665^2</f>
        <v>35.8652041</v>
      </c>
      <c r="H665" s="7">
        <f>(F665-G665)/Speed_Calc!G$2*9.806</f>
        <v>6.6846594941878452</v>
      </c>
      <c r="I665" s="4">
        <f t="shared" si="40"/>
        <v>17.472222222222221</v>
      </c>
    </row>
    <row r="666" spans="1:9" x14ac:dyDescent="0.2">
      <c r="A666" s="11">
        <v>63</v>
      </c>
      <c r="B666" s="14">
        <v>3.133</v>
      </c>
      <c r="C666" s="11">
        <f t="shared" si="41"/>
        <v>8164.1661063178935</v>
      </c>
      <c r="D666" s="11">
        <f t="shared" si="38"/>
        <v>247.64878387045405</v>
      </c>
      <c r="E666" s="11">
        <f t="shared" si="39"/>
        <v>1061.3519308733746</v>
      </c>
      <c r="F666" s="11">
        <f>Speed_Calc!B$5*E666</f>
        <v>955.21673778603713</v>
      </c>
      <c r="G666" s="14">
        <f>Speed_Calc!G$3+Speed_Calc!G$5*A666^2</f>
        <v>35.915689999999998</v>
      </c>
      <c r="H666" s="7">
        <f>(F666-G666)/Speed_Calc!G$2*9.806</f>
        <v>6.6775304256221331</v>
      </c>
      <c r="I666" s="4">
        <f t="shared" si="40"/>
        <v>17.5</v>
      </c>
    </row>
    <row r="667" spans="1:9" x14ac:dyDescent="0.2">
      <c r="A667" s="11">
        <v>63.1</v>
      </c>
      <c r="B667" s="14">
        <v>3.133</v>
      </c>
      <c r="C667" s="11">
        <f t="shared" si="41"/>
        <v>8177.1251001374449</v>
      </c>
      <c r="D667" s="11">
        <f t="shared" si="38"/>
        <v>247.79309788877933</v>
      </c>
      <c r="E667" s="11">
        <f t="shared" si="39"/>
        <v>1060.2874236128437</v>
      </c>
      <c r="F667" s="11">
        <f>Speed_Calc!B$5*E667</f>
        <v>954.25868125155932</v>
      </c>
      <c r="G667" s="14">
        <f>Speed_Calc!G$3+Speed_Calc!G$5*A667^2</f>
        <v>35.966256099999995</v>
      </c>
      <c r="H667" s="7">
        <f>(F667-G667)/Speed_Calc!G$2*9.806</f>
        <v>6.670204089656437</v>
      </c>
      <c r="I667" s="4">
        <f t="shared" si="40"/>
        <v>17.527777777777779</v>
      </c>
    </row>
    <row r="668" spans="1:9" x14ac:dyDescent="0.2">
      <c r="A668" s="11">
        <v>63.2</v>
      </c>
      <c r="B668" s="14">
        <v>3.133</v>
      </c>
      <c r="C668" s="11">
        <f t="shared" si="41"/>
        <v>8190.0840939569971</v>
      </c>
      <c r="D668" s="11">
        <f t="shared" si="38"/>
        <v>247.92951474539967</v>
      </c>
      <c r="E668" s="11">
        <f t="shared" si="39"/>
        <v>1059.1925471718025</v>
      </c>
      <c r="F668" s="11">
        <f>Speed_Calc!B$5*E668</f>
        <v>953.27329245462226</v>
      </c>
      <c r="G668" s="14">
        <f>Speed_Calc!G$3+Speed_Calc!G$5*A668^2</f>
        <v>36.016902399999999</v>
      </c>
      <c r="H668" s="7">
        <f>(F668-G668)/Speed_Calc!G$2*9.806</f>
        <v>6.6626786376856479</v>
      </c>
      <c r="I668" s="4">
        <f t="shared" si="40"/>
        <v>17.555555555555557</v>
      </c>
    </row>
    <row r="669" spans="1:9" x14ac:dyDescent="0.2">
      <c r="A669" s="11">
        <v>63.3</v>
      </c>
      <c r="B669" s="14">
        <v>3.133</v>
      </c>
      <c r="C669" s="11">
        <f t="shared" si="41"/>
        <v>8203.0430877765502</v>
      </c>
      <c r="D669" s="11">
        <f t="shared" si="38"/>
        <v>248.05793414113046</v>
      </c>
      <c r="E669" s="11">
        <f t="shared" si="39"/>
        <v>1058.0670176635897</v>
      </c>
      <c r="F669" s="11">
        <f>Speed_Calc!B$5*E669</f>
        <v>952.26031589723073</v>
      </c>
      <c r="G669" s="14">
        <f>Speed_Calc!G$3+Speed_Calc!G$5*A669^2</f>
        <v>36.067628899999995</v>
      </c>
      <c r="H669" s="7">
        <f>(F669-G669)/Speed_Calc!G$2*9.806</f>
        <v>6.6549522138480315</v>
      </c>
      <c r="I669" s="4">
        <f t="shared" si="40"/>
        <v>17.583333333333332</v>
      </c>
    </row>
    <row r="670" spans="1:9" x14ac:dyDescent="0.2">
      <c r="A670" s="11">
        <v>63.4</v>
      </c>
      <c r="B670" s="14">
        <v>3.133</v>
      </c>
      <c r="C670" s="11">
        <f t="shared" si="41"/>
        <v>8216.0020815961016</v>
      </c>
      <c r="D670" s="11">
        <f t="shared" si="38"/>
        <v>248.17825509557281</v>
      </c>
      <c r="E670" s="11">
        <f t="shared" si="39"/>
        <v>1056.9105500915564</v>
      </c>
      <c r="F670" s="11">
        <f>Speed_Calc!B$5*E670</f>
        <v>951.21949508240073</v>
      </c>
      <c r="G670" s="14">
        <f>Speed_Calc!G$3+Speed_Calc!G$5*A670^2</f>
        <v>36.118435599999998</v>
      </c>
      <c r="H670" s="7">
        <f>(F670-G670)/Speed_Calc!G$2*9.806</f>
        <v>6.6470229550254967</v>
      </c>
      <c r="I670" s="4">
        <f t="shared" si="40"/>
        <v>17.611111111111111</v>
      </c>
    </row>
    <row r="671" spans="1:9" x14ac:dyDescent="0.2">
      <c r="A671" s="11">
        <v>63.5</v>
      </c>
      <c r="B671" s="14">
        <v>3.133</v>
      </c>
      <c r="C671" s="11">
        <f t="shared" si="41"/>
        <v>8228.9610754156529</v>
      </c>
      <c r="D671" s="11">
        <f t="shared" si="38"/>
        <v>248.2903759450524</v>
      </c>
      <c r="E671" s="11">
        <f t="shared" si="39"/>
        <v>1055.7228583490421</v>
      </c>
      <c r="F671" s="11">
        <f>Speed_Calc!B$5*E671</f>
        <v>950.15057251413793</v>
      </c>
      <c r="G671" s="14">
        <f>Speed_Calc!G$3+Speed_Calc!G$5*A671^2</f>
        <v>36.1693225</v>
      </c>
      <c r="H671" s="7">
        <f>(F671-G671)/Speed_Calc!G$2*9.806</f>
        <v>6.6388889908434336</v>
      </c>
      <c r="I671" s="4">
        <f t="shared" si="40"/>
        <v>17.638888888888889</v>
      </c>
    </row>
    <row r="672" spans="1:9" x14ac:dyDescent="0.2">
      <c r="A672" s="11">
        <v>63.6</v>
      </c>
      <c r="B672" s="14">
        <v>3.133</v>
      </c>
      <c r="C672" s="11">
        <f t="shared" si="41"/>
        <v>8241.920069235206</v>
      </c>
      <c r="D672" s="11">
        <f t="shared" si="38"/>
        <v>248.39419434056123</v>
      </c>
      <c r="E672" s="11">
        <f t="shared" si="39"/>
        <v>1054.5036552193637</v>
      </c>
      <c r="F672" s="11">
        <f>Speed_Calc!B$5*E672</f>
        <v>949.05328969742743</v>
      </c>
      <c r="G672" s="14">
        <f>Speed_Calc!G$3+Speed_Calc!G$5*A672^2</f>
        <v>36.220289600000001</v>
      </c>
      <c r="H672" s="7">
        <f>(F672-G672)/Speed_Calc!G$2*9.806</f>
        <v>6.6305484436706461</v>
      </c>
      <c r="I672" s="4">
        <f t="shared" si="40"/>
        <v>17.666666666666668</v>
      </c>
    </row>
    <row r="673" spans="1:9" x14ac:dyDescent="0.2">
      <c r="A673" s="11">
        <v>63.7</v>
      </c>
      <c r="B673" s="14">
        <v>3.133</v>
      </c>
      <c r="C673" s="11">
        <f t="shared" si="41"/>
        <v>8254.8790630547592</v>
      </c>
      <c r="D673" s="11">
        <f t="shared" si="38"/>
        <v>248.48960724570679</v>
      </c>
      <c r="E673" s="11">
        <f t="shared" si="39"/>
        <v>1053.252652375837</v>
      </c>
      <c r="F673" s="11">
        <f>Speed_Calc!B$5*E673</f>
        <v>947.92738713825327</v>
      </c>
      <c r="G673" s="14">
        <f>Speed_Calc!G$3+Speed_Calc!G$5*A673^2</f>
        <v>36.271336900000001</v>
      </c>
      <c r="H673" s="7">
        <f>(F673-G673)/Speed_Calc!G$2*9.806</f>
        <v>6.6219994286194899</v>
      </c>
      <c r="I673" s="4">
        <f t="shared" si="40"/>
        <v>17.694444444444446</v>
      </c>
    </row>
    <row r="674" spans="1:9" x14ac:dyDescent="0.2">
      <c r="A674" s="11">
        <v>63.8</v>
      </c>
      <c r="B674" s="14">
        <v>3.133</v>
      </c>
      <c r="C674" s="11">
        <f t="shared" si="41"/>
        <v>8267.8380568743105</v>
      </c>
      <c r="D674" s="11">
        <f t="shared" si="38"/>
        <v>248.57651093465617</v>
      </c>
      <c r="E674" s="11">
        <f t="shared" si="39"/>
        <v>1051.9695603817738</v>
      </c>
      <c r="F674" s="11">
        <f>Speed_Calc!B$5*E674</f>
        <v>946.77260434359641</v>
      </c>
      <c r="G674" s="14">
        <f>Speed_Calc!G$3+Speed_Calc!G$5*A674^2</f>
        <v>36.322464400000001</v>
      </c>
      <c r="H674" s="7">
        <f>(F674-G674)/Speed_Calc!G$2*9.806</f>
        <v>6.6132400535458569</v>
      </c>
      <c r="I674" s="4">
        <f t="shared" si="40"/>
        <v>17.722222222222221</v>
      </c>
    </row>
    <row r="675" spans="1:9" x14ac:dyDescent="0.2">
      <c r="A675" s="11">
        <v>63.9</v>
      </c>
      <c r="B675" s="14">
        <v>3.133</v>
      </c>
      <c r="C675" s="11">
        <f t="shared" si="41"/>
        <v>8280.7970506938636</v>
      </c>
      <c r="D675" s="11">
        <f t="shared" si="38"/>
        <v>248.65480099007704</v>
      </c>
      <c r="E675" s="11">
        <f t="shared" si="39"/>
        <v>1050.6540886904663</v>
      </c>
      <c r="F675" s="11">
        <f>Speed_Calc!B$5*E675</f>
        <v>945.58867982141976</v>
      </c>
      <c r="G675" s="14">
        <f>Speed_Calc!G$3+Speed_Calc!G$5*A675^2</f>
        <v>36.3736721</v>
      </c>
      <c r="H675" s="7">
        <f>(F675-G675)/Speed_Calc!G$2*9.806</f>
        <v>6.6042684190490677</v>
      </c>
      <c r="I675" s="4">
        <f t="shared" si="40"/>
        <v>17.75</v>
      </c>
    </row>
    <row r="676" spans="1:9" x14ac:dyDescent="0.2">
      <c r="A676" s="11">
        <v>64</v>
      </c>
      <c r="B676" s="14">
        <v>3.133</v>
      </c>
      <c r="C676" s="11">
        <f t="shared" si="41"/>
        <v>8293.7560445134168</v>
      </c>
      <c r="D676" s="11">
        <f t="shared" si="38"/>
        <v>248.72437230108739</v>
      </c>
      <c r="E676" s="11">
        <f t="shared" si="39"/>
        <v>1049.3059456452122</v>
      </c>
      <c r="F676" s="11">
        <f>Speed_Calc!B$5*E676</f>
        <v>944.37535108069096</v>
      </c>
      <c r="G676" s="14">
        <f>Speed_Calc!G$3+Speed_Calc!G$5*A676^2</f>
        <v>36.424959999999999</v>
      </c>
      <c r="H676" s="7">
        <f>(F676-G676)/Speed_Calc!G$2*9.806</f>
        <v>6.5950826184720404</v>
      </c>
      <c r="I676" s="4">
        <f t="shared" si="40"/>
        <v>17.777777777777779</v>
      </c>
    </row>
    <row r="677" spans="1:9" x14ac:dyDescent="0.2">
      <c r="A677" s="11">
        <v>64.099999999999994</v>
      </c>
      <c r="B677" s="14">
        <v>3.133</v>
      </c>
      <c r="C677" s="11">
        <f t="shared" si="41"/>
        <v>8306.7150383329645</v>
      </c>
      <c r="D677" s="11">
        <f t="shared" ref="D677:D740" si="42">-4.687*10^(-17)*C677^5+9.129*10^(-13)*C677^4-6.175*10^(-9)*C677^3+1.799*10^(-5)*C677^2+6.502*10^(-3)*C677</f>
        <v>248.78511906119556</v>
      </c>
      <c r="E677" s="11">
        <f t="shared" si="39"/>
        <v>1047.9248384792954</v>
      </c>
      <c r="F677" s="11">
        <f>Speed_Calc!B$5*E677</f>
        <v>943.13235463136596</v>
      </c>
      <c r="G677" s="14">
        <f>Speed_Calc!G$3+Speed_Calc!G$5*A677^2</f>
        <v>36.476328099999996</v>
      </c>
      <c r="H677" s="7">
        <f>(F677-G677)/Speed_Calc!G$2*9.806</f>
        <v>6.585680737901165</v>
      </c>
      <c r="I677" s="4">
        <f t="shared" si="40"/>
        <v>17.805555555555554</v>
      </c>
    </row>
    <row r="678" spans="1:9" x14ac:dyDescent="0.2">
      <c r="A678" s="11">
        <v>64.2</v>
      </c>
      <c r="B678" s="14">
        <v>3.133</v>
      </c>
      <c r="C678" s="11">
        <f t="shared" si="41"/>
        <v>8319.6740321525194</v>
      </c>
      <c r="D678" s="11">
        <f t="shared" si="42"/>
        <v>248.83693476624384</v>
      </c>
      <c r="E678" s="11">
        <f t="shared" ref="E678:E741" si="43">D678*75*B678*B$31*B$32/B$23/C678/2/PI()*60</f>
        <v>1046.5104733159787</v>
      </c>
      <c r="F678" s="11">
        <f>Speed_Calc!B$5*E678</f>
        <v>941.85942598438089</v>
      </c>
      <c r="G678" s="14">
        <f>Speed_Calc!G$3+Speed_Calc!G$5*A678^2</f>
        <v>36.5277764</v>
      </c>
      <c r="H678" s="7">
        <f>(F678-G678)/Speed_Calc!G$2*9.806</f>
        <v>6.5760608561662508</v>
      </c>
      <c r="I678" s="4">
        <f t="shared" ref="I678:I741" si="44">A678/3.6</f>
        <v>17.833333333333332</v>
      </c>
    </row>
    <row r="679" spans="1:9" x14ac:dyDescent="0.2">
      <c r="A679" s="11">
        <v>64.3</v>
      </c>
      <c r="B679" s="14">
        <v>3.133</v>
      </c>
      <c r="C679" s="11">
        <f t="shared" si="41"/>
        <v>8332.6330259720726</v>
      </c>
      <c r="D679" s="11">
        <f t="shared" si="42"/>
        <v>248.87971221235836</v>
      </c>
      <c r="E679" s="11">
        <f t="shared" si="43"/>
        <v>1045.0625551685341</v>
      </c>
      <c r="F679" s="11">
        <f>Speed_Calc!B$5*E679</f>
        <v>940.55629965168077</v>
      </c>
      <c r="G679" s="14">
        <f>Speed_Calc!G$3+Speed_Calc!G$5*A679^2</f>
        <v>36.579304899999997</v>
      </c>
      <c r="H679" s="7">
        <f>(F679-G679)/Speed_Calc!G$2*9.806</f>
        <v>6.5662210448407263</v>
      </c>
      <c r="I679" s="4">
        <f t="shared" si="44"/>
        <v>17.861111111111111</v>
      </c>
    </row>
    <row r="680" spans="1:9" x14ac:dyDescent="0.2">
      <c r="A680" s="11">
        <v>64.400000000000006</v>
      </c>
      <c r="B680" s="14">
        <v>3.133</v>
      </c>
      <c r="C680" s="11">
        <f t="shared" si="41"/>
        <v>8345.5920197916239</v>
      </c>
      <c r="D680" s="11">
        <f t="shared" si="42"/>
        <v>248.91334349388808</v>
      </c>
      <c r="E680" s="11">
        <f t="shared" si="43"/>
        <v>1043.5807879402141</v>
      </c>
      <c r="F680" s="11">
        <f>Speed_Calc!B$5*E680</f>
        <v>939.22270914619276</v>
      </c>
      <c r="G680" s="14">
        <f>Speed_Calc!G$3+Speed_Calc!G$5*A680^2</f>
        <v>36.6309136</v>
      </c>
      <c r="H680" s="7">
        <f>(F680-G680)/Speed_Calc!G$2*9.806</f>
        <v>6.5561593682414561</v>
      </c>
      <c r="I680" s="4">
        <f t="shared" si="44"/>
        <v>17.888888888888889</v>
      </c>
    </row>
    <row r="681" spans="1:9" x14ac:dyDescent="0.2">
      <c r="A681" s="11">
        <v>64.5</v>
      </c>
      <c r="B681" s="14">
        <v>3.133</v>
      </c>
      <c r="C681" s="11">
        <f t="shared" si="41"/>
        <v>8358.551013611177</v>
      </c>
      <c r="D681" s="11">
        <f t="shared" si="42"/>
        <v>248.93772000135277</v>
      </c>
      <c r="E681" s="11">
        <f t="shared" si="43"/>
        <v>1042.0648744242669</v>
      </c>
      <c r="F681" s="11">
        <f>Speed_Calc!B$5*E681</f>
        <v>937.85838698184023</v>
      </c>
      <c r="G681" s="14">
        <f>Speed_Calc!G$3+Speed_Calc!G$5*A681^2</f>
        <v>36.682602500000002</v>
      </c>
      <c r="H681" s="7">
        <f>(F681-G681)/Speed_Calc!G$2*9.806</f>
        <v>6.5458738834288335</v>
      </c>
      <c r="I681" s="4">
        <f t="shared" si="44"/>
        <v>17.916666666666668</v>
      </c>
    </row>
    <row r="682" spans="1:9" x14ac:dyDescent="0.2">
      <c r="A682" s="11">
        <v>64.599999999999994</v>
      </c>
      <c r="B682" s="14">
        <v>3.133</v>
      </c>
      <c r="C682" s="11">
        <f t="shared" si="41"/>
        <v>8371.5100074307284</v>
      </c>
      <c r="D682" s="11">
        <f t="shared" si="42"/>
        <v>248.95273241938679</v>
      </c>
      <c r="E682" s="11">
        <f t="shared" si="43"/>
        <v>1040.5145163039383</v>
      </c>
      <c r="F682" s="11">
        <f>Speed_Calc!B$5*E682</f>
        <v>936.46306467354452</v>
      </c>
      <c r="G682" s="14">
        <f>Speed_Calc!G$3+Speed_Calc!G$5*A682^2</f>
        <v>36.734371599999996</v>
      </c>
      <c r="H682" s="7">
        <f>(F682-G682)/Speed_Calc!G$2*9.806</f>
        <v>6.535362640206797</v>
      </c>
      <c r="I682" s="4">
        <f t="shared" si="44"/>
        <v>17.944444444444443</v>
      </c>
    </row>
    <row r="683" spans="1:9" x14ac:dyDescent="0.2">
      <c r="A683" s="11">
        <v>64.7</v>
      </c>
      <c r="B683" s="14">
        <v>3.133</v>
      </c>
      <c r="C683" s="11">
        <f t="shared" ref="C683:C746" si="45">A683/3.6/B$23/2/PI()*B$32*B$31*B683*60</f>
        <v>8384.4690012502797</v>
      </c>
      <c r="D683" s="11">
        <f t="shared" si="42"/>
        <v>248.95827072467833</v>
      </c>
      <c r="E683" s="11">
        <f t="shared" si="43"/>
        <v>1038.9294141524447</v>
      </c>
      <c r="F683" s="11">
        <f>Speed_Calc!B$5*E683</f>
        <v>935.03647273720026</v>
      </c>
      <c r="G683" s="14">
        <f>Speed_Calc!G$3+Speed_Calc!G$5*A683^2</f>
        <v>36.786220900000004</v>
      </c>
      <c r="H683" s="7">
        <f>(F683-G683)/Speed_Calc!G$2*9.806</f>
        <v>6.5246236811226552</v>
      </c>
      <c r="I683" s="4">
        <f t="shared" si="44"/>
        <v>17.972222222222221</v>
      </c>
    </row>
    <row r="684" spans="1:9" x14ac:dyDescent="0.2">
      <c r="A684" s="11">
        <v>64.8</v>
      </c>
      <c r="B684" s="14">
        <v>3.133</v>
      </c>
      <c r="C684" s="11">
        <f t="shared" si="45"/>
        <v>8397.4279950698328</v>
      </c>
      <c r="D684" s="11">
        <f t="shared" si="42"/>
        <v>248.95422418392297</v>
      </c>
      <c r="E684" s="11">
        <f t="shared" si="43"/>
        <v>1037.3092674330123</v>
      </c>
      <c r="F684" s="11">
        <f>Speed_Calc!B$5*E684</f>
        <v>933.57834068971113</v>
      </c>
      <c r="G684" s="14">
        <f>Speed_Calc!G$3+Speed_Calc!G$5*A684^2</f>
        <v>36.838150400000004</v>
      </c>
      <c r="H684" s="7">
        <f>(F684-G684)/Speed_Calc!G$2*9.806</f>
        <v>6.513655041467338</v>
      </c>
      <c r="I684" s="4">
        <f t="shared" si="44"/>
        <v>18</v>
      </c>
    </row>
    <row r="685" spans="1:9" x14ac:dyDescent="0.2">
      <c r="A685" s="11">
        <v>64.900000000000006</v>
      </c>
      <c r="B685" s="14">
        <v>3.133</v>
      </c>
      <c r="C685" s="11">
        <f t="shared" si="45"/>
        <v>8410.386988889386</v>
      </c>
      <c r="D685" s="11">
        <f t="shared" si="42"/>
        <v>248.9404813517618</v>
      </c>
      <c r="E685" s="11">
        <f t="shared" si="43"/>
        <v>1035.653774498855</v>
      </c>
      <c r="F685" s="11">
        <f>Speed_Calc!B$5*E685</f>
        <v>932.08839704896957</v>
      </c>
      <c r="G685" s="14">
        <f>Speed_Calc!G$3+Speed_Calc!G$5*A685^2</f>
        <v>36.890160100000003</v>
      </c>
      <c r="H685" s="7">
        <f>(F685-G685)/Speed_Calc!G$2*9.806</f>
        <v>6.5024547492752554</v>
      </c>
      <c r="I685" s="4">
        <f t="shared" si="44"/>
        <v>18.027777777777779</v>
      </c>
    </row>
    <row r="686" spans="1:9" x14ac:dyDescent="0.2">
      <c r="A686" s="11">
        <v>65</v>
      </c>
      <c r="B686" s="14">
        <v>3.133</v>
      </c>
      <c r="C686" s="11">
        <f t="shared" si="45"/>
        <v>8423.3459827089355</v>
      </c>
      <c r="D686" s="11">
        <f t="shared" si="42"/>
        <v>248.91693006872794</v>
      </c>
      <c r="E686" s="11">
        <f t="shared" si="43"/>
        <v>1033.9626325931777</v>
      </c>
      <c r="F686" s="11">
        <f>Speed_Calc!B$5*E686</f>
        <v>930.56636933385994</v>
      </c>
      <c r="G686" s="14">
        <f>Speed_Calc!G$3+Speed_Calc!G$5*A686^2</f>
        <v>36.942250000000001</v>
      </c>
      <c r="H686" s="7">
        <f>(F686-G686)/Speed_Calc!G$2*9.806</f>
        <v>6.491020825324318</v>
      </c>
      <c r="I686" s="4">
        <f t="shared" si="44"/>
        <v>18.055555555555554</v>
      </c>
    </row>
    <row r="687" spans="1:9" x14ac:dyDescent="0.2">
      <c r="A687" s="11">
        <v>65.099999999999994</v>
      </c>
      <c r="B687" s="14">
        <v>3.133</v>
      </c>
      <c r="C687" s="11">
        <f t="shared" si="45"/>
        <v>8436.3049765284904</v>
      </c>
      <c r="D687" s="11">
        <f t="shared" si="42"/>
        <v>248.88345745918903</v>
      </c>
      <c r="E687" s="11">
        <f t="shared" si="43"/>
        <v>1032.2355378491709</v>
      </c>
      <c r="F687" s="11">
        <f>Speed_Calc!B$5*E687</f>
        <v>929.01198406425385</v>
      </c>
      <c r="G687" s="14">
        <f>Speed_Calc!G$3+Speed_Calc!G$5*A687^2</f>
        <v>36.994420099999999</v>
      </c>
      <c r="H687" s="7">
        <f>(F687-G687)/Speed_Calc!G$2*9.806</f>
        <v>6.4793512831359061</v>
      </c>
      <c r="I687" s="4">
        <f t="shared" si="44"/>
        <v>18.083333333333332</v>
      </c>
    </row>
    <row r="688" spans="1:9" x14ac:dyDescent="0.2">
      <c r="A688" s="11">
        <v>65.2</v>
      </c>
      <c r="B688" s="14">
        <v>3.133</v>
      </c>
      <c r="C688" s="11">
        <f t="shared" si="45"/>
        <v>8449.2639703480418</v>
      </c>
      <c r="D688" s="11">
        <f t="shared" si="42"/>
        <v>248.83994992929456</v>
      </c>
      <c r="E688" s="11">
        <f t="shared" si="43"/>
        <v>1030.4721852900234</v>
      </c>
      <c r="F688" s="11">
        <f>Speed_Calc!B$5*E688</f>
        <v>927.4249667610211</v>
      </c>
      <c r="G688" s="14">
        <f>Speed_Calc!G$3+Speed_Calc!G$5*A688^2</f>
        <v>37.046670399999996</v>
      </c>
      <c r="H688" s="7">
        <f>(F688-G688)/Speed_Calc!G$2*9.806</f>
        <v>6.4674441289749423</v>
      </c>
      <c r="I688" s="4">
        <f t="shared" si="44"/>
        <v>18.111111111111111</v>
      </c>
    </row>
    <row r="689" spans="1:9" x14ac:dyDescent="0.2">
      <c r="A689" s="11">
        <v>65.3</v>
      </c>
      <c r="B689" s="14">
        <v>3.133</v>
      </c>
      <c r="C689" s="11">
        <f t="shared" si="45"/>
        <v>8462.2229641675931</v>
      </c>
      <c r="D689" s="11">
        <f t="shared" si="42"/>
        <v>248.7862931649185</v>
      </c>
      <c r="E689" s="11">
        <f t="shared" si="43"/>
        <v>1028.6722688289128</v>
      </c>
      <c r="F689" s="11">
        <f>Speed_Calc!B$5*E689</f>
        <v>925.80504194602156</v>
      </c>
      <c r="G689" s="14">
        <f>Speed_Calc!G$3+Speed_Calc!G$5*A689^2</f>
        <v>37.099000899999993</v>
      </c>
      <c r="H689" s="7">
        <f>(F689-G689)/Speed_Calc!G$2*9.806</f>
        <v>6.4552973618498415</v>
      </c>
      <c r="I689" s="4">
        <f t="shared" si="44"/>
        <v>18.138888888888889</v>
      </c>
    </row>
    <row r="690" spans="1:9" x14ac:dyDescent="0.2">
      <c r="A690" s="11">
        <v>65.400000000000006</v>
      </c>
      <c r="B690" s="14">
        <v>3.133</v>
      </c>
      <c r="C690" s="11">
        <f t="shared" si="45"/>
        <v>8475.1819579871481</v>
      </c>
      <c r="D690" s="11">
        <f t="shared" si="42"/>
        <v>248.72237212960448</v>
      </c>
      <c r="E690" s="11">
        <f t="shared" si="43"/>
        <v>1026.8354812690093</v>
      </c>
      <c r="F690" s="11">
        <f>Speed_Calc!B$5*E690</f>
        <v>924.15193314210842</v>
      </c>
      <c r="G690" s="14">
        <f>Speed_Calc!G$3+Speed_Calc!G$5*A690^2</f>
        <v>37.151411600000003</v>
      </c>
      <c r="H690" s="7">
        <f>(F690-G690)/Speed_Calc!G$2*9.806</f>
        <v>6.4429089735125293</v>
      </c>
      <c r="I690" s="4">
        <f t="shared" si="44"/>
        <v>18.166666666666668</v>
      </c>
    </row>
    <row r="691" spans="1:9" x14ac:dyDescent="0.2">
      <c r="A691" s="11">
        <v>65.5</v>
      </c>
      <c r="B691" s="14">
        <v>3.133</v>
      </c>
      <c r="C691" s="11">
        <f t="shared" si="45"/>
        <v>8488.1409518066976</v>
      </c>
      <c r="D691" s="11">
        <f t="shared" si="42"/>
        <v>248.64807106250885</v>
      </c>
      <c r="E691" s="11">
        <f t="shared" si="43"/>
        <v>1024.9615143034716</v>
      </c>
      <c r="F691" s="11">
        <f>Speed_Calc!B$5*E691</f>
        <v>922.46536287312449</v>
      </c>
      <c r="G691" s="14">
        <f>Speed_Calc!G$3+Speed_Calc!G$5*A691^2</f>
        <v>37.203902499999998</v>
      </c>
      <c r="H691" s="7">
        <f>(F691-G691)/Speed_Calc!G$2*9.806</f>
        <v>6.4302769484584132</v>
      </c>
      <c r="I691" s="4">
        <f t="shared" si="44"/>
        <v>18.194444444444443</v>
      </c>
    </row>
    <row r="692" spans="1:9" x14ac:dyDescent="0.2">
      <c r="A692" s="11">
        <v>65.599999999999994</v>
      </c>
      <c r="B692" s="14">
        <v>3.133</v>
      </c>
      <c r="C692" s="11">
        <f t="shared" si="45"/>
        <v>8501.0999456262489</v>
      </c>
      <c r="D692" s="11">
        <f t="shared" si="42"/>
        <v>248.56327347634655</v>
      </c>
      <c r="E692" s="11">
        <f t="shared" si="43"/>
        <v>1023.0500585154508</v>
      </c>
      <c r="F692" s="11">
        <f>Speed_Calc!B$5*E692</f>
        <v>920.74505266390577</v>
      </c>
      <c r="G692" s="14">
        <f>Speed_Calc!G$3+Speed_Calc!G$5*A692^2</f>
        <v>37.256473599999993</v>
      </c>
      <c r="H692" s="7">
        <f>(F692-G692)/Speed_Calc!G$2*9.806</f>
        <v>6.4173992639264137</v>
      </c>
      <c r="I692" s="4">
        <f t="shared" si="44"/>
        <v>18.222222222222221</v>
      </c>
    </row>
    <row r="693" spans="1:9" x14ac:dyDescent="0.2">
      <c r="A693" s="11">
        <v>65.7</v>
      </c>
      <c r="B693" s="14">
        <v>3.133</v>
      </c>
      <c r="C693" s="11">
        <f t="shared" si="45"/>
        <v>8514.0589394458038</v>
      </c>
      <c r="D693" s="11">
        <f t="shared" si="42"/>
        <v>248.46786215533422</v>
      </c>
      <c r="E693" s="11">
        <f t="shared" si="43"/>
        <v>1021.1008033780856</v>
      </c>
      <c r="F693" s="11">
        <f>Speed_Calc!B$5*E693</f>
        <v>918.99072304027709</v>
      </c>
      <c r="G693" s="14">
        <f>Speed_Calc!G$3+Speed_Calc!G$5*A693^2</f>
        <v>37.3091249</v>
      </c>
      <c r="H693" s="7">
        <f>(F693-G693)/Speed_Calc!G$2*9.806</f>
        <v>6.4042738898989304</v>
      </c>
      <c r="I693" s="4">
        <f t="shared" si="44"/>
        <v>18.25</v>
      </c>
    </row>
    <row r="694" spans="1:9" x14ac:dyDescent="0.2">
      <c r="A694" s="11">
        <v>65.8</v>
      </c>
      <c r="B694" s="14">
        <v>3.133</v>
      </c>
      <c r="C694" s="11">
        <f t="shared" si="45"/>
        <v>8527.0179332653533</v>
      </c>
      <c r="D694" s="11">
        <f t="shared" si="42"/>
        <v>248.36171915313867</v>
      </c>
      <c r="E694" s="11">
        <f t="shared" si="43"/>
        <v>1019.1134372545204</v>
      </c>
      <c r="F694" s="11">
        <f>Speed_Calc!B$5*E694</f>
        <v>917.20209352906829</v>
      </c>
      <c r="G694" s="14">
        <f>Speed_Calc!G$3+Speed_Calc!G$5*A694^2</f>
        <v>37.361856399999994</v>
      </c>
      <c r="H694" s="7">
        <f>(F694-G694)/Speed_Calc!G$2*9.806</f>
        <v>6.3908987891019571</v>
      </c>
      <c r="I694" s="4">
        <f t="shared" si="44"/>
        <v>18.277777777777775</v>
      </c>
    </row>
    <row r="695" spans="1:9" x14ac:dyDescent="0.2">
      <c r="A695" s="11">
        <v>65.900000000000006</v>
      </c>
      <c r="B695" s="14">
        <v>3.133</v>
      </c>
      <c r="C695" s="11">
        <f t="shared" si="45"/>
        <v>8539.9769270849065</v>
      </c>
      <c r="D695" s="11">
        <f t="shared" si="42"/>
        <v>248.24472579081589</v>
      </c>
      <c r="E695" s="11">
        <f t="shared" si="43"/>
        <v>1017.0876473978802</v>
      </c>
      <c r="F695" s="11">
        <f>Speed_Calc!B$5*E695</f>
        <v>915.37888265809227</v>
      </c>
      <c r="G695" s="14">
        <f>Speed_Calc!G$3+Speed_Calc!G$5*A695^2</f>
        <v>37.4146681</v>
      </c>
      <c r="H695" s="7">
        <f>(F695-G695)/Speed_Calc!G$2*9.806</f>
        <v>6.3772719170049275</v>
      </c>
      <c r="I695" s="4">
        <f t="shared" si="44"/>
        <v>18.305555555555557</v>
      </c>
    </row>
    <row r="696" spans="1:9" x14ac:dyDescent="0.2">
      <c r="A696" s="11">
        <v>66</v>
      </c>
      <c r="B696" s="14">
        <v>3.133</v>
      </c>
      <c r="C696" s="11">
        <f t="shared" si="45"/>
        <v>8552.9359209044578</v>
      </c>
      <c r="D696" s="11">
        <f t="shared" si="42"/>
        <v>248.11676265475415</v>
      </c>
      <c r="E696" s="11">
        <f t="shared" si="43"/>
        <v>1015.0231199512673</v>
      </c>
      <c r="F696" s="11">
        <f>Speed_Calc!B$5*E696</f>
        <v>913.52080795614063</v>
      </c>
      <c r="G696" s="14">
        <f>Speed_Calc!G$3+Speed_Calc!G$5*A696^2</f>
        <v>37.467559999999999</v>
      </c>
      <c r="H696" s="7">
        <f>(F696-G696)/Speed_Calc!G$2*9.806</f>
        <v>6.3633912218206765</v>
      </c>
      <c r="I696" s="4">
        <f t="shared" si="44"/>
        <v>18.333333333333332</v>
      </c>
    </row>
    <row r="697" spans="1:9" x14ac:dyDescent="0.2">
      <c r="A697" s="11">
        <v>66.099999999999994</v>
      </c>
      <c r="B697" s="14">
        <v>3.133</v>
      </c>
      <c r="C697" s="11">
        <f t="shared" si="45"/>
        <v>8565.8949147240128</v>
      </c>
      <c r="D697" s="11">
        <f t="shared" si="42"/>
        <v>247.97770959463008</v>
      </c>
      <c r="E697" s="11">
        <f t="shared" si="43"/>
        <v>1012.9195399478081</v>
      </c>
      <c r="F697" s="11">
        <f>Speed_Calc!B$5*E697</f>
        <v>911.62758595302728</v>
      </c>
      <c r="G697" s="14">
        <f>Speed_Calc!G$3+Speed_Calc!G$5*A697^2</f>
        <v>37.520532099999997</v>
      </c>
      <c r="H697" s="7">
        <f>(F697-G697)/Speed_Calc!G$2*9.806</f>
        <v>6.3492546445057672</v>
      </c>
      <c r="I697" s="4">
        <f t="shared" si="44"/>
        <v>18.361111111111111</v>
      </c>
    </row>
    <row r="698" spans="1:9" x14ac:dyDescent="0.2">
      <c r="A698" s="11">
        <v>66.2</v>
      </c>
      <c r="B698" s="14">
        <v>3.133</v>
      </c>
      <c r="C698" s="11">
        <f t="shared" si="45"/>
        <v>8578.8539085435659</v>
      </c>
      <c r="D698" s="11">
        <f t="shared" si="42"/>
        <v>247.82744572133711</v>
      </c>
      <c r="E698" s="11">
        <f t="shared" si="43"/>
        <v>1010.7765913105891</v>
      </c>
      <c r="F698" s="11">
        <f>Speed_Calc!B$5*E698</f>
        <v>909.69893217953017</v>
      </c>
      <c r="G698" s="14">
        <f>Speed_Calc!G$3+Speed_Calc!G$5*A698^2</f>
        <v>37.573584400000001</v>
      </c>
      <c r="H698" s="7">
        <f>(F698-G698)/Speed_Calc!G$2*9.806</f>
        <v>6.3348601187600533</v>
      </c>
      <c r="I698" s="4">
        <f t="shared" si="44"/>
        <v>18.388888888888889</v>
      </c>
    </row>
    <row r="699" spans="1:9" x14ac:dyDescent="0.2">
      <c r="A699" s="11">
        <v>66.3</v>
      </c>
      <c r="B699" s="14">
        <v>3.133</v>
      </c>
      <c r="C699" s="11">
        <f t="shared" si="45"/>
        <v>8591.8129023631154</v>
      </c>
      <c r="D699" s="11">
        <f t="shared" si="42"/>
        <v>247.66584940494258</v>
      </c>
      <c r="E699" s="11">
        <f t="shared" si="43"/>
        <v>1008.5939568527073</v>
      </c>
      <c r="F699" s="11">
        <f>Speed_Calc!B$5*E699</f>
        <v>907.7345611674366</v>
      </c>
      <c r="G699" s="14">
        <f>Speed_Calc!G$3+Speed_Calc!G$5*A699^2</f>
        <v>37.626716899999998</v>
      </c>
      <c r="H699" s="7">
        <f>(F699-G699)/Speed_Calc!G$2*9.806</f>
        <v>6.3202055710270244</v>
      </c>
      <c r="I699" s="4">
        <f t="shared" si="44"/>
        <v>18.416666666666664</v>
      </c>
    </row>
    <row r="700" spans="1:9" x14ac:dyDescent="0.2">
      <c r="A700" s="11">
        <v>66.400000000000006</v>
      </c>
      <c r="B700" s="14">
        <v>3.133</v>
      </c>
      <c r="C700" s="11">
        <f t="shared" si="45"/>
        <v>8604.7718961826686</v>
      </c>
      <c r="D700" s="11">
        <f t="shared" si="42"/>
        <v>247.49279827262563</v>
      </c>
      <c r="E700" s="11">
        <f t="shared" si="43"/>
        <v>1006.3713182772425</v>
      </c>
      <c r="F700" s="11">
        <f>Speed_Calc!B$5*E700</f>
        <v>905.73418644951823</v>
      </c>
      <c r="G700" s="14">
        <f>Speed_Calc!G$3+Speed_Calc!G$5*A700^2</f>
        <v>37.679929600000001</v>
      </c>
      <c r="H700" s="7">
        <f>(F700-G700)/Speed_Calc!G$2*9.806</f>
        <v>6.3052889204936102</v>
      </c>
      <c r="I700" s="4">
        <f t="shared" si="44"/>
        <v>18.444444444444446</v>
      </c>
    </row>
    <row r="701" spans="1:9" x14ac:dyDescent="0.2">
      <c r="A701" s="11">
        <v>66.5</v>
      </c>
      <c r="B701" s="14">
        <v>3.133</v>
      </c>
      <c r="C701" s="11">
        <f t="shared" si="45"/>
        <v>8617.7308900022199</v>
      </c>
      <c r="D701" s="11">
        <f t="shared" si="42"/>
        <v>247.30816920662554</v>
      </c>
      <c r="E701" s="11">
        <f t="shared" si="43"/>
        <v>1004.1083561772767</v>
      </c>
      <c r="F701" s="11">
        <f>Speed_Calc!B$5*E701</f>
        <v>903.69752055954905</v>
      </c>
      <c r="G701" s="14">
        <f>Speed_Calc!G$3+Speed_Calc!G$5*A701^2</f>
        <v>37.733222499999997</v>
      </c>
      <c r="H701" s="7">
        <f>(F701-G701)/Speed_Calc!G$2*9.806</f>
        <v>6.2901080790903245</v>
      </c>
      <c r="I701" s="4">
        <f t="shared" si="44"/>
        <v>18.472222222222221</v>
      </c>
    </row>
    <row r="702" spans="1:9" x14ac:dyDescent="0.2">
      <c r="A702" s="11">
        <v>66.599999999999994</v>
      </c>
      <c r="B702" s="14">
        <v>3.133</v>
      </c>
      <c r="C702" s="11">
        <f t="shared" si="45"/>
        <v>8630.689883821773</v>
      </c>
      <c r="D702" s="11">
        <f t="shared" si="42"/>
        <v>247.11183834217832</v>
      </c>
      <c r="E702" s="11">
        <f t="shared" si="43"/>
        <v>1001.8047500358581</v>
      </c>
      <c r="F702" s="11">
        <f>Speed_Calc!B$5*E702</f>
        <v>901.62427503227229</v>
      </c>
      <c r="G702" s="14">
        <f>Speed_Calc!G$3+Speed_Calc!G$5*A702^2</f>
        <v>37.786595599999998</v>
      </c>
      <c r="H702" s="7">
        <f>(F702-G702)/Speed_Calc!G$2*9.806</f>
        <v>6.2746609514910086</v>
      </c>
      <c r="I702" s="4">
        <f t="shared" si="44"/>
        <v>18.499999999999996</v>
      </c>
    </row>
    <row r="703" spans="1:9" x14ac:dyDescent="0.2">
      <c r="A703" s="11">
        <v>66.7</v>
      </c>
      <c r="B703" s="14">
        <v>3.133</v>
      </c>
      <c r="C703" s="11">
        <f t="shared" si="45"/>
        <v>8643.6488776413262</v>
      </c>
      <c r="D703" s="11">
        <f t="shared" si="42"/>
        <v>246.90368106547427</v>
      </c>
      <c r="E703" s="11">
        <f t="shared" si="43"/>
        <v>999.46017822605779</v>
      </c>
      <c r="F703" s="11">
        <f>Speed_Calc!B$5*E703</f>
        <v>899.51416040345202</v>
      </c>
      <c r="G703" s="14">
        <f>Speed_Calc!G$3+Speed_Calc!G$5*A703^2</f>
        <v>37.840048899999999</v>
      </c>
      <c r="H703" s="7">
        <f>(F703-G703)/Speed_Calc!G$2*9.806</f>
        <v>6.2589454351132225</v>
      </c>
      <c r="I703" s="4">
        <f t="shared" si="44"/>
        <v>18.527777777777779</v>
      </c>
    </row>
    <row r="704" spans="1:9" x14ac:dyDescent="0.2">
      <c r="A704" s="11">
        <v>66.8</v>
      </c>
      <c r="B704" s="14">
        <v>3.133</v>
      </c>
      <c r="C704" s="11">
        <f t="shared" si="45"/>
        <v>8656.6078714608757</v>
      </c>
      <c r="D704" s="11">
        <f t="shared" si="42"/>
        <v>246.68357201158909</v>
      </c>
      <c r="E704" s="11">
        <f t="shared" si="43"/>
        <v>997.074318010914</v>
      </c>
      <c r="F704" s="11">
        <f>Speed_Calc!B$5*E704</f>
        <v>897.36688620982261</v>
      </c>
      <c r="G704" s="14">
        <f>Speed_Calc!G$3+Speed_Calc!G$5*A704^2</f>
        <v>37.8935824</v>
      </c>
      <c r="H704" s="7">
        <f>(F704-G704)/Speed_Calc!G$2*9.806</f>
        <v>6.2429594201178658</v>
      </c>
      <c r="I704" s="4">
        <f t="shared" si="44"/>
        <v>18.555555555555554</v>
      </c>
    </row>
    <row r="705" spans="1:9" x14ac:dyDescent="0.2">
      <c r="A705" s="11">
        <v>66.900000000000006</v>
      </c>
      <c r="B705" s="14">
        <v>3.133</v>
      </c>
      <c r="C705" s="11">
        <f t="shared" si="45"/>
        <v>8669.5668652804306</v>
      </c>
      <c r="D705" s="11">
        <f t="shared" si="42"/>
        <v>246.45138506243657</v>
      </c>
      <c r="E705" s="11">
        <f t="shared" si="43"/>
        <v>994.64684554346582</v>
      </c>
      <c r="F705" s="11">
        <f>Speed_Calc!B$5*E705</f>
        <v>895.18216098911921</v>
      </c>
      <c r="G705" s="14">
        <f>Speed_Calc!G$3+Speed_Calc!G$5*A705^2</f>
        <v>37.947196099999999</v>
      </c>
      <c r="H705" s="7">
        <f>(F705-G705)/Speed_Calc!G$2*9.806</f>
        <v>6.2267007894094091</v>
      </c>
      <c r="I705" s="4">
        <f t="shared" si="44"/>
        <v>18.583333333333336</v>
      </c>
    </row>
    <row r="706" spans="1:9" x14ac:dyDescent="0.2">
      <c r="A706" s="11">
        <v>67</v>
      </c>
      <c r="B706" s="14">
        <v>3.133</v>
      </c>
      <c r="C706" s="11">
        <f t="shared" si="45"/>
        <v>8682.525859099982</v>
      </c>
      <c r="D706" s="11">
        <f t="shared" si="42"/>
        <v>246.20699334471294</v>
      </c>
      <c r="E706" s="11">
        <f t="shared" si="43"/>
        <v>992.17743586675374</v>
      </c>
      <c r="F706" s="11">
        <f>Speed_Calc!B$5*E706</f>
        <v>892.95969228007834</v>
      </c>
      <c r="G706" s="14">
        <f>Speed_Calc!G$3+Speed_Calc!G$5*A706^2</f>
        <v>38.000889999999998</v>
      </c>
      <c r="H706" s="7">
        <f>(F706-G706)/Speed_Calc!G$2*9.806</f>
        <v>6.2101674186358871</v>
      </c>
      <c r="I706" s="4">
        <f t="shared" si="44"/>
        <v>18.611111111111111</v>
      </c>
    </row>
    <row r="707" spans="1:9" x14ac:dyDescent="0.2">
      <c r="A707" s="11">
        <v>67.099999999999994</v>
      </c>
      <c r="B707" s="14">
        <v>3.133</v>
      </c>
      <c r="C707" s="11">
        <f t="shared" si="45"/>
        <v>8695.4848529195315</v>
      </c>
      <c r="D707" s="11">
        <f t="shared" si="42"/>
        <v>245.9502692278341</v>
      </c>
      <c r="E707" s="11">
        <f t="shared" si="43"/>
        <v>989.66576291378863</v>
      </c>
      <c r="F707" s="11">
        <f>Speed_Calc!B$5*E707</f>
        <v>890.6991866224098</v>
      </c>
      <c r="G707" s="14">
        <f>Speed_Calc!G$3+Speed_Calc!G$5*A707^2</f>
        <v>38.054664099999997</v>
      </c>
      <c r="H707" s="7">
        <f>(F707-G707)/Speed_Calc!G$2*9.806</f>
        <v>6.1933571761887034</v>
      </c>
      <c r="I707" s="4">
        <f t="shared" si="44"/>
        <v>18.638888888888886</v>
      </c>
    </row>
    <row r="708" spans="1:9" x14ac:dyDescent="0.2">
      <c r="A708" s="11">
        <v>67.2</v>
      </c>
      <c r="B708" s="14">
        <v>3.133</v>
      </c>
      <c r="C708" s="11">
        <f t="shared" si="45"/>
        <v>8708.4438467390864</v>
      </c>
      <c r="D708" s="11">
        <f t="shared" si="42"/>
        <v>245.6810843218887</v>
      </c>
      <c r="E708" s="11">
        <f t="shared" si="43"/>
        <v>987.11149950758863</v>
      </c>
      <c r="F708" s="11">
        <f>Speed_Calc!B$5*E708</f>
        <v>888.40034955682984</v>
      </c>
      <c r="G708" s="14">
        <f>Speed_Calc!G$3+Speed_Calc!G$5*A708^2</f>
        <v>38.108518399999994</v>
      </c>
      <c r="H708" s="7">
        <f>(F708-G708)/Speed_Calc!G$2*9.806</f>
        <v>6.176267923202869</v>
      </c>
      <c r="I708" s="4">
        <f t="shared" si="44"/>
        <v>18.666666666666668</v>
      </c>
    </row>
    <row r="709" spans="1:9" x14ac:dyDescent="0.2">
      <c r="A709" s="11">
        <v>67.3</v>
      </c>
      <c r="B709" s="14">
        <v>3.133</v>
      </c>
      <c r="C709" s="11">
        <f t="shared" si="45"/>
        <v>8721.4028405586359</v>
      </c>
      <c r="D709" s="11">
        <f t="shared" si="42"/>
        <v>245.39930947557582</v>
      </c>
      <c r="E709" s="11">
        <f t="shared" si="43"/>
        <v>984.51431736115148</v>
      </c>
      <c r="F709" s="11">
        <f>Speed_Calc!B$5*E709</f>
        <v>886.0628856250363</v>
      </c>
      <c r="G709" s="14">
        <f>Speed_Calc!G$3+Speed_Calc!G$5*A709^2</f>
        <v>38.162452899999998</v>
      </c>
      <c r="H709" s="7">
        <f>(F709-G709)/Speed_Calc!G$2*9.806</f>
        <v>6.1588975135568189</v>
      </c>
      <c r="I709" s="4">
        <f t="shared" si="44"/>
        <v>18.694444444444443</v>
      </c>
    </row>
    <row r="710" spans="1:9" x14ac:dyDescent="0.2">
      <c r="A710" s="11">
        <v>67.400000000000006</v>
      </c>
      <c r="B710" s="14">
        <v>3.133</v>
      </c>
      <c r="C710" s="11">
        <f t="shared" si="45"/>
        <v>8734.3618343781927</v>
      </c>
      <c r="D710" s="11">
        <f t="shared" si="42"/>
        <v>245.10481477415715</v>
      </c>
      <c r="E710" s="11">
        <f t="shared" si="43"/>
        <v>981.87388707748391</v>
      </c>
      <c r="F710" s="11">
        <f>Speed_Calc!B$5*E710</f>
        <v>883.68649836973555</v>
      </c>
      <c r="G710" s="14">
        <f>Speed_Calc!G$3+Speed_Calc!G$5*A710^2</f>
        <v>38.216467600000001</v>
      </c>
      <c r="H710" s="7">
        <f>(F710-G710)/Speed_Calc!G$2*9.806</f>
        <v>6.1412437938726114</v>
      </c>
      <c r="I710" s="4">
        <f t="shared" si="44"/>
        <v>18.722222222222225</v>
      </c>
    </row>
    <row r="711" spans="1:9" x14ac:dyDescent="0.2">
      <c r="A711" s="11">
        <v>67.5</v>
      </c>
      <c r="B711" s="14">
        <v>3.133</v>
      </c>
      <c r="C711" s="11">
        <f t="shared" si="45"/>
        <v>8747.3208281977422</v>
      </c>
      <c r="D711" s="11">
        <f t="shared" si="42"/>
        <v>244.79746953739135</v>
      </c>
      <c r="E711" s="11">
        <f t="shared" si="43"/>
        <v>979.18987814956552</v>
      </c>
      <c r="F711" s="11">
        <f>Speed_Calc!B$5*E711</f>
        <v>881.27089033460902</v>
      </c>
      <c r="G711" s="14">
        <f>Speed_Calc!G$3+Speed_Calc!G$5*A711^2</f>
        <v>38.270562499999997</v>
      </c>
      <c r="H711" s="7">
        <f>(F711-G711)/Speed_Calc!G$2*9.806</f>
        <v>6.1233046035156855</v>
      </c>
      <c r="I711" s="4">
        <f t="shared" si="44"/>
        <v>18.75</v>
      </c>
    </row>
    <row r="712" spans="1:9" x14ac:dyDescent="0.2">
      <c r="A712" s="11">
        <v>67.599999999999994</v>
      </c>
      <c r="B712" s="14">
        <v>3.133</v>
      </c>
      <c r="C712" s="11">
        <f t="shared" si="45"/>
        <v>8760.2798220172936</v>
      </c>
      <c r="D712" s="11">
        <f t="shared" si="42"/>
        <v>244.47714231748444</v>
      </c>
      <c r="E712" s="11">
        <f t="shared" si="43"/>
        <v>976.46195896036704</v>
      </c>
      <c r="F712" s="11">
        <f>Speed_Calc!B$5*E712</f>
        <v>878.81576306433033</v>
      </c>
      <c r="G712" s="14">
        <f>Speed_Calc!G$3+Speed_Calc!G$5*A712^2</f>
        <v>38.324737599999992</v>
      </c>
      <c r="H712" s="7">
        <f>(F712-G712)/Speed_Calc!G$2*9.806</f>
        <v>6.1050777745949789</v>
      </c>
      <c r="I712" s="4">
        <f t="shared" si="44"/>
        <v>18.777777777777775</v>
      </c>
    </row>
    <row r="713" spans="1:9" x14ac:dyDescent="0.2">
      <c r="A713" s="11">
        <v>67.7</v>
      </c>
      <c r="B713" s="14">
        <v>3.133</v>
      </c>
      <c r="C713" s="11">
        <f t="shared" si="45"/>
        <v>8773.2388158368485</v>
      </c>
      <c r="D713" s="11">
        <f t="shared" si="42"/>
        <v>244.14370089703868</v>
      </c>
      <c r="E713" s="11">
        <f t="shared" si="43"/>
        <v>973.68979678287201</v>
      </c>
      <c r="F713" s="11">
        <f>Speed_Calc!B$5*E713</f>
        <v>876.32081710458488</v>
      </c>
      <c r="G713" s="14">
        <f>Speed_Calc!G$3+Speed_Calc!G$5*A713^2</f>
        <v>38.3789929</v>
      </c>
      <c r="H713" s="7">
        <f>(F713-G713)/Speed_Calc!G$2*9.806</f>
        <v>6.0865611319630801</v>
      </c>
      <c r="I713" s="4">
        <f t="shared" si="44"/>
        <v>18.805555555555557</v>
      </c>
    </row>
    <row r="714" spans="1:9" x14ac:dyDescent="0.2">
      <c r="A714" s="11">
        <v>67.8</v>
      </c>
      <c r="B714" s="14">
        <v>3.133</v>
      </c>
      <c r="C714" s="11">
        <f t="shared" si="45"/>
        <v>8786.1978096563998</v>
      </c>
      <c r="D714" s="11">
        <f t="shared" si="42"/>
        <v>243.79701228698681</v>
      </c>
      <c r="E714" s="11">
        <f t="shared" si="43"/>
        <v>970.87305778003577</v>
      </c>
      <c r="F714" s="11">
        <f>Speed_Calc!B$5*E714</f>
        <v>873.78575200203215</v>
      </c>
      <c r="G714" s="14">
        <f>Speed_Calc!G$3+Speed_Calc!G$5*A714^2</f>
        <v>38.433328399999994</v>
      </c>
      <c r="H714" s="7">
        <f>(F714-G714)/Speed_Calc!G$2*9.806</f>
        <v>6.067752493215945</v>
      </c>
      <c r="I714" s="4">
        <f t="shared" si="44"/>
        <v>18.833333333333332</v>
      </c>
    </row>
    <row r="715" spans="1:9" x14ac:dyDescent="0.2">
      <c r="A715" s="11">
        <v>67.900000000000006</v>
      </c>
      <c r="B715" s="14">
        <v>3.133</v>
      </c>
      <c r="C715" s="11">
        <f t="shared" si="45"/>
        <v>8799.1568034759512</v>
      </c>
      <c r="D715" s="11">
        <f t="shared" si="42"/>
        <v>243.43694272454246</v>
      </c>
      <c r="E715" s="11">
        <f t="shared" si="43"/>
        <v>968.01140700480778</v>
      </c>
      <c r="F715" s="11">
        <f>Speed_Calc!B$5*E715</f>
        <v>871.21026630432698</v>
      </c>
      <c r="G715" s="14">
        <f>Speed_Calc!G$3+Speed_Calc!G$5*A715^2</f>
        <v>38.4877441</v>
      </c>
      <c r="H715" s="7">
        <f>(F715-G715)/Speed_Calc!G$2*9.806</f>
        <v>6.0486496686930584</v>
      </c>
      <c r="I715" s="4">
        <f t="shared" si="44"/>
        <v>18.861111111111111</v>
      </c>
    </row>
    <row r="716" spans="1:9" x14ac:dyDescent="0.2">
      <c r="A716" s="11">
        <v>68</v>
      </c>
      <c r="B716" s="14">
        <v>3.133</v>
      </c>
      <c r="C716" s="11">
        <f t="shared" si="45"/>
        <v>8812.1157972955043</v>
      </c>
      <c r="D716" s="11">
        <f t="shared" si="42"/>
        <v>243.0633576711441</v>
      </c>
      <c r="E716" s="11">
        <f t="shared" si="43"/>
        <v>965.10450840013073</v>
      </c>
      <c r="F716" s="11">
        <f>Speed_Calc!B$5*E716</f>
        <v>868.59405756011768</v>
      </c>
      <c r="G716" s="14">
        <f>Speed_Calc!G$3+Speed_Calc!G$5*A716^2</f>
        <v>38.54224</v>
      </c>
      <c r="H716" s="7">
        <f>(F716-G716)/Speed_Calc!G$2*9.806</f>
        <v>6.0292504614774174</v>
      </c>
      <c r="I716" s="4">
        <f t="shared" si="44"/>
        <v>18.888888888888889</v>
      </c>
    </row>
    <row r="717" spans="1:9" x14ac:dyDescent="0.2">
      <c r="A717" s="11">
        <v>68.099999999999994</v>
      </c>
      <c r="B717" s="14">
        <v>3.133</v>
      </c>
      <c r="C717" s="11">
        <f t="shared" si="45"/>
        <v>8825.0747911150556</v>
      </c>
      <c r="D717" s="11">
        <f t="shared" si="42"/>
        <v>242.67612181040019</v>
      </c>
      <c r="E717" s="11">
        <f t="shared" si="43"/>
        <v>962.15202479894356</v>
      </c>
      <c r="F717" s="11">
        <f>Speed_Calc!B$5*E717</f>
        <v>865.93682231904927</v>
      </c>
      <c r="G717" s="14">
        <f>Speed_Calc!G$3+Speed_Calc!G$5*A717^2</f>
        <v>38.596816099999998</v>
      </c>
      <c r="H717" s="7">
        <f>(F717-G717)/Speed_Calc!G$2*9.806</f>
        <v>6.0095526673955533</v>
      </c>
      <c r="I717" s="4">
        <f t="shared" si="44"/>
        <v>18.916666666666664</v>
      </c>
    </row>
    <row r="718" spans="1:9" x14ac:dyDescent="0.2">
      <c r="A718" s="11">
        <v>68.2</v>
      </c>
      <c r="B718" s="14">
        <v>3.133</v>
      </c>
      <c r="C718" s="11">
        <f t="shared" si="45"/>
        <v>8838.0337849346088</v>
      </c>
      <c r="D718" s="11">
        <f t="shared" si="42"/>
        <v>242.27509904603079</v>
      </c>
      <c r="E718" s="11">
        <f t="shared" si="43"/>
        <v>959.153617924169</v>
      </c>
      <c r="F718" s="11">
        <f>Speed_Calc!B$5*E718</f>
        <v>863.23825613175211</v>
      </c>
      <c r="G718" s="14">
        <f>Speed_Calc!G$3+Speed_Calc!G$5*A718^2</f>
        <v>38.651472400000003</v>
      </c>
      <c r="H718" s="7">
        <f>(F718-G718)/Speed_Calc!G$2*9.806</f>
        <v>5.9895540750174519</v>
      </c>
      <c r="I718" s="4">
        <f t="shared" si="44"/>
        <v>18.944444444444446</v>
      </c>
    </row>
    <row r="719" spans="1:9" x14ac:dyDescent="0.2">
      <c r="A719" s="11">
        <v>68.3</v>
      </c>
      <c r="B719" s="14">
        <v>3.133</v>
      </c>
      <c r="C719" s="11">
        <f t="shared" si="45"/>
        <v>8850.9927787541583</v>
      </c>
      <c r="D719" s="11">
        <f t="shared" si="42"/>
        <v>241.86015249981472</v>
      </c>
      <c r="E719" s="11">
        <f t="shared" si="43"/>
        <v>956.10894838872593</v>
      </c>
      <c r="F719" s="11">
        <f>Speed_Calc!B$5*E719</f>
        <v>860.49805354985335</v>
      </c>
      <c r="G719" s="14">
        <f>Speed_Calc!G$3+Speed_Calc!G$5*A719^2</f>
        <v>38.706208899999993</v>
      </c>
      <c r="H719" s="7">
        <f>(F719-G719)/Speed_Calc!G$2*9.806</f>
        <v>5.9692524656566377</v>
      </c>
      <c r="I719" s="4">
        <f t="shared" si="44"/>
        <v>18.972222222222221</v>
      </c>
    </row>
    <row r="720" spans="1:9" x14ac:dyDescent="0.2">
      <c r="A720" s="11">
        <v>68.400000000000006</v>
      </c>
      <c r="B720" s="14">
        <v>3.133</v>
      </c>
      <c r="C720" s="11">
        <f t="shared" si="45"/>
        <v>8863.9517725737114</v>
      </c>
      <c r="D720" s="11">
        <f t="shared" si="42"/>
        <v>241.43114450953237</v>
      </c>
      <c r="E720" s="11">
        <f t="shared" si="43"/>
        <v>953.01767569552271</v>
      </c>
      <c r="F720" s="11">
        <f>Speed_Calc!B$5*E720</f>
        <v>857.71590812597049</v>
      </c>
      <c r="G720" s="14">
        <f>Speed_Calc!G$3+Speed_Calc!G$5*A720^2</f>
        <v>38.761025599999996</v>
      </c>
      <c r="H720" s="7">
        <f>(F720-G720)/Speed_Calc!G$2*9.806</f>
        <v>5.9486456133701218</v>
      </c>
      <c r="I720" s="4">
        <f t="shared" si="44"/>
        <v>19</v>
      </c>
    </row>
    <row r="721" spans="1:9" x14ac:dyDescent="0.2">
      <c r="A721" s="11">
        <v>68.5</v>
      </c>
      <c r="B721" s="14">
        <v>3.133</v>
      </c>
      <c r="C721" s="11">
        <f t="shared" si="45"/>
        <v>8876.9107663932646</v>
      </c>
      <c r="D721" s="11">
        <f t="shared" si="42"/>
        <v>240.98793662691273</v>
      </c>
      <c r="E721" s="11">
        <f t="shared" si="43"/>
        <v>949.87945823746611</v>
      </c>
      <c r="F721" s="11">
        <f>Speed_Calc!B$5*E721</f>
        <v>854.89151241371951</v>
      </c>
      <c r="G721" s="14">
        <f>Speed_Calc!G$3+Speed_Calc!G$5*A721^2</f>
        <v>38.815922499999999</v>
      </c>
      <c r="H721" s="7">
        <f>(F721-G721)/Speed_Calc!G$2*9.806</f>
        <v>5.9277312849584689</v>
      </c>
      <c r="I721" s="4">
        <f t="shared" si="44"/>
        <v>19.027777777777779</v>
      </c>
    </row>
    <row r="722" spans="1:9" x14ac:dyDescent="0.2">
      <c r="A722" s="11">
        <v>68.599999999999994</v>
      </c>
      <c r="B722" s="14">
        <v>3.133</v>
      </c>
      <c r="C722" s="11">
        <f t="shared" si="45"/>
        <v>8889.8697602128177</v>
      </c>
      <c r="D722" s="11">
        <f t="shared" si="42"/>
        <v>240.53038961556905</v>
      </c>
      <c r="E722" s="11">
        <f t="shared" si="43"/>
        <v>946.69395329742906</v>
      </c>
      <c r="F722" s="11">
        <f>Speed_Calc!B$5*E722</f>
        <v>852.02455796768618</v>
      </c>
      <c r="G722" s="14">
        <f>Speed_Calc!G$3+Speed_Calc!G$5*A722^2</f>
        <v>38.870899599999994</v>
      </c>
      <c r="H722" s="7">
        <f>(F722-G722)/Speed_Calc!G$2*9.806</f>
        <v>5.9065072399655776</v>
      </c>
      <c r="I722" s="4">
        <f t="shared" si="44"/>
        <v>19.055555555555554</v>
      </c>
    </row>
    <row r="723" spans="1:9" x14ac:dyDescent="0.2">
      <c r="A723" s="11">
        <v>68.7</v>
      </c>
      <c r="B723" s="14">
        <v>3.133</v>
      </c>
      <c r="C723" s="11">
        <f t="shared" si="45"/>
        <v>8902.828754032369</v>
      </c>
      <c r="D723" s="11">
        <f t="shared" si="42"/>
        <v>240.05836344896056</v>
      </c>
      <c r="E723" s="11">
        <f t="shared" si="43"/>
        <v>943.46081704831647</v>
      </c>
      <c r="F723" s="11">
        <f>Speed_Calc!B$5*E723</f>
        <v>849.11473534348488</v>
      </c>
      <c r="G723" s="14">
        <f>Speed_Calc!G$3+Speed_Calc!G$5*A723^2</f>
        <v>38.925956900000003</v>
      </c>
      <c r="H723" s="7">
        <f>(F723-G723)/Speed_Calc!G$2*9.806</f>
        <v>5.8849712306791204</v>
      </c>
      <c r="I723" s="4">
        <f t="shared" si="44"/>
        <v>19.083333333333332</v>
      </c>
    </row>
    <row r="724" spans="1:9" x14ac:dyDescent="0.2">
      <c r="A724" s="11">
        <v>68.8</v>
      </c>
      <c r="B724" s="14">
        <v>3.133</v>
      </c>
      <c r="C724" s="11">
        <f t="shared" si="45"/>
        <v>8915.7877478519204</v>
      </c>
      <c r="D724" s="11">
        <f t="shared" si="42"/>
        <v>239.57171730831598</v>
      </c>
      <c r="E724" s="11">
        <f t="shared" si="43"/>
        <v>940.1797045529845</v>
      </c>
      <c r="F724" s="11">
        <f>Speed_Calc!B$5*E724</f>
        <v>846.16173409768612</v>
      </c>
      <c r="G724" s="14">
        <f>Speed_Calc!G$3+Speed_Calc!G$5*A724^2</f>
        <v>38.981094399999996</v>
      </c>
      <c r="H724" s="7">
        <f>(F724-G724)/Speed_Calc!G$2*9.806</f>
        <v>5.8631210021300069</v>
      </c>
      <c r="I724" s="4">
        <f t="shared" si="44"/>
        <v>19.111111111111111</v>
      </c>
    </row>
    <row r="725" spans="1:9" x14ac:dyDescent="0.2">
      <c r="A725" s="11">
        <v>68.900000000000006</v>
      </c>
      <c r="B725" s="14">
        <v>3.133</v>
      </c>
      <c r="C725" s="11">
        <f t="shared" si="45"/>
        <v>8928.7467416714735</v>
      </c>
      <c r="D725" s="11">
        <f t="shared" si="42"/>
        <v>239.07030958059698</v>
      </c>
      <c r="E725" s="11">
        <f t="shared" si="43"/>
        <v>936.85026976431323</v>
      </c>
      <c r="F725" s="11">
        <f>Speed_Calc!B$5*E725</f>
        <v>843.16524278788188</v>
      </c>
      <c r="G725" s="14">
        <f>Speed_Calc!G$3+Speed_Calc!G$5*A725^2</f>
        <v>39.036312100000004</v>
      </c>
      <c r="H725" s="7">
        <f>(F725-G725)/Speed_Calc!G$2*9.806</f>
        <v>5.8409542920928663</v>
      </c>
      <c r="I725" s="4">
        <f t="shared" si="44"/>
        <v>19.138888888888889</v>
      </c>
    </row>
    <row r="726" spans="1:9" x14ac:dyDescent="0.2">
      <c r="A726" s="11">
        <v>69</v>
      </c>
      <c r="B726" s="14">
        <v>3.133</v>
      </c>
      <c r="C726" s="11">
        <f t="shared" si="45"/>
        <v>8941.7057354910266</v>
      </c>
      <c r="D726" s="11">
        <f t="shared" si="42"/>
        <v>238.55399785642629</v>
      </c>
      <c r="E726" s="11">
        <f t="shared" si="43"/>
        <v>933.47216552514624</v>
      </c>
      <c r="F726" s="11">
        <f>Speed_Calc!B$5*E726</f>
        <v>840.12494897263161</v>
      </c>
      <c r="G726" s="14">
        <f>Speed_Calc!G$3+Speed_Calc!G$5*A726^2</f>
        <v>39.091610000000003</v>
      </c>
      <c r="H726" s="7">
        <f>(F726-G726)/Speed_Calc!G$2*9.806</f>
        <v>5.8184688310856476</v>
      </c>
      <c r="I726" s="4">
        <f t="shared" si="44"/>
        <v>19.166666666666668</v>
      </c>
    </row>
    <row r="727" spans="1:9" x14ac:dyDescent="0.2">
      <c r="A727" s="11">
        <v>69.099999999999994</v>
      </c>
      <c r="B727" s="14">
        <v>3.133</v>
      </c>
      <c r="C727" s="11">
        <f t="shared" si="45"/>
        <v>8954.6647293105761</v>
      </c>
      <c r="D727" s="11">
        <f t="shared" si="42"/>
        <v>238.02263892804569</v>
      </c>
      <c r="E727" s="11">
        <f t="shared" si="43"/>
        <v>930.0450435683407</v>
      </c>
      <c r="F727" s="11">
        <f>Speed_Calc!B$5*E727</f>
        <v>837.0405392115066</v>
      </c>
      <c r="G727" s="14">
        <f>Speed_Calc!G$3+Speed_Calc!G$5*A727^2</f>
        <v>39.146988100000002</v>
      </c>
      <c r="H727" s="7">
        <f>(F727-G727)/Speed_Calc!G$2*9.806</f>
        <v>5.7956623423699503</v>
      </c>
      <c r="I727" s="4">
        <f t="shared" si="44"/>
        <v>19.194444444444443</v>
      </c>
    </row>
    <row r="728" spans="1:9" x14ac:dyDescent="0.2">
      <c r="A728" s="11">
        <v>69.2</v>
      </c>
      <c r="B728" s="14">
        <v>3.133</v>
      </c>
      <c r="C728" s="11">
        <f t="shared" si="45"/>
        <v>8967.6237231301293</v>
      </c>
      <c r="D728" s="11">
        <f t="shared" si="42"/>
        <v>237.47608878725086</v>
      </c>
      <c r="E728" s="11">
        <f t="shared" si="43"/>
        <v>926.56855451673039</v>
      </c>
      <c r="F728" s="11">
        <f>Speed_Calc!B$5*E728</f>
        <v>833.91169906505741</v>
      </c>
      <c r="G728" s="14">
        <f>Speed_Calc!G$3+Speed_Calc!G$5*A728^2</f>
        <v>39.202446399999999</v>
      </c>
      <c r="H728" s="7">
        <f>(F728-G728)/Speed_Calc!G$2*9.806</f>
        <v>5.7725325419507794</v>
      </c>
      <c r="I728" s="4">
        <f t="shared" si="44"/>
        <v>19.222222222222221</v>
      </c>
    </row>
    <row r="729" spans="1:9" x14ac:dyDescent="0.2">
      <c r="A729" s="11">
        <v>69.3</v>
      </c>
      <c r="B729" s="14">
        <v>3.133</v>
      </c>
      <c r="C729" s="11">
        <f t="shared" si="45"/>
        <v>8980.5827169496824</v>
      </c>
      <c r="D729" s="11">
        <f t="shared" si="42"/>
        <v>236.91420262334219</v>
      </c>
      <c r="E729" s="11">
        <f t="shared" si="43"/>
        <v>923.04234788315159</v>
      </c>
      <c r="F729" s="11">
        <f>Speed_Calc!B$5*E729</f>
        <v>830.73811309483642</v>
      </c>
      <c r="G729" s="14">
        <f>Speed_Calc!G$3+Speed_Calc!G$5*A729^2</f>
        <v>39.257984899999997</v>
      </c>
      <c r="H729" s="7">
        <f>(F729-G729)/Speed_Calc!G$2*9.806</f>
        <v>5.7490771385767152</v>
      </c>
      <c r="I729" s="4">
        <f t="shared" si="44"/>
        <v>19.25</v>
      </c>
    </row>
    <row r="730" spans="1:9" x14ac:dyDescent="0.2">
      <c r="A730" s="11">
        <v>69.400000000000006</v>
      </c>
      <c r="B730" s="14">
        <v>3.133</v>
      </c>
      <c r="C730" s="11">
        <f t="shared" si="45"/>
        <v>8993.5417107692338</v>
      </c>
      <c r="D730" s="11">
        <f t="shared" si="42"/>
        <v>236.33683482106312</v>
      </c>
      <c r="E730" s="11">
        <f t="shared" si="43"/>
        <v>919.4660720704187</v>
      </c>
      <c r="F730" s="11">
        <f>Speed_Calc!B$5*E730</f>
        <v>827.51946486337681</v>
      </c>
      <c r="G730" s="14">
        <f>Speed_Calc!G$3+Speed_Calc!G$5*A730^2</f>
        <v>39.3136036</v>
      </c>
      <c r="H730" s="7">
        <f>(F730-G730)/Speed_Calc!G$2*9.806</f>
        <v>5.7252938337397579</v>
      </c>
      <c r="I730" s="4">
        <f t="shared" si="44"/>
        <v>19.277777777777779</v>
      </c>
    </row>
    <row r="731" spans="1:9" x14ac:dyDescent="0.2">
      <c r="A731" s="11">
        <v>69.5</v>
      </c>
      <c r="B731" s="14">
        <v>3.133</v>
      </c>
      <c r="C731" s="11">
        <f t="shared" si="45"/>
        <v>9006.5007045887851</v>
      </c>
      <c r="D731" s="11">
        <f t="shared" si="42"/>
        <v>235.74383895855132</v>
      </c>
      <c r="E731" s="11">
        <f t="shared" si="43"/>
        <v>915.83937437135057</v>
      </c>
      <c r="F731" s="11">
        <f>Speed_Calc!B$5*E731</f>
        <v>824.25543693421548</v>
      </c>
      <c r="G731" s="14">
        <f>Speed_Calc!G$3+Speed_Calc!G$5*A731^2</f>
        <v>39.369302500000003</v>
      </c>
      <c r="H731" s="7">
        <f>(F731-G731)/Speed_Calc!G$2*9.806</f>
        <v>5.7011803216754933</v>
      </c>
      <c r="I731" s="4">
        <f t="shared" si="44"/>
        <v>19.305555555555554</v>
      </c>
    </row>
    <row r="732" spans="1:9" x14ac:dyDescent="0.2">
      <c r="A732" s="11">
        <v>69.599999999999994</v>
      </c>
      <c r="B732" s="14">
        <v>3.133</v>
      </c>
      <c r="C732" s="11">
        <f t="shared" si="45"/>
        <v>9019.4596984083382</v>
      </c>
      <c r="D732" s="11">
        <f t="shared" si="42"/>
        <v>235.13506780527626</v>
      </c>
      <c r="E732" s="11">
        <f t="shared" si="43"/>
        <v>912.16190096874425</v>
      </c>
      <c r="F732" s="11">
        <f>Speed_Calc!B$5*E732</f>
        <v>820.94571087186989</v>
      </c>
      <c r="G732" s="14">
        <f>Speed_Calc!G$3+Speed_Calc!G$5*A732^2</f>
        <v>39.425081599999999</v>
      </c>
      <c r="H732" s="7">
        <f>(F732-G732)/Speed_Calc!G$2*9.806</f>
        <v>5.6767342893629307</v>
      </c>
      <c r="I732" s="4">
        <f t="shared" si="44"/>
        <v>19.333333333333332</v>
      </c>
    </row>
    <row r="733" spans="1:9" x14ac:dyDescent="0.2">
      <c r="A733" s="11">
        <v>69.7</v>
      </c>
      <c r="B733" s="14">
        <v>3.133</v>
      </c>
      <c r="C733" s="11">
        <f t="shared" si="45"/>
        <v>9032.4186922278932</v>
      </c>
      <c r="D733" s="11">
        <f t="shared" si="42"/>
        <v>234.51037331999208</v>
      </c>
      <c r="E733" s="11">
        <f t="shared" si="43"/>
        <v>908.4332969354067</v>
      </c>
      <c r="F733" s="11">
        <f>Speed_Calc!B$5*E733</f>
        <v>817.58996724186602</v>
      </c>
      <c r="G733" s="14">
        <f>Speed_Calc!G$3+Speed_Calc!G$5*A733^2</f>
        <v>39.4809409</v>
      </c>
      <c r="H733" s="7">
        <f>(F733-G733)/Speed_Calc!G$2*9.806</f>
        <v>5.6519534165246945</v>
      </c>
      <c r="I733" s="4">
        <f t="shared" si="44"/>
        <v>19.361111111111111</v>
      </c>
    </row>
    <row r="734" spans="1:9" x14ac:dyDescent="0.2">
      <c r="A734" s="11">
        <v>69.8</v>
      </c>
      <c r="B734" s="14">
        <v>3.133</v>
      </c>
      <c r="C734" s="11">
        <f t="shared" si="45"/>
        <v>9045.3776860474445</v>
      </c>
      <c r="D734" s="11">
        <f t="shared" si="42"/>
        <v>233.86960664867286</v>
      </c>
      <c r="E734" s="11">
        <f t="shared" si="43"/>
        <v>904.65320623412117</v>
      </c>
      <c r="F734" s="11">
        <f>Speed_Calc!B$5*E734</f>
        <v>814.18788561070903</v>
      </c>
      <c r="G734" s="14">
        <f>Speed_Calc!G$3+Speed_Calc!G$5*A734^2</f>
        <v>39.536880400000001</v>
      </c>
      <c r="H734" s="7">
        <f>(F734-G734)/Speed_Calc!G$2*9.806</f>
        <v>5.6268353756268237</v>
      </c>
      <c r="I734" s="4">
        <f t="shared" si="44"/>
        <v>19.388888888888889</v>
      </c>
    </row>
    <row r="735" spans="1:9" x14ac:dyDescent="0.2">
      <c r="A735" s="11">
        <v>69.900000000000006</v>
      </c>
      <c r="B735" s="14">
        <v>3.133</v>
      </c>
      <c r="C735" s="11">
        <f t="shared" si="45"/>
        <v>9058.3366798669958</v>
      </c>
      <c r="D735" s="11">
        <f t="shared" si="42"/>
        <v>233.21261812246107</v>
      </c>
      <c r="E735" s="11">
        <f t="shared" si="43"/>
        <v>900.82127171766081</v>
      </c>
      <c r="F735" s="11">
        <f>Speed_Calc!B$5*E735</f>
        <v>810.73914454589476</v>
      </c>
      <c r="G735" s="14">
        <f>Speed_Calc!G$3+Speed_Calc!G$5*A735^2</f>
        <v>39.592900100000001</v>
      </c>
      <c r="H735" s="7">
        <f>(F735-G735)/Speed_Calc!G$2*9.806</f>
        <v>5.6013778318788479</v>
      </c>
      <c r="I735" s="4">
        <f t="shared" si="44"/>
        <v>19.416666666666668</v>
      </c>
    </row>
    <row r="736" spans="1:9" x14ac:dyDescent="0.2">
      <c r="A736" s="11">
        <v>70</v>
      </c>
      <c r="B736" s="14">
        <v>3.133</v>
      </c>
      <c r="C736" s="11">
        <f t="shared" si="45"/>
        <v>9071.2956736865453</v>
      </c>
      <c r="D736" s="11">
        <f t="shared" si="42"/>
        <v>232.53925725561595</v>
      </c>
      <c r="E736" s="11">
        <f t="shared" si="43"/>
        <v>896.9371351288047</v>
      </c>
      <c r="F736" s="11">
        <f>Speed_Calc!B$5*E736</f>
        <v>807.24342161592426</v>
      </c>
      <c r="G736" s="14">
        <f>Speed_Calc!G$3+Speed_Calc!G$5*A736^2</f>
        <v>39.649000000000001</v>
      </c>
      <c r="H736" s="7">
        <f>(F736-G736)/Speed_Calc!G$2*9.806</f>
        <v>5.5755784432338915</v>
      </c>
      <c r="I736" s="4">
        <f t="shared" si="44"/>
        <v>19.444444444444443</v>
      </c>
    </row>
    <row r="737" spans="1:9" x14ac:dyDescent="0.2">
      <c r="A737" s="11">
        <v>70.099999999999994</v>
      </c>
      <c r="B737" s="14">
        <v>3.133</v>
      </c>
      <c r="C737" s="11">
        <f t="shared" si="45"/>
        <v>9084.2546675060985</v>
      </c>
      <c r="D737" s="11">
        <f t="shared" si="42"/>
        <v>231.84937274344998</v>
      </c>
      <c r="E737" s="11">
        <f t="shared" si="43"/>
        <v>893.00043710030673</v>
      </c>
      <c r="F737" s="11">
        <f>Speed_Calc!B$5*E737</f>
        <v>803.70039339027608</v>
      </c>
      <c r="G737" s="14">
        <f>Speed_Calc!G$3+Speed_Calc!G$5*A737^2</f>
        <v>39.705180099999993</v>
      </c>
      <c r="H737" s="7">
        <f>(F737-G737)/Speed_Calc!G$2*9.806</f>
        <v>5.5494348603884784</v>
      </c>
      <c r="I737" s="4">
        <f t="shared" si="44"/>
        <v>19.472222222222221</v>
      </c>
    </row>
    <row r="738" spans="1:9" x14ac:dyDescent="0.2">
      <c r="A738" s="11">
        <v>70.2</v>
      </c>
      <c r="B738" s="14">
        <v>3.133</v>
      </c>
      <c r="C738" s="11">
        <f t="shared" si="45"/>
        <v>9097.2136613256516</v>
      </c>
      <c r="D738" s="11">
        <f t="shared" si="42"/>
        <v>231.14281246027917</v>
      </c>
      <c r="E738" s="11">
        <f t="shared" si="43"/>
        <v>889.01081715491989</v>
      </c>
      <c r="F738" s="11">
        <f>Speed_Calc!B$5*E738</f>
        <v>800.10973543942794</v>
      </c>
      <c r="G738" s="14">
        <f>Speed_Calc!G$3+Speed_Calc!G$5*A738^2</f>
        <v>39.761440399999998</v>
      </c>
      <c r="H738" s="7">
        <f>(F738-G738)/Speed_Calc!G$2*9.806</f>
        <v>5.522944726782689</v>
      </c>
      <c r="I738" s="4">
        <f t="shared" si="44"/>
        <v>19.5</v>
      </c>
    </row>
    <row r="739" spans="1:9" x14ac:dyDescent="0.2">
      <c r="A739" s="11">
        <v>70.3</v>
      </c>
      <c r="B739" s="14">
        <v>3.133</v>
      </c>
      <c r="C739" s="11">
        <f t="shared" si="45"/>
        <v>9110.172655145203</v>
      </c>
      <c r="D739" s="11">
        <f t="shared" si="42"/>
        <v>230.41942345736601</v>
      </c>
      <c r="E739" s="11">
        <f t="shared" si="43"/>
        <v>884.96791370538881</v>
      </c>
      <c r="F739" s="11">
        <f>Speed_Calc!B$5*E739</f>
        <v>796.47112233484995</v>
      </c>
      <c r="G739" s="14">
        <f>Speed_Calc!G$3+Speed_Calc!G$5*A739^2</f>
        <v>39.817780899999995</v>
      </c>
      <c r="H739" s="7">
        <f>(F739-G739)/Speed_Calc!G$2*9.806</f>
        <v>5.4961056786001015</v>
      </c>
      <c r="I739" s="4">
        <f t="shared" si="44"/>
        <v>19.527777777777775</v>
      </c>
    </row>
    <row r="740" spans="1:9" x14ac:dyDescent="0.2">
      <c r="A740" s="11">
        <v>70.400000000000006</v>
      </c>
      <c r="B740" s="14">
        <v>3.133</v>
      </c>
      <c r="C740" s="11">
        <f t="shared" si="45"/>
        <v>9123.1316489647597</v>
      </c>
      <c r="D740" s="11">
        <f t="shared" si="42"/>
        <v>229.67905196086457</v>
      </c>
      <c r="E740" s="11">
        <f t="shared" si="43"/>
        <v>880.87136405445176</v>
      </c>
      <c r="F740" s="11">
        <f>Speed_Calc!B$5*E740</f>
        <v>792.78422764900665</v>
      </c>
      <c r="G740" s="14">
        <f>Speed_Calc!G$3+Speed_Calc!G$5*A740^2</f>
        <v>39.874201600000006</v>
      </c>
      <c r="H740" s="7">
        <f>(F740-G740)/Speed_Calc!G$2*9.806</f>
        <v>5.4689153447678214</v>
      </c>
      <c r="I740" s="4">
        <f t="shared" si="44"/>
        <v>19.555555555555557</v>
      </c>
    </row>
    <row r="741" spans="1:9" x14ac:dyDescent="0.2">
      <c r="A741" s="11">
        <v>70.5</v>
      </c>
      <c r="B741" s="14">
        <v>3.133</v>
      </c>
      <c r="C741" s="11">
        <f t="shared" si="45"/>
        <v>9136.0906427843092</v>
      </c>
      <c r="D741" s="11">
        <f t="shared" ref="D741:D804" si="46">-4.687*10^(-17)*C741^5+9.129*10^(-13)*C741^4-6.175*10^(-9)*C741^3+1.799*10^(-5)*C741^2+6.502*10^(-3)*C741</f>
        <v>228.92154336976239</v>
      </c>
      <c r="E741" s="11">
        <f t="shared" si="43"/>
        <v>876.72080439483454</v>
      </c>
      <c r="F741" s="11">
        <f>Speed_Calc!B$5*E741</f>
        <v>789.04872395535108</v>
      </c>
      <c r="G741" s="14">
        <f>Speed_Calc!G$3+Speed_Calc!G$5*A741^2</f>
        <v>39.930702499999995</v>
      </c>
      <c r="H741" s="7">
        <f>(F741-G741)/Speed_Calc!G$2*9.806</f>
        <v>5.4413713469564238</v>
      </c>
      <c r="I741" s="4">
        <f t="shared" si="44"/>
        <v>19.583333333333332</v>
      </c>
    </row>
    <row r="742" spans="1:9" x14ac:dyDescent="0.2">
      <c r="A742" s="11">
        <v>70.599999999999994</v>
      </c>
      <c r="B742" s="14">
        <v>3.133</v>
      </c>
      <c r="C742" s="11">
        <f t="shared" si="45"/>
        <v>9149.0496366038606</v>
      </c>
      <c r="D742" s="11">
        <f t="shared" si="46"/>
        <v>228.14674225382768</v>
      </c>
      <c r="E742" s="11">
        <f t="shared" ref="E742:E805" si="47">D742*75*B742*B$31*B$32/B$23/C742/2/PI()*60</f>
        <v>872.51586980925617</v>
      </c>
      <c r="F742" s="11">
        <f>Speed_Calc!B$5*E742</f>
        <v>785.26428282833058</v>
      </c>
      <c r="G742" s="14">
        <f>Speed_Calc!G$3+Speed_Calc!G$5*A742^2</f>
        <v>39.987283599999998</v>
      </c>
      <c r="H742" s="7">
        <f>(F742-G742)/Speed_Calc!G$2*9.806</f>
        <v>5.4134712995800074</v>
      </c>
      <c r="I742" s="4">
        <f t="shared" ref="I742:I805" si="48">A742/3.6</f>
        <v>19.611111111111111</v>
      </c>
    </row>
    <row r="743" spans="1:9" x14ac:dyDescent="0.2">
      <c r="A743" s="11">
        <v>70.7</v>
      </c>
      <c r="B743" s="14">
        <v>3.133</v>
      </c>
      <c r="C743" s="11">
        <f t="shared" si="45"/>
        <v>9162.0086304234119</v>
      </c>
      <c r="D743" s="11">
        <f t="shared" si="46"/>
        <v>227.35449235154948</v>
      </c>
      <c r="E743" s="11">
        <f t="shared" si="47"/>
        <v>868.25619427041545</v>
      </c>
      <c r="F743" s="11">
        <f>Speed_Calc!B$5*E743</f>
        <v>781.43057484337396</v>
      </c>
      <c r="G743" s="14">
        <f>Speed_Calc!G$3+Speed_Calc!G$5*A743^2</f>
        <v>40.0439449</v>
      </c>
      <c r="H743" s="7">
        <f>(F743-G743)/Speed_Calc!G$2*9.806</f>
        <v>5.3852128097960916</v>
      </c>
      <c r="I743" s="4">
        <f t="shared" si="48"/>
        <v>19.638888888888889</v>
      </c>
    </row>
    <row r="744" spans="1:9" x14ac:dyDescent="0.2">
      <c r="A744" s="11">
        <v>70.8</v>
      </c>
      <c r="B744" s="14">
        <v>3.133</v>
      </c>
      <c r="C744" s="11">
        <f t="shared" si="45"/>
        <v>9174.967624242965</v>
      </c>
      <c r="D744" s="11">
        <f t="shared" si="46"/>
        <v>226.54463656809051</v>
      </c>
      <c r="E744" s="11">
        <f t="shared" si="47"/>
        <v>863.94141064102325</v>
      </c>
      <c r="F744" s="11">
        <f>Speed_Calc!B$5*E744</f>
        <v>777.54726957692094</v>
      </c>
      <c r="G744" s="14">
        <f>Speed_Calc!G$3+Speed_Calc!G$5*A744^2</f>
        <v>40.100686400000001</v>
      </c>
      <c r="H744" s="7">
        <f>(F744-G744)/Speed_Calc!G$2*9.806</f>
        <v>5.3565934775058412</v>
      </c>
      <c r="I744" s="4">
        <f t="shared" si="48"/>
        <v>19.666666666666664</v>
      </c>
    </row>
    <row r="745" spans="1:9" x14ac:dyDescent="0.2">
      <c r="A745" s="11">
        <v>70.900000000000006</v>
      </c>
      <c r="B745" s="14">
        <v>3.133</v>
      </c>
      <c r="C745" s="11">
        <f t="shared" si="45"/>
        <v>9187.92661806252</v>
      </c>
      <c r="D745" s="11">
        <f t="shared" si="46"/>
        <v>225.71701697322374</v>
      </c>
      <c r="E745" s="11">
        <f t="shared" si="47"/>
        <v>859.57115067377151</v>
      </c>
      <c r="F745" s="11">
        <f>Speed_Calc!B$5*E745</f>
        <v>773.6140356063944</v>
      </c>
      <c r="G745" s="14">
        <f>Speed_Calc!G$3+Speed_Calc!G$5*A745^2</f>
        <v>40.157508100000001</v>
      </c>
      <c r="H745" s="7">
        <f>(F745-G745)/Speed_Calc!G$2*9.806</f>
        <v>5.3276108953538541</v>
      </c>
      <c r="I745" s="4">
        <f t="shared" si="48"/>
        <v>19.694444444444446</v>
      </c>
    </row>
    <row r="746" spans="1:9" x14ac:dyDescent="0.2">
      <c r="A746" s="11">
        <v>71</v>
      </c>
      <c r="B746" s="14">
        <v>3.133</v>
      </c>
      <c r="C746" s="11">
        <f t="shared" si="45"/>
        <v>9200.8856118820695</v>
      </c>
      <c r="D746" s="11">
        <f t="shared" si="46"/>
        <v>224.87147479927827</v>
      </c>
      <c r="E746" s="11">
        <f t="shared" si="47"/>
        <v>855.1450450113399</v>
      </c>
      <c r="F746" s="11">
        <f>Speed_Calc!B$5*E746</f>
        <v>769.63054051020595</v>
      </c>
      <c r="G746" s="14">
        <f>Speed_Calc!G$3+Speed_Calc!G$5*A746^2</f>
        <v>40.214410000000001</v>
      </c>
      <c r="H746" s="7">
        <f>(F746-G746)/Speed_Calc!G$2*9.806</f>
        <v>5.2982626487282056</v>
      </c>
      <c r="I746" s="4">
        <f t="shared" si="48"/>
        <v>19.722222222222221</v>
      </c>
    </row>
    <row r="747" spans="1:9" x14ac:dyDescent="0.2">
      <c r="A747" s="11">
        <v>71.099999999999994</v>
      </c>
      <c r="B747" s="14">
        <v>3.133</v>
      </c>
      <c r="C747" s="11">
        <f t="shared" ref="C747:C810" si="49">A747/3.6/B$23/2/PI()*B$32*B$31*B747*60</f>
        <v>9213.8446057016208</v>
      </c>
      <c r="D747" s="11">
        <f t="shared" si="46"/>
        <v>224.00785043908553</v>
      </c>
      <c r="E747" s="11">
        <f t="shared" si="47"/>
        <v>850.66272318640097</v>
      </c>
      <c r="F747" s="11">
        <f>Speed_Calc!B$5*E747</f>
        <v>765.59645086776084</v>
      </c>
      <c r="G747" s="14">
        <f>Speed_Calc!G$3+Speed_Calc!G$5*A747^2</f>
        <v>40.2713921</v>
      </c>
      <c r="H747" s="7">
        <f>(F747-G747)/Speed_Calc!G$2*9.806</f>
        <v>5.2685463157604904</v>
      </c>
      <c r="I747" s="4">
        <f t="shared" si="48"/>
        <v>19.749999999999996</v>
      </c>
    </row>
    <row r="748" spans="1:9" x14ac:dyDescent="0.2">
      <c r="A748" s="11">
        <v>71.2</v>
      </c>
      <c r="B748" s="14">
        <v>3.133</v>
      </c>
      <c r="C748" s="11">
        <f t="shared" si="49"/>
        <v>9226.8035995211721</v>
      </c>
      <c r="D748" s="11">
        <f t="shared" si="46"/>
        <v>223.12598344392416</v>
      </c>
      <c r="E748" s="11">
        <f t="shared" si="47"/>
        <v>846.12381362162284</v>
      </c>
      <c r="F748" s="11">
        <f>Speed_Calc!B$5*E748</f>
        <v>761.51143225946055</v>
      </c>
      <c r="G748" s="14">
        <f>Speed_Calc!G$3+Speed_Calc!G$5*A748^2</f>
        <v>40.328454399999998</v>
      </c>
      <c r="H748" s="7">
        <f>(F748-G748)/Speed_Calc!G$2*9.806</f>
        <v>5.2384594673258302</v>
      </c>
      <c r="I748" s="4">
        <f t="shared" si="48"/>
        <v>19.777777777777779</v>
      </c>
    </row>
    <row r="749" spans="1:9" x14ac:dyDescent="0.2">
      <c r="A749" s="11">
        <v>71.3</v>
      </c>
      <c r="B749" s="14">
        <v>3.133</v>
      </c>
      <c r="C749" s="11">
        <f t="shared" si="49"/>
        <v>9239.7625933407253</v>
      </c>
      <c r="D749" s="11">
        <f t="shared" si="46"/>
        <v>222.22571252146335</v>
      </c>
      <c r="E749" s="11">
        <f t="shared" si="47"/>
        <v>841.52794362966506</v>
      </c>
      <c r="F749" s="11">
        <f>Speed_Calc!B$5*E749</f>
        <v>757.3751492666986</v>
      </c>
      <c r="G749" s="14">
        <f>Speed_Calc!G$3+Speed_Calc!G$5*A749^2</f>
        <v>40.385596899999996</v>
      </c>
      <c r="H749" s="7">
        <f>(F749-G749)/Speed_Calc!G$2*9.806</f>
        <v>5.2079996670428494</v>
      </c>
      <c r="I749" s="4">
        <f t="shared" si="48"/>
        <v>19.805555555555554</v>
      </c>
    </row>
    <row r="750" spans="1:9" x14ac:dyDescent="0.2">
      <c r="A750" s="11">
        <v>71.400000000000006</v>
      </c>
      <c r="B750" s="14">
        <v>3.133</v>
      </c>
      <c r="C750" s="11">
        <f t="shared" si="49"/>
        <v>9252.7215871602784</v>
      </c>
      <c r="D750" s="11">
        <f t="shared" si="46"/>
        <v>221.30687553370541</v>
      </c>
      <c r="E750" s="11">
        <f t="shared" si="47"/>
        <v>836.87473941317182</v>
      </c>
      <c r="F750" s="11">
        <f>Speed_Calc!B$5*E750</f>
        <v>753.18726547185463</v>
      </c>
      <c r="G750" s="14">
        <f>Speed_Calc!G$3+Speed_Calc!G$5*A750^2</f>
        <v>40.442819600000007</v>
      </c>
      <c r="H750" s="7">
        <f>(F750-G750)/Speed_Calc!G$2*9.806</f>
        <v>5.1771644712736338</v>
      </c>
      <c r="I750" s="4">
        <f t="shared" si="48"/>
        <v>19.833333333333336</v>
      </c>
    </row>
    <row r="751" spans="1:9" x14ac:dyDescent="0.2">
      <c r="A751" s="11">
        <v>71.5</v>
      </c>
      <c r="B751" s="14">
        <v>3.133</v>
      </c>
      <c r="C751" s="11">
        <f t="shared" si="49"/>
        <v>9265.6805809798316</v>
      </c>
      <c r="D751" s="11">
        <f t="shared" si="46"/>
        <v>220.36930949493401</v>
      </c>
      <c r="E751" s="11">
        <f t="shared" si="47"/>
        <v>832.16382606478589</v>
      </c>
      <c r="F751" s="11">
        <f>Speed_Calc!B$5*E751</f>
        <v>748.94744345830736</v>
      </c>
      <c r="G751" s="14">
        <f>Speed_Calc!G$3+Speed_Calc!G$5*A751^2</f>
        <v>40.500122500000003</v>
      </c>
      <c r="H751" s="7">
        <f>(F751-G751)/Speed_Calc!G$2*9.806</f>
        <v>5.1459514291238238</v>
      </c>
      <c r="I751" s="4">
        <f t="shared" si="48"/>
        <v>19.861111111111111</v>
      </c>
    </row>
    <row r="752" spans="1:9" x14ac:dyDescent="0.2">
      <c r="A752" s="11">
        <v>71.599999999999994</v>
      </c>
      <c r="B752" s="14">
        <v>3.133</v>
      </c>
      <c r="C752" s="11">
        <f t="shared" si="49"/>
        <v>9278.6395747993811</v>
      </c>
      <c r="D752" s="11">
        <f t="shared" si="46"/>
        <v>219.41285056965671</v>
      </c>
      <c r="E752" s="11">
        <f t="shared" si="47"/>
        <v>827.39482756714165</v>
      </c>
      <c r="F752" s="11">
        <f>Speed_Calc!B$5*E752</f>
        <v>744.65534481042755</v>
      </c>
      <c r="G752" s="14">
        <f>Speed_Calc!G$3+Speed_Calc!G$5*A752^2</f>
        <v>40.557505599999999</v>
      </c>
      <c r="H752" s="7">
        <f>(F752-G752)/Speed_Calc!G$2*9.806</f>
        <v>5.1143580824425561</v>
      </c>
      <c r="I752" s="4">
        <f t="shared" si="48"/>
        <v>19.888888888888886</v>
      </c>
    </row>
    <row r="753" spans="1:9" x14ac:dyDescent="0.2">
      <c r="A753" s="11">
        <v>71.7</v>
      </c>
      <c r="B753" s="14">
        <v>3.133</v>
      </c>
      <c r="C753" s="11">
        <f t="shared" si="49"/>
        <v>9291.598568618936</v>
      </c>
      <c r="D753" s="11">
        <f t="shared" si="46"/>
        <v>218.43733407054535</v>
      </c>
      <c r="E753" s="11">
        <f t="shared" si="47"/>
        <v>822.56736679284859</v>
      </c>
      <c r="F753" s="11">
        <f>Speed_Calc!B$5*E753</f>
        <v>740.31063011356378</v>
      </c>
      <c r="G753" s="14">
        <f>Speed_Calc!G$3+Speed_Calc!G$5*A753^2</f>
        <v>40.614968900000001</v>
      </c>
      <c r="H753" s="7">
        <f>(F753-G753)/Speed_Calc!G$2*9.806</f>
        <v>5.0823819658223748</v>
      </c>
      <c r="I753" s="4">
        <f t="shared" si="48"/>
        <v>19.916666666666668</v>
      </c>
    </row>
    <row r="754" spans="1:9" x14ac:dyDescent="0.2">
      <c r="A754" s="11">
        <v>71.8</v>
      </c>
      <c r="B754" s="14">
        <v>3.133</v>
      </c>
      <c r="C754" s="11">
        <f t="shared" si="49"/>
        <v>9304.5575624384855</v>
      </c>
      <c r="D754" s="11">
        <f t="shared" si="46"/>
        <v>217.44259445639085</v>
      </c>
      <c r="E754" s="11">
        <f t="shared" si="47"/>
        <v>817.68106550453399</v>
      </c>
      <c r="F754" s="11">
        <f>Speed_Calc!B$5*E754</f>
        <v>735.91295895408064</v>
      </c>
      <c r="G754" s="14">
        <f>Speed_Calc!G$3+Speed_Calc!G$5*A754^2</f>
        <v>40.672512400000002</v>
      </c>
      <c r="H754" s="7">
        <f>(F754-G754)/Speed_Calc!G$2*9.806</f>
        <v>5.0500206065994924</v>
      </c>
      <c r="I754" s="4">
        <f t="shared" si="48"/>
        <v>19.944444444444443</v>
      </c>
    </row>
    <row r="755" spans="1:9" x14ac:dyDescent="0.2">
      <c r="A755" s="11">
        <v>71.900000000000006</v>
      </c>
      <c r="B755" s="14">
        <v>3.133</v>
      </c>
      <c r="C755" s="11">
        <f t="shared" si="49"/>
        <v>9317.5165562580405</v>
      </c>
      <c r="D755" s="11">
        <f t="shared" si="46"/>
        <v>216.42846533003777</v>
      </c>
      <c r="E755" s="11">
        <f t="shared" si="47"/>
        <v>812.73554435480105</v>
      </c>
      <c r="F755" s="11">
        <f>Speed_Calc!B$5*E755</f>
        <v>731.46198991932101</v>
      </c>
      <c r="G755" s="14">
        <f>Speed_Calc!G$3+Speed_Calc!G$5*A755^2</f>
        <v>40.730136099999996</v>
      </c>
      <c r="H755" s="7">
        <f>(F755-G755)/Speed_Calc!G$2*9.806</f>
        <v>5.0172715248535269</v>
      </c>
      <c r="I755" s="4">
        <f t="shared" si="48"/>
        <v>19.972222222222225</v>
      </c>
    </row>
    <row r="756" spans="1:9" x14ac:dyDescent="0.2">
      <c r="A756" s="11">
        <v>72</v>
      </c>
      <c r="B756" s="14">
        <v>3.133</v>
      </c>
      <c r="C756" s="11">
        <f t="shared" si="49"/>
        <v>9330.4755500775918</v>
      </c>
      <c r="D756" s="11">
        <f t="shared" si="46"/>
        <v>215.39477943633062</v>
      </c>
      <c r="E756" s="11">
        <f t="shared" si="47"/>
        <v>807.73042288623992</v>
      </c>
      <c r="F756" s="11">
        <f>Speed_Calc!B$5*E756</f>
        <v>726.95738059761595</v>
      </c>
      <c r="G756" s="14">
        <f>Speed_Calc!G$3+Speed_Calc!G$5*A756^2</f>
        <v>40.787840000000003</v>
      </c>
      <c r="H756" s="7">
        <f>(F756-G756)/Speed_Calc!G$2*9.806</f>
        <v>4.9841322334075713</v>
      </c>
      <c r="I756" s="4">
        <f t="shared" si="48"/>
        <v>20</v>
      </c>
    </row>
    <row r="757" spans="1:9" x14ac:dyDescent="0.2">
      <c r="A757" s="11">
        <v>72.099999999999994</v>
      </c>
      <c r="B757" s="14">
        <v>3.133</v>
      </c>
      <c r="C757" s="11">
        <f t="shared" si="49"/>
        <v>9343.4345438971432</v>
      </c>
      <c r="D757" s="11">
        <f t="shared" si="46"/>
        <v>214.34136866006116</v>
      </c>
      <c r="E757" s="11">
        <f t="shared" si="47"/>
        <v>802.66531953143578</v>
      </c>
      <c r="F757" s="11">
        <f>Speed_Calc!B$5*E757</f>
        <v>722.39878757829217</v>
      </c>
      <c r="G757" s="14">
        <f>Speed_Calc!G$3+Speed_Calc!G$5*A757^2</f>
        <v>40.845624099999995</v>
      </c>
      <c r="H757" s="7">
        <f>(F757-G757)/Speed_Calc!G$2*9.806</f>
        <v>4.9506002378282465</v>
      </c>
      <c r="I757" s="4">
        <f t="shared" si="48"/>
        <v>20.027777777777775</v>
      </c>
    </row>
    <row r="758" spans="1:9" x14ac:dyDescent="0.2">
      <c r="A758" s="11">
        <v>72.2</v>
      </c>
      <c r="B758" s="14">
        <v>3.133</v>
      </c>
      <c r="C758" s="11">
        <f t="shared" si="49"/>
        <v>9356.3935377166981</v>
      </c>
      <c r="D758" s="11">
        <f t="shared" si="46"/>
        <v>213.26806402391577</v>
      </c>
      <c r="E758" s="11">
        <f t="shared" si="47"/>
        <v>797.53985161298135</v>
      </c>
      <c r="F758" s="11">
        <f>Speed_Calc!B$5*E758</f>
        <v>717.78586645168321</v>
      </c>
      <c r="G758" s="14">
        <f>Speed_Calc!G$3+Speed_Calc!G$5*A758^2</f>
        <v>40.903488400000001</v>
      </c>
      <c r="H758" s="7">
        <f>(F758-G758)/Speed_Calc!G$2*9.806</f>
        <v>4.9166730364257809</v>
      </c>
      <c r="I758" s="4">
        <f t="shared" si="48"/>
        <v>20.055555555555557</v>
      </c>
    </row>
    <row r="759" spans="1:9" x14ac:dyDescent="0.2">
      <c r="A759" s="11">
        <v>72.3</v>
      </c>
      <c r="B759" s="14">
        <v>3.133</v>
      </c>
      <c r="C759" s="11">
        <f t="shared" si="49"/>
        <v>9369.3525315362476</v>
      </c>
      <c r="D759" s="11">
        <f t="shared" si="46"/>
        <v>212.17469568640877</v>
      </c>
      <c r="E759" s="11">
        <f t="shared" si="47"/>
        <v>792.35363534343526</v>
      </c>
      <c r="F759" s="11">
        <f>Speed_Calc!B$5*E759</f>
        <v>713.11827180909177</v>
      </c>
      <c r="G759" s="14">
        <f>Speed_Calc!G$3+Speed_Calc!G$5*A759^2</f>
        <v>40.961432899999998</v>
      </c>
      <c r="H759" s="7">
        <f>(F759-G759)/Speed_Calc!G$2*9.806</f>
        <v>4.8823481202537433</v>
      </c>
      <c r="I759" s="4">
        <f t="shared" si="48"/>
        <v>20.083333333333332</v>
      </c>
    </row>
    <row r="760" spans="1:9" x14ac:dyDescent="0.2">
      <c r="A760" s="11">
        <v>72.400000000000006</v>
      </c>
      <c r="B760" s="14">
        <v>3.133</v>
      </c>
      <c r="C760" s="11">
        <f t="shared" si="49"/>
        <v>9382.3115253557989</v>
      </c>
      <c r="D760" s="11">
        <f t="shared" si="46"/>
        <v>211.06109293983761</v>
      </c>
      <c r="E760" s="11">
        <f t="shared" si="47"/>
        <v>787.10628582536151</v>
      </c>
      <c r="F760" s="11">
        <f>Speed_Calc!B$5*E760</f>
        <v>708.39565724282534</v>
      </c>
      <c r="G760" s="14">
        <f>Speed_Calc!G$3+Speed_Calc!G$5*A760^2</f>
        <v>41.019457600000003</v>
      </c>
      <c r="H760" s="7">
        <f>(F760-G760)/Speed_Calc!G$2*9.806</f>
        <v>4.8476229731092921</v>
      </c>
      <c r="I760" s="4">
        <f t="shared" si="48"/>
        <v>20.111111111111111</v>
      </c>
    </row>
    <row r="761" spans="1:9" x14ac:dyDescent="0.2">
      <c r="A761" s="11">
        <v>72.5</v>
      </c>
      <c r="B761" s="14">
        <v>3.133</v>
      </c>
      <c r="C761" s="11">
        <f t="shared" si="49"/>
        <v>9395.2705191753521</v>
      </c>
      <c r="D761" s="11">
        <f t="shared" si="46"/>
        <v>209.92708420822231</v>
      </c>
      <c r="E761" s="11">
        <f t="shared" si="47"/>
        <v>781.79741705131073</v>
      </c>
      <c r="F761" s="11">
        <f>Speed_Calc!B$5*E761</f>
        <v>703.61767534617968</v>
      </c>
      <c r="G761" s="14">
        <f>Speed_Calc!G$3+Speed_Calc!G$5*A761^2</f>
        <v>41.077562499999999</v>
      </c>
      <c r="H761" s="7">
        <f>(F761-G761)/Speed_Calc!G$2*9.806</f>
        <v>4.812495071533065</v>
      </c>
      <c r="I761" s="4">
        <f t="shared" si="48"/>
        <v>20.138888888888889</v>
      </c>
    </row>
    <row r="762" spans="1:9" x14ac:dyDescent="0.2">
      <c r="A762" s="11">
        <v>72.599999999999994</v>
      </c>
      <c r="B762" s="14">
        <v>3.133</v>
      </c>
      <c r="C762" s="11">
        <f t="shared" si="49"/>
        <v>9408.2295129949071</v>
      </c>
      <c r="D762" s="11">
        <f t="shared" si="46"/>
        <v>208.77249704525471</v>
      </c>
      <c r="E762" s="11">
        <f t="shared" si="47"/>
        <v>776.42664190383971</v>
      </c>
      <c r="F762" s="11">
        <f>Speed_Calc!B$5*E762</f>
        <v>698.78397771345578</v>
      </c>
      <c r="G762" s="14">
        <f>Speed_Calc!G$3+Speed_Calc!G$5*A762^2</f>
        <v>41.135747599999995</v>
      </c>
      <c r="H762" s="7">
        <f>(F762-G762)/Speed_Calc!G$2*9.806</f>
        <v>4.7769618848092943</v>
      </c>
      <c r="I762" s="4">
        <f t="shared" si="48"/>
        <v>20.166666666666664</v>
      </c>
    </row>
    <row r="763" spans="1:9" x14ac:dyDescent="0.2">
      <c r="A763" s="11">
        <v>72.7</v>
      </c>
      <c r="B763" s="14">
        <v>3.133</v>
      </c>
      <c r="C763" s="11">
        <f t="shared" si="49"/>
        <v>9421.1885068144584</v>
      </c>
      <c r="D763" s="11">
        <f t="shared" si="46"/>
        <v>207.59715813223227</v>
      </c>
      <c r="E763" s="11">
        <f t="shared" si="47"/>
        <v>770.99357215547059</v>
      </c>
      <c r="F763" s="11">
        <f>Speed_Calc!B$5*E763</f>
        <v>693.89421493992359</v>
      </c>
      <c r="G763" s="14">
        <f>Speed_Calc!G$3+Speed_Calc!G$5*A763^2</f>
        <v>41.194012899999997</v>
      </c>
      <c r="H763" s="7">
        <f>(F763-G763)/Speed_Calc!G$2*9.806</f>
        <v>4.7410208749655487</v>
      </c>
      <c r="I763" s="4">
        <f t="shared" si="48"/>
        <v>20.194444444444446</v>
      </c>
    </row>
    <row r="764" spans="1:9" x14ac:dyDescent="0.2">
      <c r="A764" s="11">
        <v>72.8</v>
      </c>
      <c r="B764" s="14">
        <v>3.133</v>
      </c>
      <c r="C764" s="11">
        <f t="shared" si="49"/>
        <v>9434.1475006340097</v>
      </c>
      <c r="D764" s="11">
        <f t="shared" si="46"/>
        <v>206.40089327601467</v>
      </c>
      <c r="E764" s="11">
        <f t="shared" si="47"/>
        <v>765.49781846873577</v>
      </c>
      <c r="F764" s="11">
        <f>Speed_Calc!B$5*E764</f>
        <v>688.94803662186223</v>
      </c>
      <c r="G764" s="14">
        <f>Speed_Calc!G$3+Speed_Calc!G$5*A764^2</f>
        <v>41.252358399999991</v>
      </c>
      <c r="H764" s="7">
        <f>(F764-G764)/Speed_Calc!G$2*9.806</f>
        <v>4.7046694967730218</v>
      </c>
      <c r="I764" s="4">
        <f t="shared" si="48"/>
        <v>20.222222222222221</v>
      </c>
    </row>
    <row r="765" spans="1:9" x14ac:dyDescent="0.2">
      <c r="A765" s="11">
        <v>72.900000000000006</v>
      </c>
      <c r="B765" s="14">
        <v>3.133</v>
      </c>
      <c r="C765" s="11">
        <f t="shared" si="49"/>
        <v>9447.106494453561</v>
      </c>
      <c r="D765" s="11">
        <f t="shared" si="46"/>
        <v>205.18352740696065</v>
      </c>
      <c r="E765" s="11">
        <f t="shared" si="47"/>
        <v>759.93899039615064</v>
      </c>
      <c r="F765" s="11">
        <f>Speed_Calc!B$5*E765</f>
        <v>683.94509135653561</v>
      </c>
      <c r="G765" s="14">
        <f>Speed_Calc!G$3+Speed_Calc!G$5*A765^2</f>
        <v>41.310784100000006</v>
      </c>
      <c r="H765" s="7">
        <f>(F765-G765)/Speed_Calc!G$2*9.806</f>
        <v>4.6679051977463617</v>
      </c>
      <c r="I765" s="4">
        <f t="shared" si="48"/>
        <v>20.25</v>
      </c>
    </row>
    <row r="766" spans="1:9" x14ac:dyDescent="0.2">
      <c r="A766" s="11">
        <v>73</v>
      </c>
      <c r="B766" s="14">
        <v>3.133</v>
      </c>
      <c r="C766" s="11">
        <f t="shared" si="49"/>
        <v>9460.0654882731124</v>
      </c>
      <c r="D766" s="11">
        <f t="shared" si="46"/>
        <v>203.94488457687794</v>
      </c>
      <c r="E766" s="11">
        <f t="shared" si="47"/>
        <v>754.31669638023357</v>
      </c>
      <c r="F766" s="11">
        <f>Speed_Calc!B$5*E766</f>
        <v>678.88502674221024</v>
      </c>
      <c r="G766" s="14">
        <f>Speed_Calc!G$3+Speed_Calc!G$5*A766^2</f>
        <v>41.369289999999999</v>
      </c>
      <c r="H766" s="7">
        <f>(F766-G766)/Speed_Calc!G$2*9.806</f>
        <v>4.6307254181437871</v>
      </c>
      <c r="I766" s="4">
        <f t="shared" si="48"/>
        <v>20.277777777777779</v>
      </c>
    </row>
    <row r="767" spans="1:9" x14ac:dyDescent="0.2">
      <c r="A767" s="11">
        <v>73.099999999999994</v>
      </c>
      <c r="B767" s="14">
        <v>3.133</v>
      </c>
      <c r="C767" s="11">
        <f t="shared" si="49"/>
        <v>9473.0244820926637</v>
      </c>
      <c r="D767" s="11">
        <f t="shared" si="46"/>
        <v>202.68478795695862</v>
      </c>
      <c r="E767" s="11">
        <f t="shared" si="47"/>
        <v>748.63054375347258</v>
      </c>
      <c r="F767" s="11">
        <f>Speed_Calc!B$5*E767</f>
        <v>673.76748937812533</v>
      </c>
      <c r="G767" s="14">
        <f>Speed_Calc!G$3+Speed_Calc!G$5*A767^2</f>
        <v>41.427876099999992</v>
      </c>
      <c r="H767" s="7">
        <f>(F767-G767)/Speed_Calc!G$2*9.806</f>
        <v>4.5931275909668869</v>
      </c>
      <c r="I767" s="4">
        <f t="shared" si="48"/>
        <v>20.305555555555554</v>
      </c>
    </row>
    <row r="768" spans="1:9" x14ac:dyDescent="0.2">
      <c r="A768" s="11">
        <v>73.2</v>
      </c>
      <c r="B768" s="14">
        <v>3.133</v>
      </c>
      <c r="C768" s="11">
        <f t="shared" si="49"/>
        <v>9485.9834759122186</v>
      </c>
      <c r="D768" s="11">
        <f t="shared" si="46"/>
        <v>201.40305983573393</v>
      </c>
      <c r="E768" s="11">
        <f t="shared" si="47"/>
        <v>742.8801387383628</v>
      </c>
      <c r="F768" s="11">
        <f>Speed_Calc!B$5*E768</f>
        <v>668.59212486452657</v>
      </c>
      <c r="G768" s="14">
        <f>Speed_Calc!G$3+Speed_Calc!G$5*A768^2</f>
        <v>41.486542400000005</v>
      </c>
      <c r="H768" s="7">
        <f>(F768-G768)/Speed_Calc!G$2*9.806</f>
        <v>4.55510914196085</v>
      </c>
      <c r="I768" s="4">
        <f t="shared" si="48"/>
        <v>20.333333333333332</v>
      </c>
    </row>
    <row r="769" spans="1:9" x14ac:dyDescent="0.2">
      <c r="A769" s="11">
        <v>73.3</v>
      </c>
      <c r="B769" s="14">
        <v>3.133</v>
      </c>
      <c r="C769" s="11">
        <f t="shared" si="49"/>
        <v>9498.9424697317718</v>
      </c>
      <c r="D769" s="11">
        <f t="shared" si="46"/>
        <v>200.09952161701599</v>
      </c>
      <c r="E769" s="11">
        <f t="shared" si="47"/>
        <v>737.06508644739847</v>
      </c>
      <c r="F769" s="11">
        <f>Speed_Calc!B$5*E769</f>
        <v>663.3585778026586</v>
      </c>
      <c r="G769" s="14">
        <f>Speed_Calc!G$3+Speed_Calc!G$5*A769^2</f>
        <v>41.545288899999996</v>
      </c>
      <c r="H769" s="7">
        <f>(F769-G769)/Speed_Calc!G$2*9.806</f>
        <v>4.5166674896144228</v>
      </c>
      <c r="I769" s="4">
        <f t="shared" si="48"/>
        <v>20.361111111111111</v>
      </c>
    </row>
    <row r="770" spans="1:9" x14ac:dyDescent="0.2">
      <c r="A770" s="11">
        <v>73.400000000000006</v>
      </c>
      <c r="B770" s="14">
        <v>3.133</v>
      </c>
      <c r="C770" s="11">
        <f t="shared" si="49"/>
        <v>9511.9014635513231</v>
      </c>
      <c r="D770" s="11">
        <f t="shared" si="46"/>
        <v>198.77399381783505</v>
      </c>
      <c r="E770" s="11">
        <f t="shared" si="47"/>
        <v>731.18499088304452</v>
      </c>
      <c r="F770" s="11">
        <f>Speed_Calc!B$5*E770</f>
        <v>658.06649179474005</v>
      </c>
      <c r="G770" s="14">
        <f>Speed_Calc!G$3+Speed_Calc!G$5*A770^2</f>
        <v>41.6041156</v>
      </c>
      <c r="H770" s="7">
        <f>(F770-G770)/Speed_Calc!G$2*9.806</f>
        <v>4.4778000451597189</v>
      </c>
      <c r="I770" s="4">
        <f t="shared" si="48"/>
        <v>20.388888888888889</v>
      </c>
    </row>
    <row r="771" spans="1:9" x14ac:dyDescent="0.2">
      <c r="A771" s="11">
        <v>73.5</v>
      </c>
      <c r="B771" s="14">
        <v>3.133</v>
      </c>
      <c r="C771" s="11">
        <f t="shared" si="49"/>
        <v>9524.8604573708744</v>
      </c>
      <c r="D771" s="11">
        <f t="shared" si="46"/>
        <v>197.42629606639329</v>
      </c>
      <c r="E771" s="11">
        <f t="shared" si="47"/>
        <v>725.23945493777148</v>
      </c>
      <c r="F771" s="11">
        <f>Speed_Calc!B$5*E771</f>
        <v>652.71550944399439</v>
      </c>
      <c r="G771" s="14">
        <f>Speed_Calc!G$3+Speed_Calc!G$5*A771^2</f>
        <v>41.663022499999997</v>
      </c>
      <c r="H771" s="7">
        <f>(F771-G771)/Speed_Calc!G$2*9.806</f>
        <v>4.4385042125724512</v>
      </c>
      <c r="I771" s="4">
        <f t="shared" si="48"/>
        <v>20.416666666666668</v>
      </c>
    </row>
    <row r="772" spans="1:9" x14ac:dyDescent="0.2">
      <c r="A772" s="11">
        <v>73.599999999999994</v>
      </c>
      <c r="B772" s="14">
        <v>3.133</v>
      </c>
      <c r="C772" s="11">
        <f t="shared" si="49"/>
        <v>9537.8194511904258</v>
      </c>
      <c r="D772" s="11">
        <f t="shared" si="46"/>
        <v>196.05624710000308</v>
      </c>
      <c r="E772" s="11">
        <f t="shared" si="47"/>
        <v>719.2280803940331</v>
      </c>
      <c r="F772" s="11">
        <f>Speed_Calc!B$5*E772</f>
        <v>647.30527235462978</v>
      </c>
      <c r="G772" s="14">
        <f>Speed_Calc!G$3+Speed_Calc!G$5*A772^2</f>
        <v>41.722009599999993</v>
      </c>
      <c r="H772" s="7">
        <f>(F772-G772)/Speed_Calc!G$2*9.806</f>
        <v>4.3987773885717774</v>
      </c>
      <c r="I772" s="4">
        <f t="shared" si="48"/>
        <v>20.444444444444443</v>
      </c>
    </row>
    <row r="773" spans="1:9" x14ac:dyDescent="0.2">
      <c r="A773" s="11">
        <v>73.7</v>
      </c>
      <c r="B773" s="14">
        <v>3.133</v>
      </c>
      <c r="C773" s="11">
        <f t="shared" si="49"/>
        <v>9550.7784450099789</v>
      </c>
      <c r="D773" s="11">
        <f t="shared" si="46"/>
        <v>194.66366476303483</v>
      </c>
      <c r="E773" s="11">
        <f t="shared" si="47"/>
        <v>713.1504679242795</v>
      </c>
      <c r="F773" s="11">
        <f>Speed_Calc!B$5*E773</f>
        <v>641.8354211318516</v>
      </c>
      <c r="G773" s="14">
        <f>Speed_Calc!G$3+Speed_Calc!G$5*A773^2</f>
        <v>41.781076900000002</v>
      </c>
      <c r="H773" s="7">
        <f>(F773-G773)/Speed_Calc!G$2*9.806</f>
        <v>4.3586169626203972</v>
      </c>
      <c r="I773" s="4">
        <f t="shared" si="48"/>
        <v>20.472222222222221</v>
      </c>
    </row>
    <row r="774" spans="1:9" x14ac:dyDescent="0.2">
      <c r="A774" s="11">
        <v>73.8</v>
      </c>
      <c r="B774" s="14">
        <v>3.133</v>
      </c>
      <c r="C774" s="11">
        <f t="shared" si="49"/>
        <v>9563.737438829532</v>
      </c>
      <c r="D774" s="11">
        <f t="shared" si="46"/>
        <v>193.24836600486015</v>
      </c>
      <c r="E774" s="11">
        <f t="shared" si="47"/>
        <v>707.00621709095162</v>
      </c>
      <c r="F774" s="11">
        <f>Speed_Calc!B$5*E774</f>
        <v>636.30559538185651</v>
      </c>
      <c r="G774" s="14">
        <f>Speed_Calc!G$3+Speed_Calc!G$5*A774^2</f>
        <v>41.840224399999997</v>
      </c>
      <c r="H774" s="7">
        <f>(F774-G774)/Speed_Calc!G$2*9.806</f>
        <v>4.3180203169245068</v>
      </c>
      <c r="I774" s="4">
        <f t="shared" si="48"/>
        <v>20.5</v>
      </c>
    </row>
    <row r="775" spans="1:9" x14ac:dyDescent="0.2">
      <c r="A775" s="11">
        <v>73.900000000000006</v>
      </c>
      <c r="B775" s="14">
        <v>3.133</v>
      </c>
      <c r="C775" s="11">
        <f t="shared" si="49"/>
        <v>9576.6964326490852</v>
      </c>
      <c r="D775" s="11">
        <f t="shared" si="46"/>
        <v>191.8101668777974</v>
      </c>
      <c r="E775" s="11">
        <f t="shared" si="47"/>
        <v>700.79492634648568</v>
      </c>
      <c r="F775" s="11">
        <f>Speed_Calc!B$5*E775</f>
        <v>630.71543371183714</v>
      </c>
      <c r="G775" s="14">
        <f>Speed_Calc!G$3+Speed_Calc!G$5*A775^2</f>
        <v>41.899452100000005</v>
      </c>
      <c r="H775" s="7">
        <f>(F775-G775)/Speed_Calc!G$2*9.806</f>
        <v>4.276984826433833</v>
      </c>
      <c r="I775" s="4">
        <f t="shared" si="48"/>
        <v>20.527777777777779</v>
      </c>
    </row>
    <row r="776" spans="1:9" x14ac:dyDescent="0.2">
      <c r="A776" s="11">
        <v>74</v>
      </c>
      <c r="B776" s="14">
        <v>3.133</v>
      </c>
      <c r="C776" s="11">
        <f t="shared" si="49"/>
        <v>9589.6554264686365</v>
      </c>
      <c r="D776" s="11">
        <f t="shared" si="46"/>
        <v>190.34888253505201</v>
      </c>
      <c r="E776" s="11">
        <f t="shared" si="47"/>
        <v>694.51619303329778</v>
      </c>
      <c r="F776" s="11">
        <f>Speed_Calc!B$5*E776</f>
        <v>625.06457372996806</v>
      </c>
      <c r="G776" s="14">
        <f>Speed_Calc!G$3+Speed_Calc!G$5*A776^2</f>
        <v>41.958759999999998</v>
      </c>
      <c r="H776" s="7">
        <f>(F776-G776)/Speed_Calc!G$2*9.806</f>
        <v>4.2355078588415305</v>
      </c>
      <c r="I776" s="4">
        <f t="shared" si="48"/>
        <v>20.555555555555554</v>
      </c>
    </row>
    <row r="777" spans="1:9" x14ac:dyDescent="0.2">
      <c r="A777" s="11">
        <v>74.099999999999994</v>
      </c>
      <c r="B777" s="14">
        <v>3.133</v>
      </c>
      <c r="C777" s="11">
        <f t="shared" si="49"/>
        <v>9602.614420288186</v>
      </c>
      <c r="D777" s="11">
        <f t="shared" si="46"/>
        <v>188.86432722866687</v>
      </c>
      <c r="E777" s="11">
        <f t="shared" si="47"/>
        <v>688.16961338380645</v>
      </c>
      <c r="F777" s="11">
        <f>Speed_Calc!B$5*E777</f>
        <v>619.35265204542577</v>
      </c>
      <c r="G777" s="14">
        <f>Speed_Calc!G$3+Speed_Calc!G$5*A777^2</f>
        <v>42.018148099999998</v>
      </c>
      <c r="H777" s="7">
        <f>(F777-G777)/Speed_Calc!G$2*9.806</f>
        <v>4.1935867745843289</v>
      </c>
      <c r="I777" s="4">
        <f t="shared" si="48"/>
        <v>20.583333333333332</v>
      </c>
    </row>
    <row r="778" spans="1:9" x14ac:dyDescent="0.2">
      <c r="A778" s="11">
        <v>74.2</v>
      </c>
      <c r="B778" s="14">
        <v>3.133</v>
      </c>
      <c r="C778" s="11">
        <f t="shared" si="49"/>
        <v>9615.5734141077392</v>
      </c>
      <c r="D778" s="11">
        <f t="shared" si="46"/>
        <v>187.35631430746238</v>
      </c>
      <c r="E778" s="11">
        <f t="shared" si="47"/>
        <v>681.7547825204158</v>
      </c>
      <c r="F778" s="11">
        <f>Speed_Calc!B$5*E778</f>
        <v>613.57930426837424</v>
      </c>
      <c r="G778" s="14">
        <f>Speed_Calc!G$3+Speed_Calc!G$5*A778^2</f>
        <v>42.077616399999997</v>
      </c>
      <c r="H778" s="7">
        <f>(F778-G778)/Speed_Calc!G$2*9.806</f>
        <v>4.1512189268424278</v>
      </c>
      <c r="I778" s="4">
        <f t="shared" si="48"/>
        <v>20.611111111111111</v>
      </c>
    </row>
    <row r="779" spans="1:9" x14ac:dyDescent="0.2">
      <c r="A779" s="11">
        <v>74.3</v>
      </c>
      <c r="B779" s="14">
        <v>3.133</v>
      </c>
      <c r="C779" s="11">
        <f t="shared" si="49"/>
        <v>9628.5324079272923</v>
      </c>
      <c r="D779" s="11">
        <f t="shared" si="46"/>
        <v>185.8246562149796</v>
      </c>
      <c r="E779" s="11">
        <f t="shared" si="47"/>
        <v>675.27129445551157</v>
      </c>
      <c r="F779" s="11">
        <f>Speed_Calc!B$5*E779</f>
        <v>607.7441650099604</v>
      </c>
      <c r="G779" s="14">
        <f>Speed_Calc!G$3+Speed_Calc!G$5*A779^2</f>
        <v>42.137164900000002</v>
      </c>
      <c r="H779" s="7">
        <f>(F779-G779)/Speed_Calc!G$2*9.806</f>
        <v>4.1084016615394603</v>
      </c>
      <c r="I779" s="4">
        <f t="shared" si="48"/>
        <v>20.638888888888889</v>
      </c>
    </row>
    <row r="780" spans="1:9" x14ac:dyDescent="0.2">
      <c r="A780" s="11">
        <v>74.400000000000006</v>
      </c>
      <c r="B780" s="14">
        <v>3.133</v>
      </c>
      <c r="C780" s="11">
        <f t="shared" si="49"/>
        <v>9641.4914017468454</v>
      </c>
      <c r="D780" s="11">
        <f t="shared" si="46"/>
        <v>184.2691644874358</v>
      </c>
      <c r="E780" s="11">
        <f t="shared" si="47"/>
        <v>668.71874209150076</v>
      </c>
      <c r="F780" s="11">
        <f>Speed_Calc!B$5*E780</f>
        <v>601.84686788235069</v>
      </c>
      <c r="G780" s="14">
        <f>Speed_Calc!G$3+Speed_Calc!G$5*A780^2</f>
        <v>42.196793599999999</v>
      </c>
      <c r="H780" s="7">
        <f>(F780-G780)/Speed_Calc!G$2*9.806</f>
        <v>4.0651323173427638</v>
      </c>
      <c r="I780" s="4">
        <f t="shared" si="48"/>
        <v>20.666666666666668</v>
      </c>
    </row>
    <row r="781" spans="1:9" x14ac:dyDescent="0.2">
      <c r="A781" s="11">
        <v>74.5</v>
      </c>
      <c r="B781" s="14">
        <v>3.133</v>
      </c>
      <c r="C781" s="11">
        <f t="shared" si="49"/>
        <v>9654.4503955663968</v>
      </c>
      <c r="D781" s="11">
        <f t="shared" si="46"/>
        <v>182.68964975165295</v>
      </c>
      <c r="E781" s="11">
        <f t="shared" si="47"/>
        <v>662.09671722075575</v>
      </c>
      <c r="F781" s="11">
        <f>Speed_Calc!B$5*E781</f>
        <v>595.88704549868021</v>
      </c>
      <c r="G781" s="14">
        <f>Speed_Calc!G$3+Speed_Calc!G$5*A781^2</f>
        <v>42.256502499999996</v>
      </c>
      <c r="H781" s="7">
        <f>(F781-G781)/Speed_Calc!G$2*9.806</f>
        <v>4.0214082256630057</v>
      </c>
      <c r="I781" s="4">
        <f t="shared" si="48"/>
        <v>20.694444444444443</v>
      </c>
    </row>
    <row r="782" spans="1:9" x14ac:dyDescent="0.2">
      <c r="A782" s="11">
        <v>74.599999999999994</v>
      </c>
      <c r="B782" s="14">
        <v>3.133</v>
      </c>
      <c r="C782" s="11">
        <f t="shared" si="49"/>
        <v>9667.4093893859499</v>
      </c>
      <c r="D782" s="11">
        <f t="shared" si="46"/>
        <v>181.08592172301152</v>
      </c>
      <c r="E782" s="11">
        <f t="shared" si="47"/>
        <v>655.40481052564496</v>
      </c>
      <c r="F782" s="11">
        <f>Speed_Calc!B$5*E782</f>
        <v>589.86432947308049</v>
      </c>
      <c r="G782" s="14">
        <f>Speed_Calc!G$3+Speed_Calc!G$5*A782^2</f>
        <v>42.316291599999992</v>
      </c>
      <c r="H782" s="7">
        <f>(F782-G782)/Speed_Calc!G$2*9.806</f>
        <v>3.9772267106543904</v>
      </c>
      <c r="I782" s="4">
        <f t="shared" si="48"/>
        <v>20.722222222222221</v>
      </c>
    </row>
    <row r="783" spans="1:9" x14ac:dyDescent="0.2">
      <c r="A783" s="11">
        <v>74.7</v>
      </c>
      <c r="B783" s="14">
        <v>3.133</v>
      </c>
      <c r="C783" s="11">
        <f t="shared" si="49"/>
        <v>9680.3683832055012</v>
      </c>
      <c r="D783" s="11">
        <f t="shared" si="46"/>
        <v>179.45778920339436</v>
      </c>
      <c r="E783" s="11">
        <f t="shared" si="47"/>
        <v>648.64261157853389</v>
      </c>
      <c r="F783" s="11">
        <f>Speed_Calc!B$5*E783</f>
        <v>583.77835042068057</v>
      </c>
      <c r="G783" s="14">
        <f>Speed_Calc!G$3+Speed_Calc!G$5*A783^2</f>
        <v>42.376160900000002</v>
      </c>
      <c r="H783" s="7">
        <f>(F783-G783)/Speed_Calc!G$2*9.806</f>
        <v>3.9325850892146619</v>
      </c>
      <c r="I783" s="4">
        <f t="shared" si="48"/>
        <v>20.75</v>
      </c>
    </row>
    <row r="784" spans="1:9" x14ac:dyDescent="0.2">
      <c r="A784" s="11">
        <v>74.8</v>
      </c>
      <c r="B784" s="14">
        <v>3.133</v>
      </c>
      <c r="C784" s="11">
        <f t="shared" si="49"/>
        <v>9693.3273770250507</v>
      </c>
      <c r="D784" s="11">
        <f t="shared" si="46"/>
        <v>177.80506007912743</v>
      </c>
      <c r="E784" s="11">
        <f t="shared" si="47"/>
        <v>641.8097088417702</v>
      </c>
      <c r="F784" s="11">
        <f>Speed_Calc!B$5*E784</f>
        <v>577.62873795759322</v>
      </c>
      <c r="G784" s="14">
        <f>Speed_Calc!G$3+Speed_Calc!G$5*A784^2</f>
        <v>42.436110399999997</v>
      </c>
      <c r="H784" s="7">
        <f>(F784-G784)/Speed_Calc!G$2*9.806</f>
        <v>3.8874806709850063</v>
      </c>
      <c r="I784" s="4">
        <f t="shared" si="48"/>
        <v>20.777777777777775</v>
      </c>
    </row>
    <row r="785" spans="1:9" x14ac:dyDescent="0.2">
      <c r="A785" s="11">
        <v>74.900000000000006</v>
      </c>
      <c r="B785" s="14">
        <v>3.133</v>
      </c>
      <c r="C785" s="11">
        <f t="shared" si="49"/>
        <v>9706.2863708446057</v>
      </c>
      <c r="D785" s="11">
        <f t="shared" si="46"/>
        <v>176.12754131892879</v>
      </c>
      <c r="E785" s="11">
        <f t="shared" si="47"/>
        <v>634.90568966770059</v>
      </c>
      <c r="F785" s="11">
        <f>Speed_Calc!B$5*E785</f>
        <v>571.41512070093052</v>
      </c>
      <c r="G785" s="14">
        <f>Speed_Calc!G$3+Speed_Calc!G$5*A785^2</f>
        <v>42.496140100000005</v>
      </c>
      <c r="H785" s="7">
        <f>(F785-G785)/Speed_Calc!G$2*9.806</f>
        <v>3.8419107583501657</v>
      </c>
      <c r="I785" s="4">
        <f t="shared" si="48"/>
        <v>20.805555555555557</v>
      </c>
    </row>
    <row r="786" spans="1:9" x14ac:dyDescent="0.2">
      <c r="A786" s="11">
        <v>75</v>
      </c>
      <c r="B786" s="14">
        <v>3.133</v>
      </c>
      <c r="C786" s="11">
        <f t="shared" si="49"/>
        <v>9719.2453646641588</v>
      </c>
      <c r="D786" s="11">
        <f t="shared" si="46"/>
        <v>174.42503897185162</v>
      </c>
      <c r="E786" s="11">
        <f t="shared" si="47"/>
        <v>627.93014029866561</v>
      </c>
      <c r="F786" s="11">
        <f>Speed_Calc!B$5*E786</f>
        <v>565.13712626879908</v>
      </c>
      <c r="G786" s="14">
        <f>Speed_Calc!G$3+Speed_Calc!G$5*A786^2</f>
        <v>42.556249999999999</v>
      </c>
      <c r="H786" s="7">
        <f>(F786-G786)/Speed_Calc!G$2*9.806</f>
        <v>3.7958726464384025</v>
      </c>
      <c r="I786" s="4">
        <f t="shared" si="48"/>
        <v>20.833333333333332</v>
      </c>
    </row>
    <row r="787" spans="1:9" x14ac:dyDescent="0.2">
      <c r="A787" s="11">
        <v>75.099999999999994</v>
      </c>
      <c r="B787" s="14">
        <v>3.133</v>
      </c>
      <c r="C787" s="11">
        <f t="shared" si="49"/>
        <v>9732.204358483712</v>
      </c>
      <c r="D787" s="11">
        <f t="shared" si="46"/>
        <v>172.69735816522464</v>
      </c>
      <c r="E787" s="11">
        <f t="shared" si="47"/>
        <v>620.88264586698608</v>
      </c>
      <c r="F787" s="11">
        <f>Speed_Calc!B$5*E787</f>
        <v>558.79438128028744</v>
      </c>
      <c r="G787" s="14">
        <f>Speed_Calc!G$3+Speed_Calc!G$5*A787^2</f>
        <v>42.616440099999991</v>
      </c>
      <c r="H787" s="7">
        <f>(F787-G787)/Speed_Calc!G$2*9.806</f>
        <v>3.7493636231214063</v>
      </c>
      <c r="I787" s="4">
        <f t="shared" si="48"/>
        <v>20.861111111111111</v>
      </c>
    </row>
    <row r="788" spans="1:9" x14ac:dyDescent="0.2">
      <c r="A788" s="11">
        <v>75.2</v>
      </c>
      <c r="B788" s="14">
        <v>3.133</v>
      </c>
      <c r="C788" s="11">
        <f t="shared" si="49"/>
        <v>9745.1633523032633</v>
      </c>
      <c r="D788" s="11">
        <f t="shared" si="46"/>
        <v>170.9443031026035</v>
      </c>
      <c r="E788" s="11">
        <f t="shared" si="47"/>
        <v>613.76279039498593</v>
      </c>
      <c r="F788" s="11">
        <f>Speed_Calc!B$5*E788</f>
        <v>552.3865113554873</v>
      </c>
      <c r="G788" s="14">
        <f>Speed_Calc!G$3+Speed_Calc!G$5*A788^2</f>
        <v>42.676710400000005</v>
      </c>
      <c r="H788" s="7">
        <f>(F788-G788)/Speed_Calc!G$2*9.806</f>
        <v>3.7023809690144507</v>
      </c>
      <c r="I788" s="4">
        <f t="shared" si="48"/>
        <v>20.888888888888889</v>
      </c>
    </row>
    <row r="789" spans="1:9" x14ac:dyDescent="0.2">
      <c r="A789" s="11">
        <v>75.3</v>
      </c>
      <c r="B789" s="14">
        <v>3.133</v>
      </c>
      <c r="C789" s="11">
        <f t="shared" si="49"/>
        <v>9758.122346122811</v>
      </c>
      <c r="D789" s="11">
        <f t="shared" si="46"/>
        <v>169.16567706171298</v>
      </c>
      <c r="E789" s="11">
        <f t="shared" si="47"/>
        <v>606.57015679498716</v>
      </c>
      <c r="F789" s="11">
        <f>Speed_Calc!B$5*E789</f>
        <v>545.91314111548843</v>
      </c>
      <c r="G789" s="14">
        <f>Speed_Calc!G$3+Speed_Calc!G$5*A789^2</f>
        <v>42.737060899999996</v>
      </c>
      <c r="H789" s="7">
        <f>(F789-G789)/Speed_Calc!G$2*9.806</f>
        <v>3.654921957476355</v>
      </c>
      <c r="I789" s="4">
        <f t="shared" si="48"/>
        <v>20.916666666666664</v>
      </c>
    </row>
    <row r="790" spans="1:9" x14ac:dyDescent="0.2">
      <c r="A790" s="11">
        <v>75.400000000000006</v>
      </c>
      <c r="B790" s="14">
        <v>3.133</v>
      </c>
      <c r="C790" s="11">
        <f t="shared" si="49"/>
        <v>9771.0813399423678</v>
      </c>
      <c r="D790" s="11">
        <f t="shared" si="46"/>
        <v>167.36128239237854</v>
      </c>
      <c r="E790" s="11">
        <f t="shared" si="47"/>
        <v>599.30432686925985</v>
      </c>
      <c r="F790" s="11">
        <f>Speed_Calc!B$5*E790</f>
        <v>539.37389418233386</v>
      </c>
      <c r="G790" s="14">
        <f>Speed_Calc!G$3+Speed_Calc!G$5*A790^2</f>
        <v>42.797491600000001</v>
      </c>
      <c r="H790" s="7">
        <f>(F790-G790)/Speed_Calc!G$2*9.806</f>
        <v>3.6069838546091595</v>
      </c>
      <c r="I790" s="4">
        <f t="shared" si="48"/>
        <v>20.944444444444446</v>
      </c>
    </row>
    <row r="791" spans="1:9" x14ac:dyDescent="0.2">
      <c r="A791" s="11">
        <v>75.5</v>
      </c>
      <c r="B791" s="14">
        <v>3.133</v>
      </c>
      <c r="C791" s="11">
        <f t="shared" si="49"/>
        <v>9784.0403337619191</v>
      </c>
      <c r="D791" s="11">
        <f t="shared" si="46"/>
        <v>165.53092051449687</v>
      </c>
      <c r="E791" s="11">
        <f t="shared" si="47"/>
        <v>591.9648813101212</v>
      </c>
      <c r="F791" s="11">
        <f>Speed_Calc!B$5*E791</f>
        <v>532.76839317910913</v>
      </c>
      <c r="G791" s="14">
        <f>Speed_Calc!G$3+Speed_Calc!G$5*A791^2</f>
        <v>42.858002499999998</v>
      </c>
      <c r="H791" s="7">
        <f>(F791-G791)/Speed_Calc!G$2*9.806</f>
        <v>3.558563919258773</v>
      </c>
      <c r="I791" s="4">
        <f t="shared" si="48"/>
        <v>20.972222222222221</v>
      </c>
    </row>
    <row r="792" spans="1:9" x14ac:dyDescent="0.2">
      <c r="A792" s="11">
        <v>75.599999999999994</v>
      </c>
      <c r="B792" s="14">
        <v>3.133</v>
      </c>
      <c r="C792" s="11">
        <f t="shared" si="49"/>
        <v>9796.9993275814722</v>
      </c>
      <c r="D792" s="11">
        <f t="shared" si="46"/>
        <v>163.6743919159577</v>
      </c>
      <c r="E792" s="11">
        <f t="shared" si="47"/>
        <v>584.55139969984884</v>
      </c>
      <c r="F792" s="11">
        <f>Speed_Calc!B$5*E792</f>
        <v>526.09625972986396</v>
      </c>
      <c r="G792" s="14">
        <f>Speed_Calc!G$3+Speed_Calc!G$5*A792^2</f>
        <v>42.918593599999994</v>
      </c>
      <c r="H792" s="7">
        <f>(F792-G792)/Speed_Calc!G$2*9.806</f>
        <v>3.5096594030144042</v>
      </c>
      <c r="I792" s="4">
        <f t="shared" si="48"/>
        <v>20.999999999999996</v>
      </c>
    </row>
    <row r="793" spans="1:9" x14ac:dyDescent="0.2">
      <c r="A793" s="11">
        <v>75.7</v>
      </c>
      <c r="B793" s="14">
        <v>3.133</v>
      </c>
      <c r="C793" s="11">
        <f t="shared" si="49"/>
        <v>9809.9583214010254</v>
      </c>
      <c r="D793" s="11">
        <f t="shared" si="46"/>
        <v>161.79149615059632</v>
      </c>
      <c r="E793" s="11">
        <f t="shared" si="47"/>
        <v>577.0634605107133</v>
      </c>
      <c r="F793" s="11">
        <f>Speed_Calc!B$5*E793</f>
        <v>519.35711445964193</v>
      </c>
      <c r="G793" s="14">
        <f>Speed_Calc!G$3+Speed_Calc!G$5*A793^2</f>
        <v>42.979264900000004</v>
      </c>
      <c r="H793" s="7">
        <f>(F793-G793)/Speed_Calc!G$2*9.806</f>
        <v>3.4602675502087767</v>
      </c>
      <c r="I793" s="4">
        <f t="shared" si="48"/>
        <v>21.027777777777779</v>
      </c>
    </row>
    <row r="794" spans="1:9" x14ac:dyDescent="0.2">
      <c r="A794" s="11">
        <v>75.8</v>
      </c>
      <c r="B794" s="14">
        <v>3.133</v>
      </c>
      <c r="C794" s="11">
        <f t="shared" si="49"/>
        <v>9822.9173152205767</v>
      </c>
      <c r="D794" s="11">
        <f t="shared" si="46"/>
        <v>159.88203183614181</v>
      </c>
      <c r="E794" s="11">
        <f t="shared" si="47"/>
        <v>569.50064110499056</v>
      </c>
      <c r="F794" s="11">
        <f>Speed_Calc!B$5*E794</f>
        <v>512.55057699449151</v>
      </c>
      <c r="G794" s="14">
        <f>Speed_Calc!G$3+Speed_Calc!G$5*A794^2</f>
        <v>43.040016399999999</v>
      </c>
      <c r="H794" s="7">
        <f>(F794-G794)/Speed_Calc!G$2*9.806</f>
        <v>3.4103855979182094</v>
      </c>
      <c r="I794" s="4">
        <f t="shared" si="48"/>
        <v>21.055555555555554</v>
      </c>
    </row>
    <row r="795" spans="1:9" x14ac:dyDescent="0.2">
      <c r="A795" s="11">
        <v>75.900000000000006</v>
      </c>
      <c r="B795" s="14">
        <v>3.133</v>
      </c>
      <c r="C795" s="11">
        <f t="shared" si="49"/>
        <v>9835.876309040128</v>
      </c>
      <c r="D795" s="11">
        <f t="shared" si="46"/>
        <v>157.94579665215474</v>
      </c>
      <c r="E795" s="11">
        <f t="shared" si="47"/>
        <v>561.86251773493768</v>
      </c>
      <c r="F795" s="11">
        <f>Speed_Calc!B$5*E795</f>
        <v>505.6762659614439</v>
      </c>
      <c r="G795" s="14">
        <f>Speed_Calc!G$3+Speed_Calc!G$5*A795^2</f>
        <v>43.100848100000007</v>
      </c>
      <c r="H795" s="7">
        <f>(F795-G795)/Speed_Calc!G$2*9.806</f>
        <v>3.3600107759624582</v>
      </c>
      <c r="I795" s="4">
        <f t="shared" si="48"/>
        <v>21.083333333333336</v>
      </c>
    </row>
    <row r="796" spans="1:9" x14ac:dyDescent="0.2">
      <c r="A796" s="11">
        <v>76</v>
      </c>
      <c r="B796" s="14">
        <v>3.133</v>
      </c>
      <c r="C796" s="11">
        <f t="shared" si="49"/>
        <v>9848.8353028596794</v>
      </c>
      <c r="D796" s="11">
        <f t="shared" si="46"/>
        <v>155.98258733797132</v>
      </c>
      <c r="E796" s="11">
        <f t="shared" si="47"/>
        <v>554.14866554279274</v>
      </c>
      <c r="F796" s="11">
        <f>Speed_Calc!B$5*E796</f>
        <v>498.73379898851346</v>
      </c>
      <c r="G796" s="14">
        <f>Speed_Calc!G$3+Speed_Calc!G$5*A796^2</f>
        <v>43.161760000000001</v>
      </c>
      <c r="H796" s="7">
        <f>(F796-G796)/Speed_Calc!G$2*9.806</f>
        <v>3.3091403069047129</v>
      </c>
      <c r="I796" s="4">
        <f t="shared" si="48"/>
        <v>21.111111111111111</v>
      </c>
    </row>
    <row r="797" spans="1:9" x14ac:dyDescent="0.2">
      <c r="A797" s="11">
        <v>76.099999999999994</v>
      </c>
      <c r="B797" s="14">
        <v>3.133</v>
      </c>
      <c r="C797" s="11">
        <f t="shared" si="49"/>
        <v>9861.7942966792307</v>
      </c>
      <c r="D797" s="11">
        <f t="shared" si="46"/>
        <v>153.99219969065911</v>
      </c>
      <c r="E797" s="11">
        <f t="shared" si="47"/>
        <v>546.35865856081421</v>
      </c>
      <c r="F797" s="11">
        <f>Speed_Calc!B$5*E797</f>
        <v>491.7227927047328</v>
      </c>
      <c r="G797" s="14">
        <f>Speed_Calc!G$3+Speed_Calc!G$5*A797^2</f>
        <v>43.222752099999994</v>
      </c>
      <c r="H797" s="7">
        <f>(F797-G797)/Speed_Calc!G$2*9.806</f>
        <v>3.2577714060518588</v>
      </c>
      <c r="I797" s="4">
        <f t="shared" si="48"/>
        <v>21.138888888888886</v>
      </c>
    </row>
    <row r="798" spans="1:9" x14ac:dyDescent="0.2">
      <c r="A798" s="11">
        <v>76.2</v>
      </c>
      <c r="B798" s="14">
        <v>3.133</v>
      </c>
      <c r="C798" s="11">
        <f t="shared" si="49"/>
        <v>9874.7532904987875</v>
      </c>
      <c r="D798" s="11">
        <f t="shared" si="46"/>
        <v>151.9744285629435</v>
      </c>
      <c r="E798" s="11">
        <f t="shared" si="47"/>
        <v>538.49206971121703</v>
      </c>
      <c r="F798" s="11">
        <f>Speed_Calc!B$5*E798</f>
        <v>484.64286274009532</v>
      </c>
      <c r="G798" s="14">
        <f>Speed_Calc!G$3+Speed_Calc!G$5*A798^2</f>
        <v>43.2838244</v>
      </c>
      <c r="H798" s="7">
        <f>(F798-G798)/Speed_Calc!G$2*9.806</f>
        <v>3.2059012814540551</v>
      </c>
      <c r="I798" s="4">
        <f t="shared" si="48"/>
        <v>21.166666666666668</v>
      </c>
    </row>
    <row r="799" spans="1:9" x14ac:dyDescent="0.2">
      <c r="A799" s="11">
        <v>76.3</v>
      </c>
      <c r="B799" s="14">
        <v>3.133</v>
      </c>
      <c r="C799" s="11">
        <f t="shared" si="49"/>
        <v>9887.712284318337</v>
      </c>
      <c r="D799" s="11">
        <f t="shared" si="46"/>
        <v>149.92906786116794</v>
      </c>
      <c r="E799" s="11">
        <f t="shared" si="47"/>
        <v>530.54847080622983</v>
      </c>
      <c r="F799" s="11">
        <f>Speed_Calc!B$5*E799</f>
        <v>477.49362372560688</v>
      </c>
      <c r="G799" s="14">
        <f>Speed_Calc!G$3+Speed_Calc!G$5*A799^2</f>
        <v>43.344976899999992</v>
      </c>
      <c r="H799" s="7">
        <f>(F799-G799)/Speed_Calc!G$2*9.806</f>
        <v>3.1535271339051114</v>
      </c>
      <c r="I799" s="4">
        <f t="shared" si="48"/>
        <v>21.194444444444443</v>
      </c>
    </row>
    <row r="800" spans="1:9" x14ac:dyDescent="0.2">
      <c r="A800" s="11">
        <v>76.400000000000006</v>
      </c>
      <c r="B800" s="14">
        <v>3.133</v>
      </c>
      <c r="C800" s="11">
        <f t="shared" si="49"/>
        <v>9900.6712781378919</v>
      </c>
      <c r="D800" s="11">
        <f t="shared" si="46"/>
        <v>147.85591054323308</v>
      </c>
      <c r="E800" s="11">
        <f t="shared" si="47"/>
        <v>522.52743254807501</v>
      </c>
      <c r="F800" s="11">
        <f>Speed_Calc!B$5*E800</f>
        <v>470.2746892932675</v>
      </c>
      <c r="G800" s="14">
        <f>Speed_Calc!G$3+Speed_Calc!G$5*A800^2</f>
        <v>43.406209599999997</v>
      </c>
      <c r="H800" s="7">
        <f>(F800-G800)/Speed_Calc!G$2*9.806</f>
        <v>3.1006461569423558</v>
      </c>
      <c r="I800" s="4">
        <f t="shared" si="48"/>
        <v>21.222222222222225</v>
      </c>
    </row>
    <row r="801" spans="1:9" x14ac:dyDescent="0.2">
      <c r="A801" s="11">
        <v>76.5</v>
      </c>
      <c r="B801" s="14">
        <v>3.133</v>
      </c>
      <c r="C801" s="11">
        <f t="shared" si="49"/>
        <v>9913.6302719574396</v>
      </c>
      <c r="D801" s="11">
        <f t="shared" si="46"/>
        <v>145.75474861653609</v>
      </c>
      <c r="E801" s="11">
        <f t="shared" si="47"/>
        <v>514.42852452895113</v>
      </c>
      <c r="F801" s="11">
        <f>Speed_Calc!B$5*E801</f>
        <v>462.98567207605601</v>
      </c>
      <c r="G801" s="14">
        <f>Speed_Calc!G$3+Speed_Calc!G$5*A801^2</f>
        <v>43.467522500000001</v>
      </c>
      <c r="H801" s="7">
        <f>(F801-G801)/Speed_Calc!G$2*9.806</f>
        <v>3.0472555368465222</v>
      </c>
      <c r="I801" s="4">
        <f t="shared" si="48"/>
        <v>21.25</v>
      </c>
    </row>
    <row r="802" spans="1:9" x14ac:dyDescent="0.2">
      <c r="A802" s="11">
        <v>76.599999999999994</v>
      </c>
      <c r="B802" s="14">
        <v>3.133</v>
      </c>
      <c r="C802" s="11">
        <f t="shared" si="49"/>
        <v>9926.5892657769909</v>
      </c>
      <c r="D802" s="11">
        <f t="shared" si="46"/>
        <v>143.62537313592134</v>
      </c>
      <c r="E802" s="11">
        <f t="shared" si="47"/>
        <v>506.25131523105449</v>
      </c>
      <c r="F802" s="11">
        <f>Speed_Calc!B$5*E802</f>
        <v>455.62618370794905</v>
      </c>
      <c r="G802" s="14">
        <f>Speed_Calc!G$3+Speed_Calc!G$5*A802^2</f>
        <v>43.528915599999998</v>
      </c>
      <c r="H802" s="7">
        <f>(F802-G802)/Speed_Calc!G$2*9.806</f>
        <v>2.9933524526418873</v>
      </c>
      <c r="I802" s="4">
        <f t="shared" si="48"/>
        <v>21.277777777777775</v>
      </c>
    </row>
    <row r="803" spans="1:9" x14ac:dyDescent="0.2">
      <c r="A803" s="11">
        <v>76.7</v>
      </c>
      <c r="B803" s="14">
        <v>3.133</v>
      </c>
      <c r="C803" s="11">
        <f t="shared" si="49"/>
        <v>9939.5482595965459</v>
      </c>
      <c r="D803" s="11">
        <f t="shared" si="46"/>
        <v>141.46757420162223</v>
      </c>
      <c r="E803" s="11">
        <f t="shared" si="47"/>
        <v>497.99537202657115</v>
      </c>
      <c r="F803" s="11">
        <f>Speed_Calc!B$5*E803</f>
        <v>448.19583482391403</v>
      </c>
      <c r="G803" s="14">
        <f>Speed_Calc!G$3+Speed_Calc!G$5*A803^2</f>
        <v>43.590388900000001</v>
      </c>
      <c r="H803" s="7">
        <f>(F803-G803)/Speed_Calc!G$2*9.806</f>
        <v>2.9389340760962224</v>
      </c>
      <c r="I803" s="4">
        <f t="shared" si="48"/>
        <v>21.305555555555557</v>
      </c>
    </row>
    <row r="804" spans="1:9" x14ac:dyDescent="0.2">
      <c r="A804" s="11">
        <v>76.8</v>
      </c>
      <c r="B804" s="14">
        <v>3.133</v>
      </c>
      <c r="C804" s="11">
        <f t="shared" si="49"/>
        <v>9952.5072534160972</v>
      </c>
      <c r="D804" s="11">
        <f t="shared" si="46"/>
        <v>139.28114095720952</v>
      </c>
      <c r="E804" s="11">
        <f t="shared" si="47"/>
        <v>489.66026117768979</v>
      </c>
      <c r="F804" s="11">
        <f>Speed_Calc!B$5*E804</f>
        <v>440.6942350599208</v>
      </c>
      <c r="G804" s="14">
        <f>Speed_Calc!G$3+Speed_Calc!G$5*A804^2</f>
        <v>43.651942399999996</v>
      </c>
      <c r="H804" s="7">
        <f>(F804-G804)/Speed_Calc!G$2*9.806</f>
        <v>2.8839975717208763</v>
      </c>
      <c r="I804" s="4">
        <f t="shared" si="48"/>
        <v>21.333333333333332</v>
      </c>
    </row>
    <row r="805" spans="1:9" x14ac:dyDescent="0.2">
      <c r="A805" s="11">
        <v>76.900000000000006</v>
      </c>
      <c r="B805" s="14">
        <v>3.133</v>
      </c>
      <c r="C805" s="11">
        <f t="shared" si="49"/>
        <v>9965.4662472356522</v>
      </c>
      <c r="D805" s="11">
        <f t="shared" ref="D805:D868" si="50">-4.687*10^(-17)*C805^5+9.129*10^(-13)*C805^4-6.175*10^(-9)*C805^3+1.799*10^(-5)*C805^2+6.502*10^(-3)*C805</f>
        <v>137.06586158753106</v>
      </c>
      <c r="E805" s="11">
        <f t="shared" si="47"/>
        <v>481.24554783658493</v>
      </c>
      <c r="F805" s="11">
        <f>Speed_Calc!B$5*E805</f>
        <v>433.12099305292645</v>
      </c>
      <c r="G805" s="14">
        <f>Speed_Calc!G$3+Speed_Calc!G$5*A805^2</f>
        <v>43.713576099999997</v>
      </c>
      <c r="H805" s="7">
        <f>(F805-G805)/Speed_Calc!G$2*9.806</f>
        <v>2.8285400967706638</v>
      </c>
      <c r="I805" s="4">
        <f t="shared" si="48"/>
        <v>21.361111111111111</v>
      </c>
    </row>
    <row r="806" spans="1:9" x14ac:dyDescent="0.2">
      <c r="A806" s="11">
        <v>77</v>
      </c>
      <c r="B806" s="14">
        <v>3.133</v>
      </c>
      <c r="C806" s="11">
        <f t="shared" si="49"/>
        <v>9978.4252410552035</v>
      </c>
      <c r="D806" s="11">
        <f t="shared" si="50"/>
        <v>134.82152331665259</v>
      </c>
      <c r="E806" s="11">
        <f t="shared" ref="E806:E869" si="51">D806*75*B806*B$31*B$32/B$23/C806/2/PI()*60</f>
        <v>472.75079604540508</v>
      </c>
      <c r="F806" s="11">
        <f>Speed_Calc!B$5*E806</f>
        <v>425.47571644086457</v>
      </c>
      <c r="G806" s="14">
        <f>Speed_Calc!G$3+Speed_Calc!G$5*A806^2</f>
        <v>43.775289999999998</v>
      </c>
      <c r="H806" s="7">
        <f>(F806-G806)/Speed_Calc!G$2*9.806</f>
        <v>2.7725588012437909</v>
      </c>
      <c r="I806" s="4">
        <f t="shared" ref="I806:I869" si="52">A806/3.6</f>
        <v>21.388888888888889</v>
      </c>
    </row>
    <row r="807" spans="1:9" x14ac:dyDescent="0.2">
      <c r="A807" s="11">
        <v>77.099999999999994</v>
      </c>
      <c r="B807" s="14">
        <v>3.133</v>
      </c>
      <c r="C807" s="11">
        <f t="shared" si="49"/>
        <v>9991.384234874753</v>
      </c>
      <c r="D807" s="11">
        <f t="shared" si="50"/>
        <v>132.54791240581454</v>
      </c>
      <c r="E807" s="11">
        <f t="shared" si="51"/>
        <v>464.1755687363156</v>
      </c>
      <c r="F807" s="11">
        <f>Speed_Calc!B$5*E807</f>
        <v>417.75801186268404</v>
      </c>
      <c r="G807" s="14">
        <f>Speed_Calc!G$3+Speed_Calc!G$5*A807^2</f>
        <v>43.837084099999998</v>
      </c>
      <c r="H807" s="7">
        <f>(F807-G807)/Speed_Calc!G$2*9.806</f>
        <v>2.7160508278821331</v>
      </c>
      <c r="I807" s="4">
        <f t="shared" si="52"/>
        <v>21.416666666666664</v>
      </c>
    </row>
    <row r="808" spans="1:9" x14ac:dyDescent="0.2">
      <c r="A808" s="11">
        <v>77.2</v>
      </c>
      <c r="B808" s="14">
        <v>3.133</v>
      </c>
      <c r="C808" s="11">
        <f t="shared" si="49"/>
        <v>10004.343228694306</v>
      </c>
      <c r="D808" s="11">
        <f t="shared" si="50"/>
        <v>130.24481415136353</v>
      </c>
      <c r="E808" s="11">
        <f t="shared" si="51"/>
        <v>455.51942773145282</v>
      </c>
      <c r="F808" s="11">
        <f>Speed_Calc!B$5*E808</f>
        <v>409.96748495830752</v>
      </c>
      <c r="G808" s="14">
        <f>Speed_Calc!G$3+Speed_Calc!G$5*A808^2</f>
        <v>43.898958399999998</v>
      </c>
      <c r="H808" s="7">
        <f>(F808-G808)/Speed_Calc!G$2*9.806</f>
        <v>2.6590133121709361</v>
      </c>
      <c r="I808" s="4">
        <f t="shared" si="52"/>
        <v>21.444444444444446</v>
      </c>
    </row>
    <row r="809" spans="1:9" x14ac:dyDescent="0.2">
      <c r="A809" s="11">
        <v>77.3</v>
      </c>
      <c r="B809" s="14">
        <v>3.133</v>
      </c>
      <c r="C809" s="11">
        <f t="shared" si="49"/>
        <v>10017.302222513859</v>
      </c>
      <c r="D809" s="11">
        <f t="shared" si="50"/>
        <v>127.91201288270715</v>
      </c>
      <c r="E809" s="11">
        <f t="shared" si="51"/>
        <v>446.78193374296154</v>
      </c>
      <c r="F809" s="11">
        <f>Speed_Calc!B$5*E809</f>
        <v>402.1037403686654</v>
      </c>
      <c r="G809" s="14">
        <f>Speed_Calc!G$3+Speed_Calc!G$5*A809^2</f>
        <v>43.960912899999997</v>
      </c>
      <c r="H809" s="7">
        <f>(F809-G809)/Speed_Calc!G$2*9.806</f>
        <v>2.601443382339061</v>
      </c>
      <c r="I809" s="4">
        <f t="shared" si="52"/>
        <v>21.472222222222221</v>
      </c>
    </row>
    <row r="810" spans="1:9" x14ac:dyDescent="0.2">
      <c r="A810" s="11">
        <v>77.400000000000006</v>
      </c>
      <c r="B810" s="14">
        <v>3.133</v>
      </c>
      <c r="C810" s="11">
        <f t="shared" si="49"/>
        <v>10030.261216333412</v>
      </c>
      <c r="D810" s="11">
        <f t="shared" si="50"/>
        <v>125.54929196025044</v>
      </c>
      <c r="E810" s="11">
        <f t="shared" si="51"/>
        <v>437.96264637296662</v>
      </c>
      <c r="F810" s="11">
        <f>Speed_Calc!B$5*E810</f>
        <v>394.16638173566997</v>
      </c>
      <c r="G810" s="14">
        <f>Speed_Calc!G$3+Speed_Calc!G$5*A810^2</f>
        <v>44.022947600000002</v>
      </c>
      <c r="H810" s="7">
        <f>(F810-G810)/Speed_Calc!G$2*9.806</f>
        <v>2.5433381593587994</v>
      </c>
      <c r="I810" s="4">
        <f t="shared" si="52"/>
        <v>21.5</v>
      </c>
    </row>
    <row r="811" spans="1:9" x14ac:dyDescent="0.2">
      <c r="A811" s="11">
        <v>77.5</v>
      </c>
      <c r="B811" s="14">
        <v>3.133</v>
      </c>
      <c r="C811" s="11">
        <f t="shared" ref="C811:C874" si="53">A811/3.6/B$23/2/PI()*B$32*B$31*B811*60</f>
        <v>10043.220210152966</v>
      </c>
      <c r="D811" s="11">
        <f t="shared" si="50"/>
        <v>123.15643377334182</v>
      </c>
      <c r="E811" s="11">
        <f t="shared" si="51"/>
        <v>429.06112411357788</v>
      </c>
      <c r="F811" s="11">
        <f>Speed_Calc!B$5*E811</f>
        <v>386.15501170222012</v>
      </c>
      <c r="G811" s="14">
        <f>Speed_Calc!G$3+Speed_Calc!G$5*A811^2</f>
        <v>44.085062499999999</v>
      </c>
      <c r="H811" s="7">
        <f>(F811-G811)/Speed_Calc!G$2*9.806</f>
        <v>2.4846947569459039</v>
      </c>
      <c r="I811" s="4">
        <f t="shared" si="52"/>
        <v>21.527777777777779</v>
      </c>
    </row>
    <row r="812" spans="1:9" x14ac:dyDescent="0.2">
      <c r="A812" s="11">
        <v>77.599999999999994</v>
      </c>
      <c r="B812" s="14">
        <v>3.133</v>
      </c>
      <c r="C812" s="11">
        <f t="shared" si="53"/>
        <v>10056.179203972515</v>
      </c>
      <c r="D812" s="11">
        <f t="shared" si="50"/>
        <v>120.73321973822763</v>
      </c>
      <c r="E812" s="11">
        <f t="shared" si="51"/>
        <v>420.07692434692609</v>
      </c>
      <c r="F812" s="11">
        <f>Speed_Calc!B$5*E812</f>
        <v>378.06923191223348</v>
      </c>
      <c r="G812" s="14">
        <f>Speed_Calc!G$3+Speed_Calc!G$5*A812^2</f>
        <v>44.147257599999996</v>
      </c>
      <c r="H812" s="7">
        <f>(F812-G812)/Speed_Calc!G$2*9.806</f>
        <v>2.4255102815598235</v>
      </c>
      <c r="I812" s="4">
        <f t="shared" si="52"/>
        <v>21.555555555555554</v>
      </c>
    </row>
    <row r="813" spans="1:9" x14ac:dyDescent="0.2">
      <c r="A813" s="11">
        <v>77.7</v>
      </c>
      <c r="B813" s="14">
        <v>3.133</v>
      </c>
      <c r="C813" s="11">
        <f t="shared" si="53"/>
        <v>10069.138197792065</v>
      </c>
      <c r="D813" s="11">
        <f t="shared" si="50"/>
        <v>118.27943029598063</v>
      </c>
      <c r="E813" s="11">
        <f t="shared" si="51"/>
        <v>411.00960334510654</v>
      </c>
      <c r="F813" s="11">
        <f>Speed_Calc!B$5*E813</f>
        <v>369.90864301059588</v>
      </c>
      <c r="G813" s="14">
        <f>Speed_Calc!G$3+Speed_Calc!G$5*A813^2</f>
        <v>44.209532899999999</v>
      </c>
      <c r="H813" s="7">
        <f>(F813-G813)/Speed_Calc!G$2*9.806</f>
        <v>2.3657818324033357</v>
      </c>
      <c r="I813" s="4">
        <f t="shared" si="52"/>
        <v>21.583333333333332</v>
      </c>
    </row>
    <row r="814" spans="1:9" x14ac:dyDescent="0.2">
      <c r="A814" s="11">
        <v>77.8</v>
      </c>
      <c r="B814" s="14">
        <v>3.133</v>
      </c>
      <c r="C814" s="11">
        <f t="shared" si="53"/>
        <v>10082.09719161162</v>
      </c>
      <c r="D814" s="11">
        <f t="shared" si="50"/>
        <v>115.79484491044589</v>
      </c>
      <c r="E814" s="11">
        <f t="shared" si="51"/>
        <v>401.85871627018503</v>
      </c>
      <c r="F814" s="11">
        <f>Speed_Calc!B$5*E814</f>
        <v>361.67284464316651</v>
      </c>
      <c r="G814" s="14">
        <f>Speed_Calc!G$3+Speed_Calc!G$5*A814^2</f>
        <v>44.271888399999995</v>
      </c>
      <c r="H814" s="7">
        <f>(F814-G814)/Speed_Calc!G$2*9.806</f>
        <v>2.305506501422586</v>
      </c>
      <c r="I814" s="4">
        <f t="shared" si="52"/>
        <v>21.611111111111111</v>
      </c>
    </row>
    <row r="815" spans="1:9" x14ac:dyDescent="0.2">
      <c r="A815" s="11">
        <v>77.900000000000006</v>
      </c>
      <c r="B815" s="14">
        <v>3.133</v>
      </c>
      <c r="C815" s="11">
        <f t="shared" si="53"/>
        <v>10095.056185431175</v>
      </c>
      <c r="D815" s="11">
        <f t="shared" si="50"/>
        <v>113.27924206620952</v>
      </c>
      <c r="E815" s="11">
        <f t="shared" si="51"/>
        <v>392.62381717428195</v>
      </c>
      <c r="F815" s="11">
        <f>Speed_Calc!B$5*E815</f>
        <v>353.36143545685377</v>
      </c>
      <c r="G815" s="14">
        <f>Speed_Calc!G$3+Speed_Calc!G$5*A815^2</f>
        <v>44.334324100000003</v>
      </c>
      <c r="H815" s="7">
        <f>(F815-G815)/Speed_Calc!G$2*9.806</f>
        <v>2.2446813733076354</v>
      </c>
      <c r="I815" s="4">
        <f t="shared" si="52"/>
        <v>21.638888888888889</v>
      </c>
    </row>
    <row r="816" spans="1:9" x14ac:dyDescent="0.2">
      <c r="A816" s="11">
        <v>78</v>
      </c>
      <c r="B816" s="14">
        <v>3.133</v>
      </c>
      <c r="C816" s="11">
        <f t="shared" si="53"/>
        <v>10108.015179250726</v>
      </c>
      <c r="D816" s="11">
        <f t="shared" si="50"/>
        <v>110.73239926651107</v>
      </c>
      <c r="E816" s="11">
        <f t="shared" si="51"/>
        <v>383.3044589994613</v>
      </c>
      <c r="F816" s="11">
        <f>Speed_Calc!B$5*E816</f>
        <v>344.97401309951516</v>
      </c>
      <c r="G816" s="14">
        <f>Speed_Calc!G$3+Speed_Calc!G$5*A816^2</f>
        <v>44.396839999999997</v>
      </c>
      <c r="H816" s="7">
        <f>(F816-G816)/Speed_Calc!G$2*9.806</f>
        <v>2.1833035254917372</v>
      </c>
      <c r="I816" s="4">
        <f t="shared" si="52"/>
        <v>21.666666666666668</v>
      </c>
    </row>
    <row r="817" spans="1:9" x14ac:dyDescent="0.2">
      <c r="A817" s="11">
        <v>78.099999999999994</v>
      </c>
      <c r="B817" s="14">
        <v>3.133</v>
      </c>
      <c r="C817" s="11">
        <f t="shared" si="53"/>
        <v>10120.974173070275</v>
      </c>
      <c r="D817" s="11">
        <f t="shared" si="50"/>
        <v>108.15409303120416</v>
      </c>
      <c r="E817" s="11">
        <f t="shared" si="51"/>
        <v>373.90019357778647</v>
      </c>
      <c r="F817" s="11">
        <f>Speed_Calc!B$5*E817</f>
        <v>336.51017422000785</v>
      </c>
      <c r="G817" s="14">
        <f>Speed_Calc!G$3+Speed_Calc!G$5*A817^2</f>
        <v>44.459436099999991</v>
      </c>
      <c r="H817" s="7">
        <f>(F817-G817)/Speed_Calc!G$2*9.806</f>
        <v>2.1213700281517012</v>
      </c>
      <c r="I817" s="4">
        <f t="shared" si="52"/>
        <v>21.694444444444443</v>
      </c>
    </row>
    <row r="818" spans="1:9" x14ac:dyDescent="0.2">
      <c r="A818" s="11">
        <v>78.2</v>
      </c>
      <c r="B818" s="14">
        <v>3.133</v>
      </c>
      <c r="C818" s="11">
        <f t="shared" si="53"/>
        <v>10133.93316688983</v>
      </c>
      <c r="D818" s="11">
        <f t="shared" si="50"/>
        <v>105.54409889469999</v>
      </c>
      <c r="E818" s="11">
        <f t="shared" si="51"/>
        <v>364.41057163131705</v>
      </c>
      <c r="F818" s="11">
        <f>Speed_Calc!B$5*E818</f>
        <v>327.96951446818537</v>
      </c>
      <c r="G818" s="14">
        <f>Speed_Calc!G$3+Speed_Calc!G$5*A818^2</f>
        <v>44.522112399999997</v>
      </c>
      <c r="H818" s="7">
        <f>(F818-G818)/Speed_Calc!G$2*9.806</f>
        <v>2.0588779442078708</v>
      </c>
      <c r="I818" s="4">
        <f t="shared" si="52"/>
        <v>21.722222222222221</v>
      </c>
    </row>
    <row r="819" spans="1:9" x14ac:dyDescent="0.2">
      <c r="A819" s="11">
        <v>78.3</v>
      </c>
      <c r="B819" s="14">
        <v>3.133</v>
      </c>
      <c r="C819" s="11">
        <f t="shared" si="53"/>
        <v>10146.89216070938</v>
      </c>
      <c r="D819" s="11">
        <f t="shared" si="50"/>
        <v>102.90219140391096</v>
      </c>
      <c r="E819" s="11">
        <f t="shared" si="51"/>
        <v>354.83514277210679</v>
      </c>
      <c r="F819" s="11">
        <f>Speed_Calc!B$5*E819</f>
        <v>319.35162849489615</v>
      </c>
      <c r="G819" s="14">
        <f>Speed_Calc!G$3+Speed_Calc!G$5*A819^2</f>
        <v>44.584868899999996</v>
      </c>
      <c r="H819" s="7">
        <f>(F819-G819)/Speed_Calc!G$2*9.806</f>
        <v>1.995824329324112</v>
      </c>
      <c r="I819" s="4">
        <f t="shared" si="52"/>
        <v>21.75</v>
      </c>
    </row>
    <row r="820" spans="1:9" x14ac:dyDescent="0.2">
      <c r="A820" s="11">
        <v>78.400000000000006</v>
      </c>
      <c r="B820" s="14">
        <v>3.133</v>
      </c>
      <c r="C820" s="11">
        <f t="shared" si="53"/>
        <v>10159.851154528933</v>
      </c>
      <c r="D820" s="11">
        <f t="shared" si="50"/>
        <v>100.22814411619163</v>
      </c>
      <c r="E820" s="11">
        <f t="shared" si="51"/>
        <v>345.17345550219056</v>
      </c>
      <c r="F820" s="11">
        <f>Speed_Calc!B$5*E820</f>
        <v>310.65610995197153</v>
      </c>
      <c r="G820" s="14">
        <f>Speed_Calc!G$3+Speed_Calc!G$5*A820^2</f>
        <v>44.647705600000002</v>
      </c>
      <c r="H820" s="7">
        <f>(F820-G820)/Speed_Calc!G$2*9.806</f>
        <v>1.9322062319077278</v>
      </c>
      <c r="I820" s="4">
        <f t="shared" si="52"/>
        <v>21.777777777777779</v>
      </c>
    </row>
    <row r="821" spans="1:9" x14ac:dyDescent="0.2">
      <c r="A821" s="11">
        <v>78.5</v>
      </c>
      <c r="B821" s="14">
        <v>3.133</v>
      </c>
      <c r="C821" s="11">
        <f t="shared" si="53"/>
        <v>10172.810148348486</v>
      </c>
      <c r="D821" s="11">
        <f t="shared" si="50"/>
        <v>97.521729597289408</v>
      </c>
      <c r="E821" s="11">
        <f t="shared" si="51"/>
        <v>335.42505721360681</v>
      </c>
      <c r="F821" s="11">
        <f>Speed_Calc!B$5*E821</f>
        <v>301.88255149224614</v>
      </c>
      <c r="G821" s="14">
        <f>Speed_Calc!G$3+Speed_Calc!G$5*A821^2</f>
        <v>44.710622499999999</v>
      </c>
      <c r="H821" s="7">
        <f>(F821-G821)/Speed_Calc!G$2*9.806</f>
        <v>1.8680206931096039</v>
      </c>
      <c r="I821" s="4">
        <f t="shared" si="52"/>
        <v>21.805555555555554</v>
      </c>
    </row>
    <row r="822" spans="1:9" x14ac:dyDescent="0.2">
      <c r="A822" s="11">
        <v>78.599999999999994</v>
      </c>
      <c r="B822" s="14">
        <v>3.133</v>
      </c>
      <c r="C822" s="11">
        <f t="shared" si="53"/>
        <v>10185.769142168037</v>
      </c>
      <c r="D822" s="11">
        <f t="shared" si="50"/>
        <v>94.782719419282387</v>
      </c>
      <c r="E822" s="11">
        <f t="shared" si="51"/>
        <v>325.58949418837466</v>
      </c>
      <c r="F822" s="11">
        <f>Speed_Calc!B$5*E822</f>
        <v>293.03054476953719</v>
      </c>
      <c r="G822" s="14">
        <f>Speed_Calc!G$3+Speed_Calc!G$5*A822^2</f>
        <v>44.773619599999989</v>
      </c>
      <c r="H822" s="7">
        <f>(F822-G822)/Speed_Calc!G$2*9.806</f>
        <v>1.8032647468240603</v>
      </c>
      <c r="I822" s="4">
        <f t="shared" si="52"/>
        <v>21.833333333333332</v>
      </c>
    </row>
    <row r="823" spans="1:9" x14ac:dyDescent="0.2">
      <c r="A823" s="11">
        <v>78.7</v>
      </c>
      <c r="B823" s="14">
        <v>3.133</v>
      </c>
      <c r="C823" s="11">
        <f t="shared" si="53"/>
        <v>10198.728135987591</v>
      </c>
      <c r="D823" s="11">
        <f t="shared" si="50"/>
        <v>92.01088415852908</v>
      </c>
      <c r="E823" s="11">
        <f t="shared" si="51"/>
        <v>315.66631159851147</v>
      </c>
      <c r="F823" s="11">
        <f>Speed_Calc!B$5*E823</f>
        <v>284.09968043866036</v>
      </c>
      <c r="G823" s="14">
        <f>Speed_Calc!G$3+Speed_Calc!G$5*A823^2</f>
        <v>44.8366969</v>
      </c>
      <c r="H823" s="7">
        <f>(F823-G823)/Speed_Calc!G$2*9.806</f>
        <v>1.7379354196889656</v>
      </c>
      <c r="I823" s="4">
        <f t="shared" si="52"/>
        <v>21.861111111111111</v>
      </c>
    </row>
    <row r="824" spans="1:9" x14ac:dyDescent="0.2">
      <c r="A824" s="11">
        <v>78.8</v>
      </c>
      <c r="B824" s="14">
        <v>3.133</v>
      </c>
      <c r="C824" s="11">
        <f t="shared" si="53"/>
        <v>10211.687129807144</v>
      </c>
      <c r="D824" s="11">
        <f t="shared" si="50"/>
        <v>89.205993393610015</v>
      </c>
      <c r="E824" s="11">
        <f t="shared" si="51"/>
        <v>305.6550535060241</v>
      </c>
      <c r="F824" s="11">
        <f>Speed_Calc!B$5*E824</f>
        <v>275.08954815542171</v>
      </c>
      <c r="G824" s="14">
        <f>Speed_Calc!G$3+Speed_Calc!G$5*A824^2</f>
        <v>44.899854399999995</v>
      </c>
      <c r="H824" s="7">
        <f>(F824-G824)/Speed_Calc!G$2*9.806</f>
        <v>1.672029731085678</v>
      </c>
      <c r="I824" s="4">
        <f t="shared" si="52"/>
        <v>21.888888888888889</v>
      </c>
    </row>
    <row r="825" spans="1:9" x14ac:dyDescent="0.2">
      <c r="A825" s="11">
        <v>78.900000000000006</v>
      </c>
      <c r="B825" s="14">
        <v>3.133</v>
      </c>
      <c r="C825" s="11">
        <f t="shared" si="53"/>
        <v>10224.646123626695</v>
      </c>
      <c r="D825" s="11">
        <f t="shared" si="50"/>
        <v>86.367815703274758</v>
      </c>
      <c r="E825" s="11">
        <f t="shared" si="51"/>
        <v>295.55526286291735</v>
      </c>
      <c r="F825" s="11">
        <f>Speed_Calc!B$5*E825</f>
        <v>265.99973657662559</v>
      </c>
      <c r="G825" s="14">
        <f>Speed_Calc!G$3+Speed_Calc!G$5*A825^2</f>
        <v>44.963092099999997</v>
      </c>
      <c r="H825" s="7">
        <f>(F825-G825)/Speed_Calc!G$2*9.806</f>
        <v>1.6055446931391042</v>
      </c>
      <c r="I825" s="4">
        <f t="shared" si="52"/>
        <v>21.916666666666668</v>
      </c>
    </row>
    <row r="826" spans="1:9" x14ac:dyDescent="0.2">
      <c r="A826" s="11">
        <v>79</v>
      </c>
      <c r="B826" s="14">
        <v>3.133</v>
      </c>
      <c r="C826" s="11">
        <f t="shared" si="53"/>
        <v>10237.605117446245</v>
      </c>
      <c r="D826" s="11">
        <f t="shared" si="50"/>
        <v>83.496118664376496</v>
      </c>
      <c r="E826" s="11">
        <f t="shared" si="51"/>
        <v>285.3664815111602</v>
      </c>
      <c r="F826" s="11">
        <f>Speed_Calc!B$5*E826</f>
        <v>256.82983336004418</v>
      </c>
      <c r="G826" s="14">
        <f>Speed_Calc!G$3+Speed_Calc!G$5*A826^2</f>
        <v>45.026409999999998</v>
      </c>
      <c r="H826" s="7">
        <f>(F826-G826)/Speed_Calc!G$2*9.806</f>
        <v>1.5384773107174763</v>
      </c>
      <c r="I826" s="4">
        <f t="shared" si="52"/>
        <v>21.944444444444443</v>
      </c>
    </row>
    <row r="827" spans="1:9" x14ac:dyDescent="0.2">
      <c r="A827" s="11">
        <v>79.099999999999994</v>
      </c>
      <c r="B827" s="14">
        <v>3.133</v>
      </c>
      <c r="C827" s="11">
        <f t="shared" si="53"/>
        <v>10250.5641112658</v>
      </c>
      <c r="D827" s="11">
        <f t="shared" si="50"/>
        <v>80.590668849836575</v>
      </c>
      <c r="E827" s="11">
        <f t="shared" si="51"/>
        <v>275.08825018275445</v>
      </c>
      <c r="F827" s="11">
        <f>Speed_Calc!B$5*E827</f>
        <v>247.57942516447901</v>
      </c>
      <c r="G827" s="14">
        <f>Speed_Calc!G$3+Speed_Calc!G$5*A827^2</f>
        <v>45.089808099999999</v>
      </c>
      <c r="H827" s="7">
        <f>(F827-G827)/Speed_Calc!G$2*9.806</f>
        <v>1.4708245814328007</v>
      </c>
      <c r="I827" s="4">
        <f t="shared" si="52"/>
        <v>21.972222222222221</v>
      </c>
    </row>
    <row r="828" spans="1:9" x14ac:dyDescent="0.2">
      <c r="A828" s="11">
        <v>79.2</v>
      </c>
      <c r="B828" s="14">
        <v>3.133</v>
      </c>
      <c r="C828" s="11">
        <f t="shared" si="53"/>
        <v>10263.523105085351</v>
      </c>
      <c r="D828" s="11">
        <f t="shared" si="50"/>
        <v>77.65123182656825</v>
      </c>
      <c r="E828" s="11">
        <f t="shared" si="51"/>
        <v>264.72010849966443</v>
      </c>
      <c r="F828" s="11">
        <f>Speed_Calc!B$5*E828</f>
        <v>238.248097649698</v>
      </c>
      <c r="G828" s="14">
        <f>Speed_Calc!G$3+Speed_Calc!G$5*A828^2</f>
        <v>45.153286399999999</v>
      </c>
      <c r="H828" s="7">
        <f>(F828-G828)/Speed_Calc!G$2*9.806</f>
        <v>1.4025834956403989</v>
      </c>
      <c r="I828" s="4">
        <f t="shared" si="52"/>
        <v>22</v>
      </c>
    </row>
    <row r="829" spans="1:9" x14ac:dyDescent="0.2">
      <c r="A829" s="11">
        <v>79.3</v>
      </c>
      <c r="B829" s="14">
        <v>3.133</v>
      </c>
      <c r="C829" s="11">
        <f t="shared" si="53"/>
        <v>10276.482098904902</v>
      </c>
      <c r="D829" s="11">
        <f t="shared" si="50"/>
        <v>74.67757215342732</v>
      </c>
      <c r="E829" s="11">
        <f t="shared" si="51"/>
        <v>254.26159497383838</v>
      </c>
      <c r="F829" s="11">
        <f>Speed_Calc!B$5*E829</f>
        <v>228.83543547645456</v>
      </c>
      <c r="G829" s="14">
        <f>Speed_Calc!G$3+Speed_Calc!G$5*A829^2</f>
        <v>45.216844899999998</v>
      </c>
      <c r="H829" s="7">
        <f>(F829-G829)/Speed_Calc!G$2*9.806</f>
        <v>1.3337510364390466</v>
      </c>
      <c r="I829" s="4">
        <f t="shared" si="52"/>
        <v>22.027777777777775</v>
      </c>
    </row>
    <row r="830" spans="1:9" x14ac:dyDescent="0.2">
      <c r="A830" s="11">
        <v>79.400000000000006</v>
      </c>
      <c r="B830" s="14">
        <v>3.133</v>
      </c>
      <c r="C830" s="11">
        <f t="shared" si="53"/>
        <v>10289.441092724455</v>
      </c>
      <c r="D830" s="11">
        <f t="shared" si="50"/>
        <v>71.669453379171529</v>
      </c>
      <c r="E830" s="11">
        <f t="shared" si="51"/>
        <v>243.71224700725836</v>
      </c>
      <c r="F830" s="11">
        <f>Speed_Calc!B$5*E830</f>
        <v>219.34102230653252</v>
      </c>
      <c r="G830" s="14">
        <f>Speed_Calc!G$3+Speed_Calc!G$5*A830^2</f>
        <v>45.280483599999997</v>
      </c>
      <c r="H830" s="7">
        <f>(F830-G830)/Speed_Calc!G$2*9.806</f>
        <v>1.2643241796713021</v>
      </c>
      <c r="I830" s="4">
        <f t="shared" si="52"/>
        <v>22.055555555555557</v>
      </c>
    </row>
    <row r="831" spans="1:9" x14ac:dyDescent="0.2">
      <c r="A831" s="11">
        <v>79.5</v>
      </c>
      <c r="B831" s="14">
        <v>3.133</v>
      </c>
      <c r="C831" s="11">
        <f t="shared" si="53"/>
        <v>10302.400086544005</v>
      </c>
      <c r="D831" s="11">
        <f t="shared" si="50"/>
        <v>68.626638040378992</v>
      </c>
      <c r="E831" s="11">
        <f t="shared" si="51"/>
        <v>233.07160089185325</v>
      </c>
      <c r="F831" s="11">
        <f>Speed_Calc!B$5*E831</f>
        <v>209.76444080266793</v>
      </c>
      <c r="G831" s="14">
        <f>Speed_Calc!G$3+Speed_Calc!G$5*A831^2</f>
        <v>45.344202499999994</v>
      </c>
      <c r="H831" s="7">
        <f>(F831-G831)/Speed_Calc!G$2*9.806</f>
        <v>1.1942998939229346</v>
      </c>
      <c r="I831" s="4">
        <f t="shared" si="52"/>
        <v>22.083333333333332</v>
      </c>
    </row>
    <row r="832" spans="1:9" x14ac:dyDescent="0.2">
      <c r="A832" s="11">
        <v>79.599999999999994</v>
      </c>
      <c r="B832" s="14">
        <v>3.133</v>
      </c>
      <c r="C832" s="11">
        <f t="shared" si="53"/>
        <v>10315.35908036356</v>
      </c>
      <c r="D832" s="11">
        <f t="shared" si="50"/>
        <v>65.548887659410596</v>
      </c>
      <c r="E832" s="11">
        <f t="shared" si="51"/>
        <v>222.33919180955857</v>
      </c>
      <c r="F832" s="11">
        <f>Speed_Calc!B$5*E832</f>
        <v>200.10527262860271</v>
      </c>
      <c r="G832" s="14">
        <f>Speed_Calc!G$3+Speed_Calc!G$5*A832^2</f>
        <v>45.408001599999992</v>
      </c>
      <c r="H832" s="7">
        <f>(F832-G832)/Speed_Calc!G$2*9.806</f>
        <v>1.123675140523317</v>
      </c>
      <c r="I832" s="4">
        <f t="shared" si="52"/>
        <v>22.111111111111111</v>
      </c>
    </row>
    <row r="833" spans="1:9" x14ac:dyDescent="0.2">
      <c r="A833" s="11">
        <v>79.7</v>
      </c>
      <c r="B833" s="14">
        <v>3.133</v>
      </c>
      <c r="C833" s="11">
        <f t="shared" si="53"/>
        <v>10328.318074183115</v>
      </c>
      <c r="D833" s="11">
        <f t="shared" si="50"/>
        <v>62.435962742351137</v>
      </c>
      <c r="E833" s="11">
        <f t="shared" si="51"/>
        <v>211.51455383230618</v>
      </c>
      <c r="F833" s="11">
        <f>Speed_Calc!B$5*E833</f>
        <v>190.36309844907555</v>
      </c>
      <c r="G833" s="14">
        <f>Speed_Calc!G$3+Speed_Calc!G$5*A833^2</f>
        <v>45.471880900000002</v>
      </c>
      <c r="H833" s="7">
        <f>(F833-G833)/Speed_Calc!G$2*9.806</f>
        <v>1.0524468735453592</v>
      </c>
      <c r="I833" s="4">
        <f t="shared" si="52"/>
        <v>22.138888888888889</v>
      </c>
    </row>
    <row r="834" spans="1:9" x14ac:dyDescent="0.2">
      <c r="A834" s="11">
        <v>79.8</v>
      </c>
      <c r="B834" s="14">
        <v>3.133</v>
      </c>
      <c r="C834" s="11">
        <f t="shared" si="53"/>
        <v>10341.277068002664</v>
      </c>
      <c r="D834" s="11">
        <f t="shared" si="50"/>
        <v>59.287622776952404</v>
      </c>
      <c r="E834" s="11">
        <f t="shared" si="51"/>
        <v>200.59721992201943</v>
      </c>
      <c r="F834" s="11">
        <f>Speed_Calc!B$5*E834</f>
        <v>180.5374979298175</v>
      </c>
      <c r="G834" s="14">
        <f>Speed_Calc!G$3+Speed_Calc!G$5*A834^2</f>
        <v>45.535840399999998</v>
      </c>
      <c r="H834" s="7">
        <f>(F834-G834)/Speed_Calc!G$2*9.806</f>
        <v>0.9806120398054744</v>
      </c>
      <c r="I834" s="4">
        <f t="shared" si="52"/>
        <v>22.166666666666664</v>
      </c>
    </row>
    <row r="835" spans="1:9" x14ac:dyDescent="0.2">
      <c r="A835" s="11">
        <v>79.900000000000006</v>
      </c>
      <c r="B835" s="14">
        <v>3.133</v>
      </c>
      <c r="C835" s="11">
        <f t="shared" si="53"/>
        <v>10354.236061822219</v>
      </c>
      <c r="D835" s="11">
        <f t="shared" si="50"/>
        <v>56.103626230574378</v>
      </c>
      <c r="E835" s="11">
        <f t="shared" si="51"/>
        <v>189.5867219306017</v>
      </c>
      <c r="F835" s="11">
        <f>Speed_Calc!B$5*E835</f>
        <v>170.62804973754155</v>
      </c>
      <c r="G835" s="14">
        <f>Speed_Calc!G$3+Speed_Calc!G$5*A835^2</f>
        <v>45.599880100000007</v>
      </c>
      <c r="H835" s="7">
        <f>(F835-G835)/Speed_Calc!G$2*9.806</f>
        <v>0.90816757886350541</v>
      </c>
      <c r="I835" s="4">
        <f t="shared" si="52"/>
        <v>22.194444444444446</v>
      </c>
    </row>
    <row r="836" spans="1:9" x14ac:dyDescent="0.2">
      <c r="A836" s="11">
        <v>80</v>
      </c>
      <c r="B836" s="14">
        <v>3.133</v>
      </c>
      <c r="C836" s="11">
        <f t="shared" si="53"/>
        <v>10367.195055641769</v>
      </c>
      <c r="D836" s="11">
        <f t="shared" si="50"/>
        <v>52.883730548135702</v>
      </c>
      <c r="E836" s="11">
        <f t="shared" si="51"/>
        <v>178.48259059995794</v>
      </c>
      <c r="F836" s="11">
        <f>Speed_Calc!B$5*E836</f>
        <v>160.63433153996215</v>
      </c>
      <c r="G836" s="14">
        <f>Speed_Calc!G$3+Speed_Calc!G$5*A836^2</f>
        <v>45.664000000000001</v>
      </c>
      <c r="H836" s="7">
        <f>(F836-G836)/Speed_Calc!G$2*9.806</f>
        <v>0.83511042302286576</v>
      </c>
      <c r="I836" s="4">
        <f t="shared" si="52"/>
        <v>22.222222222222221</v>
      </c>
    </row>
    <row r="837" spans="1:9" x14ac:dyDescent="0.2">
      <c r="A837" s="11">
        <v>80.099999999999994</v>
      </c>
      <c r="B837" s="14">
        <v>3.133</v>
      </c>
      <c r="C837" s="11">
        <f t="shared" si="53"/>
        <v>10380.154049461318</v>
      </c>
      <c r="D837" s="11">
        <f t="shared" si="50"/>
        <v>49.627692150058252</v>
      </c>
      <c r="E837" s="11">
        <f t="shared" si="51"/>
        <v>167.28435556199415</v>
      </c>
      <c r="F837" s="11">
        <f>Speed_Calc!B$5*E837</f>
        <v>150.55592000579475</v>
      </c>
      <c r="G837" s="14">
        <f>Speed_Calc!G$3+Speed_Calc!G$5*A837^2</f>
        <v>45.728200099999995</v>
      </c>
      <c r="H837" s="7">
        <f>(F837-G837)/Speed_Calc!G$2*9.806</f>
        <v>0.76143749733053578</v>
      </c>
      <c r="I837" s="4">
        <f t="shared" si="52"/>
        <v>22.249999999999996</v>
      </c>
    </row>
    <row r="838" spans="1:9" x14ac:dyDescent="0.2">
      <c r="A838" s="11">
        <v>80.2</v>
      </c>
      <c r="B838" s="14">
        <v>3.133</v>
      </c>
      <c r="C838" s="11">
        <f t="shared" si="53"/>
        <v>10393.113043280875</v>
      </c>
      <c r="D838" s="11">
        <f t="shared" si="50"/>
        <v>46.335266430199013</v>
      </c>
      <c r="E838" s="11">
        <f t="shared" si="51"/>
        <v>155.99154533857521</v>
      </c>
      <c r="F838" s="11">
        <f>Speed_Calc!B$5*E838</f>
        <v>140.39239080471768</v>
      </c>
      <c r="G838" s="14">
        <f>Speed_Calc!G$3+Speed_Calc!G$5*A838^2</f>
        <v>45.792480400000002</v>
      </c>
      <c r="H838" s="7">
        <f>(F838-G838)/Speed_Calc!G$2*9.806</f>
        <v>0.68714571957678627</v>
      </c>
      <c r="I838" s="4">
        <f t="shared" si="52"/>
        <v>22.277777777777779</v>
      </c>
    </row>
    <row r="839" spans="1:9" x14ac:dyDescent="0.2">
      <c r="A839" s="11">
        <v>80.3</v>
      </c>
      <c r="B839" s="14">
        <v>3.133</v>
      </c>
      <c r="C839" s="11">
        <f t="shared" si="53"/>
        <v>10406.072037100424</v>
      </c>
      <c r="D839" s="11">
        <f t="shared" si="50"/>
        <v>43.006207753818401</v>
      </c>
      <c r="E839" s="11">
        <f t="shared" si="51"/>
        <v>144.60368734160605</v>
      </c>
      <c r="F839" s="11">
        <f>Speed_Calc!B$5*E839</f>
        <v>130.14331860744545</v>
      </c>
      <c r="G839" s="14">
        <f>Speed_Calc!G$3+Speed_Calc!G$5*A839^2</f>
        <v>45.856840899999995</v>
      </c>
      <c r="H839" s="7">
        <f>(F839-G839)/Speed_Calc!G$2*9.806</f>
        <v>0.61223200029571112</v>
      </c>
      <c r="I839" s="4">
        <f t="shared" si="52"/>
        <v>22.305555555555554</v>
      </c>
    </row>
    <row r="840" spans="1:9" x14ac:dyDescent="0.2">
      <c r="A840" s="11">
        <v>80.400000000000006</v>
      </c>
      <c r="B840" s="14">
        <v>3.133</v>
      </c>
      <c r="C840" s="11">
        <f t="shared" si="53"/>
        <v>10419.031030919979</v>
      </c>
      <c r="D840" s="11">
        <f t="shared" si="50"/>
        <v>39.640269455489204</v>
      </c>
      <c r="E840" s="11">
        <f t="shared" si="51"/>
        <v>133.12030787291147</v>
      </c>
      <c r="F840" s="11">
        <f>Speed_Calc!B$5*E840</f>
        <v>119.80827708562032</v>
      </c>
      <c r="G840" s="14">
        <f>Speed_Calc!G$3+Speed_Calc!G$5*A840^2</f>
        <v>45.9212816</v>
      </c>
      <c r="H840" s="7">
        <f>(F840-G840)/Speed_Calc!G$2*9.806</f>
        <v>0.53669324276443908</v>
      </c>
      <c r="I840" s="4">
        <f t="shared" si="52"/>
        <v>22.333333333333336</v>
      </c>
    </row>
    <row r="841" spans="1:9" x14ac:dyDescent="0.2">
      <c r="A841" s="11">
        <v>80.5</v>
      </c>
      <c r="B841" s="14">
        <v>3.133</v>
      </c>
      <c r="C841" s="11">
        <f t="shared" si="53"/>
        <v>10431.990024739531</v>
      </c>
      <c r="D841" s="11">
        <f t="shared" si="50"/>
        <v>36.237203837084877</v>
      </c>
      <c r="E841" s="11">
        <f t="shared" si="51"/>
        <v>121.54093212438404</v>
      </c>
      <c r="F841" s="11">
        <f>Speed_Calc!B$5*E841</f>
        <v>109.38683891194565</v>
      </c>
      <c r="G841" s="14">
        <f>Speed_Calc!G$3+Speed_Calc!G$5*A841^2</f>
        <v>45.985802499999998</v>
      </c>
      <c r="H841" s="7">
        <f>(F841-G841)/Speed_Calc!G$2*9.806</f>
        <v>0.46052634300410289</v>
      </c>
      <c r="I841" s="4">
        <f t="shared" si="52"/>
        <v>22.361111111111111</v>
      </c>
    </row>
    <row r="842" spans="1:9" x14ac:dyDescent="0.2">
      <c r="A842" s="11">
        <v>80.599999999999994</v>
      </c>
      <c r="B842" s="14">
        <v>3.133</v>
      </c>
      <c r="C842" s="11">
        <f t="shared" si="53"/>
        <v>10444.94901855908</v>
      </c>
      <c r="D842" s="11">
        <f t="shared" si="50"/>
        <v>32.796762165689046</v>
      </c>
      <c r="E842" s="11">
        <f t="shared" si="51"/>
        <v>109.86508417786654</v>
      </c>
      <c r="F842" s="11">
        <f>Speed_Calc!B$5*E842</f>
        <v>98.878575760079883</v>
      </c>
      <c r="G842" s="14">
        <f>Speed_Calc!G$3+Speed_Calc!G$5*A842^2</f>
        <v>46.050403599999996</v>
      </c>
      <c r="H842" s="7">
        <f>(F842-G842)/Speed_Calc!G$2*9.806</f>
        <v>0.38372818977906914</v>
      </c>
      <c r="I842" s="4">
        <f t="shared" si="52"/>
        <v>22.388888888888886</v>
      </c>
    </row>
    <row r="843" spans="1:9" x14ac:dyDescent="0.2">
      <c r="A843" s="11">
        <v>80.7</v>
      </c>
      <c r="B843" s="14">
        <v>3.133</v>
      </c>
      <c r="C843" s="11">
        <f t="shared" si="53"/>
        <v>10457.908012378633</v>
      </c>
      <c r="D843" s="11">
        <f t="shared" si="50"/>
        <v>29.318694671551896</v>
      </c>
      <c r="E843" s="11">
        <f t="shared" si="51"/>
        <v>98.092287005192219</v>
      </c>
      <c r="F843" s="11">
        <f>Speed_Calc!B$5*E843</f>
        <v>88.283058304673006</v>
      </c>
      <c r="G843" s="14">
        <f>Speed_Calc!G$3+Speed_Calc!G$5*A843^2</f>
        <v>46.115084899999999</v>
      </c>
      <c r="H843" s="7">
        <f>(F843-G843)/Speed_Calc!G$2*9.806</f>
        <v>0.30629566459720259</v>
      </c>
      <c r="I843" s="4">
        <f t="shared" si="52"/>
        <v>22.416666666666668</v>
      </c>
    </row>
    <row r="844" spans="1:9" x14ac:dyDescent="0.2">
      <c r="A844" s="11">
        <v>80.8</v>
      </c>
      <c r="B844" s="14">
        <v>3.133</v>
      </c>
      <c r="C844" s="11">
        <f t="shared" si="53"/>
        <v>10470.867006198185</v>
      </c>
      <c r="D844" s="11">
        <f t="shared" si="50"/>
        <v>25.802750546040471</v>
      </c>
      <c r="E844" s="11">
        <f t="shared" si="51"/>
        <v>86.222062468204555</v>
      </c>
      <c r="F844" s="11">
        <f>Speed_Calc!B$5*E844</f>
        <v>77.599856221384101</v>
      </c>
      <c r="G844" s="14">
        <f>Speed_Calc!G$3+Speed_Calc!G$5*A844^2</f>
        <v>46.179846399999995</v>
      </c>
      <c r="H844" s="7">
        <f>(F844-G844)/Speed_Calc!G$2*9.806</f>
        <v>0.22822564170999446</v>
      </c>
      <c r="I844" s="4">
        <f t="shared" si="52"/>
        <v>22.444444444444443</v>
      </c>
    </row>
    <row r="845" spans="1:9" x14ac:dyDescent="0.2">
      <c r="A845" s="11">
        <v>80.900000000000006</v>
      </c>
      <c r="B845" s="14">
        <v>3.133</v>
      </c>
      <c r="C845" s="11">
        <f t="shared" si="53"/>
        <v>10483.82600001774</v>
      </c>
      <c r="D845" s="11">
        <f t="shared" si="50"/>
        <v>22.248677939573341</v>
      </c>
      <c r="E845" s="11">
        <f t="shared" si="51"/>
        <v>74.253931318724369</v>
      </c>
      <c r="F845" s="11">
        <f>Speed_Calc!B$5*E845</f>
        <v>66.828538186851929</v>
      </c>
      <c r="G845" s="14">
        <f>Speed_Calc!G$3+Speed_Calc!G$5*A845^2</f>
        <v>46.244688100000005</v>
      </c>
      <c r="H845" s="7">
        <f>(F845-G845)/Speed_Calc!G$2*9.806</f>
        <v>0.14951498811234812</v>
      </c>
      <c r="I845" s="4">
        <f t="shared" si="52"/>
        <v>22.472222222222225</v>
      </c>
    </row>
    <row r="846" spans="1:9" x14ac:dyDescent="0.2">
      <c r="A846" s="11">
        <v>81</v>
      </c>
      <c r="B846" s="14">
        <v>3.133</v>
      </c>
      <c r="C846" s="11">
        <f t="shared" si="53"/>
        <v>10496.784993837291</v>
      </c>
      <c r="D846" s="11">
        <f t="shared" si="50"/>
        <v>18.656223959570042</v>
      </c>
      <c r="E846" s="11">
        <f t="shared" si="51"/>
        <v>62.187413198566823</v>
      </c>
      <c r="F846" s="11">
        <f>Speed_Calc!B$5*E846</f>
        <v>55.96867187871014</v>
      </c>
      <c r="G846" s="14">
        <f>Speed_Calc!G$3+Speed_Calc!G$5*A846^2</f>
        <v>46.309609999999999</v>
      </c>
      <c r="H846" s="7">
        <f>(F846-G846)/Speed_Calc!G$2*9.806</f>
        <v>7.0160563542690096E-2</v>
      </c>
      <c r="I846" s="4">
        <f t="shared" si="52"/>
        <v>22.5</v>
      </c>
    </row>
    <row r="847" spans="1:9" x14ac:dyDescent="0.2">
      <c r="A847" s="11">
        <v>81.099999999999994</v>
      </c>
      <c r="B847" s="14">
        <v>3.133</v>
      </c>
      <c r="C847" s="11">
        <f t="shared" si="53"/>
        <v>10509.743987656842</v>
      </c>
      <c r="D847" s="11">
        <f t="shared" si="50"/>
        <v>15.025134668391217</v>
      </c>
      <c r="E847" s="11">
        <f t="shared" si="51"/>
        <v>50.022026639526864</v>
      </c>
      <c r="F847" s="11">
        <f>Speed_Calc!B$5*E847</f>
        <v>45.019823975574177</v>
      </c>
      <c r="G847" s="14">
        <f>Speed_Calc!G$3+Speed_Calc!G$5*A847^2</f>
        <v>46.374612099999993</v>
      </c>
      <c r="H847" s="7">
        <f>(F847-G847)/Speed_Calc!G$2*9.806</f>
        <v>-9.8407795171255967E-3</v>
      </c>
      <c r="I847" s="4">
        <f t="shared" si="52"/>
        <v>22.527777777777775</v>
      </c>
    </row>
    <row r="848" spans="1:9" x14ac:dyDescent="0.2">
      <c r="A848" s="11">
        <v>81.2</v>
      </c>
      <c r="B848" s="14">
        <v>3.133</v>
      </c>
      <c r="C848" s="11">
        <f t="shared" si="53"/>
        <v>10522.702981476394</v>
      </c>
      <c r="D848" s="11">
        <f t="shared" si="50"/>
        <v>11.355155081298918</v>
      </c>
      <c r="E848" s="11">
        <f t="shared" si="51"/>
        <v>37.757289063432367</v>
      </c>
      <c r="F848" s="11">
        <f>Speed_Calc!B$5*E848</f>
        <v>33.981560157089135</v>
      </c>
      <c r="G848" s="14">
        <f>Speed_Calc!G$3+Speed_Calc!G$5*A848^2</f>
        <v>46.4396944</v>
      </c>
      <c r="H848" s="7">
        <f>(F848-G848)/Speed_Calc!G$2*9.806</f>
        <v>-9.0492195841469586E-2</v>
      </c>
      <c r="I848" s="4">
        <f t="shared" si="52"/>
        <v>22.555555555555557</v>
      </c>
    </row>
    <row r="849" spans="1:9" x14ac:dyDescent="0.2">
      <c r="A849" s="11">
        <v>81.3</v>
      </c>
      <c r="B849" s="14">
        <v>3.133</v>
      </c>
      <c r="C849" s="11">
        <f t="shared" si="53"/>
        <v>10535.661975295945</v>
      </c>
      <c r="D849" s="11">
        <f t="shared" si="50"/>
        <v>7.6460291643712424</v>
      </c>
      <c r="E849" s="11">
        <f t="shared" si="51"/>
        <v>25.392716782044719</v>
      </c>
      <c r="F849" s="11">
        <f>Speed_Calc!B$5*E849</f>
        <v>22.853445103840247</v>
      </c>
      <c r="G849" s="14">
        <f>Speed_Calc!G$3+Speed_Calc!G$5*A849^2</f>
        <v>46.504856899999993</v>
      </c>
      <c r="H849" s="7">
        <f>(F849-G849)/Speed_Calc!G$2*9.806</f>
        <v>-0.17179684746158699</v>
      </c>
      <c r="I849" s="4">
        <f t="shared" si="52"/>
        <v>22.583333333333332</v>
      </c>
    </row>
    <row r="850" spans="1:9" x14ac:dyDescent="0.2">
      <c r="A850" s="11">
        <v>81.400000000000006</v>
      </c>
      <c r="B850" s="14">
        <v>3.133</v>
      </c>
      <c r="C850" s="11">
        <f t="shared" si="53"/>
        <v>10548.6209691155</v>
      </c>
      <c r="D850" s="11">
        <f t="shared" si="50"/>
        <v>3.8974998324755035</v>
      </c>
      <c r="E850" s="11">
        <f t="shared" si="51"/>
        <v>12.927824997154618</v>
      </c>
      <c r="F850" s="11">
        <f>Speed_Calc!B$5*E850</f>
        <v>11.635042497439157</v>
      </c>
      <c r="G850" s="14">
        <f>Speed_Calc!G$3+Speed_Calc!G$5*A850^2</f>
        <v>46.570099600000006</v>
      </c>
      <c r="H850" s="7">
        <f>(F850-G850)/Speed_Calc!G$2*9.806</f>
        <v>-0.25375790366497158</v>
      </c>
      <c r="I850" s="4">
        <f t="shared" si="52"/>
        <v>22.611111111111111</v>
      </c>
    </row>
    <row r="851" spans="1:9" x14ac:dyDescent="0.2">
      <c r="A851" s="11">
        <v>81.5</v>
      </c>
      <c r="B851" s="14">
        <v>3.133</v>
      </c>
      <c r="C851" s="11">
        <f t="shared" si="53"/>
        <v>10561.579962935051</v>
      </c>
      <c r="D851" s="11">
        <f t="shared" si="50"/>
        <v>0.10930894719767537</v>
      </c>
      <c r="E851" s="11">
        <f t="shared" si="51"/>
        <v>0.36212780053217608</v>
      </c>
      <c r="F851" s="11">
        <f>Speed_Calc!B$5*E851</f>
        <v>0.32591502047895848</v>
      </c>
      <c r="G851" s="14">
        <f>Speed_Calc!G$3+Speed_Calc!G$5*A851^2</f>
        <v>46.635422499999997</v>
      </c>
      <c r="H851" s="7">
        <f>(F851-G851)/Speed_Calc!G$2*9.806</f>
        <v>-0.33637854099569131</v>
      </c>
      <c r="I851" s="4">
        <f t="shared" si="52"/>
        <v>22.638888888888889</v>
      </c>
    </row>
    <row r="852" spans="1:9" x14ac:dyDescent="0.2">
      <c r="A852" s="11">
        <v>81.599999999999994</v>
      </c>
      <c r="B852" s="14">
        <v>3.133</v>
      </c>
      <c r="C852" s="11">
        <f t="shared" si="53"/>
        <v>10574.538956754603</v>
      </c>
      <c r="D852" s="11">
        <f t="shared" si="50"/>
        <v>-3.7188026852079474</v>
      </c>
      <c r="E852" s="11">
        <f t="shared" si="51"/>
        <v>-12.30486182605571</v>
      </c>
      <c r="F852" s="11">
        <f>Speed_Calc!B$5*E852</f>
        <v>-11.074375643450139</v>
      </c>
      <c r="G852" s="14">
        <f>Speed_Calc!G$3+Speed_Calc!G$5*A852^2</f>
        <v>46.700825599999995</v>
      </c>
      <c r="H852" s="7">
        <f>(F852-G852)/Speed_Calc!G$2*9.806</f>
        <v>-0.41966194325427553</v>
      </c>
      <c r="I852" s="4">
        <f t="shared" si="52"/>
        <v>22.666666666666664</v>
      </c>
    </row>
    <row r="853" spans="1:9" x14ac:dyDescent="0.2">
      <c r="A853" s="11">
        <v>81.7</v>
      </c>
      <c r="B853" s="14">
        <v>3.133</v>
      </c>
      <c r="C853" s="11">
        <f t="shared" si="53"/>
        <v>10587.497950574159</v>
      </c>
      <c r="D853" s="11">
        <f t="shared" si="50"/>
        <v>-7.5870953158755583</v>
      </c>
      <c r="E853" s="11">
        <f t="shared" si="51"/>
        <v>-25.073632010849447</v>
      </c>
      <c r="F853" s="11">
        <f>Speed_Calc!B$5*E853</f>
        <v>-22.566268809764502</v>
      </c>
      <c r="G853" s="14">
        <f>Speed_Calc!G$3+Speed_Calc!G$5*A853^2</f>
        <v>46.766308899999999</v>
      </c>
      <c r="H853" s="7">
        <f>(F853-G853)/Speed_Calc!G$2*9.806</f>
        <v>-0.50361130149774125</v>
      </c>
      <c r="I853" s="4">
        <f t="shared" si="52"/>
        <v>22.694444444444446</v>
      </c>
    </row>
    <row r="854" spans="1:9" x14ac:dyDescent="0.2">
      <c r="A854" s="11">
        <v>81.8</v>
      </c>
      <c r="B854" s="14">
        <v>3.133</v>
      </c>
      <c r="C854" s="11">
        <f t="shared" si="53"/>
        <v>10600.456944393709</v>
      </c>
      <c r="D854" s="11">
        <f t="shared" si="50"/>
        <v>-11.495830255388739</v>
      </c>
      <c r="E854" s="11">
        <f t="shared" si="51"/>
        <v>-37.944671992114422</v>
      </c>
      <c r="F854" s="11">
        <f>Speed_Calc!B$5*E854</f>
        <v>-34.150204792902983</v>
      </c>
      <c r="G854" s="14">
        <f>Speed_Calc!G$3+Speed_Calc!G$5*A854^2</f>
        <v>46.831872399999995</v>
      </c>
      <c r="H854" s="7">
        <f>(F854-G854)/Speed_Calc!G$2*9.806</f>
        <v>-0.58822981403970853</v>
      </c>
      <c r="I854" s="4">
        <f t="shared" si="52"/>
        <v>22.722222222222221</v>
      </c>
    </row>
    <row r="855" spans="1:9" x14ac:dyDescent="0.2">
      <c r="A855" s="11">
        <v>81.900000000000006</v>
      </c>
      <c r="B855" s="14">
        <v>3.133</v>
      </c>
      <c r="C855" s="11">
        <f t="shared" si="53"/>
        <v>10613.415938213258</v>
      </c>
      <c r="D855" s="11">
        <f t="shared" si="50"/>
        <v>-15.445269875824678</v>
      </c>
      <c r="E855" s="11">
        <f t="shared" si="51"/>
        <v>-50.918472118103345</v>
      </c>
      <c r="F855" s="11">
        <f>Speed_Calc!B$5*E855</f>
        <v>-45.826624906293013</v>
      </c>
      <c r="G855" s="14">
        <f>Speed_Calc!G$3+Speed_Calc!G$5*A855^2</f>
        <v>46.897516100000004</v>
      </c>
      <c r="H855" s="7">
        <f>(F855-G855)/Speed_Calc!G$2*9.806</f>
        <v>-0.67352068645015506</v>
      </c>
      <c r="I855" s="4">
        <f t="shared" si="52"/>
        <v>22.75</v>
      </c>
    </row>
    <row r="856" spans="1:9" x14ac:dyDescent="0.2">
      <c r="A856" s="11">
        <v>82</v>
      </c>
      <c r="B856" s="14">
        <v>3.133</v>
      </c>
      <c r="C856" s="11">
        <f t="shared" si="53"/>
        <v>10626.374932032813</v>
      </c>
      <c r="D856" s="11">
        <f t="shared" si="50"/>
        <v>-19.435677612821905</v>
      </c>
      <c r="E856" s="11">
        <f t="shared" si="51"/>
        <v>-63.995523847096507</v>
      </c>
      <c r="F856" s="11">
        <f>Speed_Calc!B$5*E856</f>
        <v>-57.595971462386856</v>
      </c>
      <c r="G856" s="14">
        <f>Speed_Calc!G$3+Speed_Calc!G$5*A856^2</f>
        <v>46.963239999999999</v>
      </c>
      <c r="H856" s="7">
        <f>(F856-G856)/Speed_Calc!G$2*9.806</f>
        <v>-0.75948713155567804</v>
      </c>
      <c r="I856" s="4">
        <f t="shared" si="52"/>
        <v>22.777777777777779</v>
      </c>
    </row>
    <row r="857" spans="1:9" x14ac:dyDescent="0.2">
      <c r="A857" s="11">
        <v>82.1</v>
      </c>
      <c r="B857" s="14">
        <v>3.133</v>
      </c>
      <c r="C857" s="11">
        <f t="shared" si="53"/>
        <v>10639.333925852365</v>
      </c>
      <c r="D857" s="11">
        <f t="shared" si="50"/>
        <v>-23.467317967627352</v>
      </c>
      <c r="E857" s="11">
        <f t="shared" si="51"/>
        <v>-77.176319747373768</v>
      </c>
      <c r="F857" s="11">
        <f>Speed_Calc!B$5*E857</f>
        <v>-69.458687772636395</v>
      </c>
      <c r="G857" s="14">
        <f>Speed_Calc!G$3+Speed_Calc!G$5*A857^2</f>
        <v>47.029044099999993</v>
      </c>
      <c r="H857" s="7">
        <f>(F857-G857)/Speed_Calc!G$2*9.806</f>
        <v>-0.8461323694393128</v>
      </c>
      <c r="I857" s="4">
        <f t="shared" si="52"/>
        <v>22.805555555555554</v>
      </c>
    </row>
    <row r="858" spans="1:9" x14ac:dyDescent="0.2">
      <c r="A858" s="11">
        <v>82.2</v>
      </c>
      <c r="B858" s="14">
        <v>3.133</v>
      </c>
      <c r="C858" s="11">
        <f t="shared" si="53"/>
        <v>10652.292919671918</v>
      </c>
      <c r="D858" s="11">
        <f t="shared" si="50"/>
        <v>-27.540456509148669</v>
      </c>
      <c r="E858" s="11">
        <f t="shared" si="51"/>
        <v>-90.461353497203646</v>
      </c>
      <c r="F858" s="11">
        <f>Speed_Calc!B$5*E858</f>
        <v>-81.415218147483287</v>
      </c>
      <c r="G858" s="14">
        <f>Speed_Calc!G$3+Speed_Calc!G$5*A858^2</f>
        <v>47.094928400000001</v>
      </c>
      <c r="H858" s="7">
        <f>(F858-G858)/Speed_Calc!G$2*9.806</f>
        <v>-0.93345962744046007</v>
      </c>
      <c r="I858" s="4">
        <f t="shared" si="52"/>
        <v>22.833333333333332</v>
      </c>
    </row>
    <row r="859" spans="1:9" x14ac:dyDescent="0.2">
      <c r="A859" s="11">
        <v>82.3</v>
      </c>
      <c r="B859" s="14">
        <v>3.133</v>
      </c>
      <c r="C859" s="11">
        <f t="shared" si="53"/>
        <v>10665.251913491469</v>
      </c>
      <c r="D859" s="11">
        <f t="shared" si="50"/>
        <v>-31.65535987602901</v>
      </c>
      <c r="E859" s="11">
        <f t="shared" si="51"/>
        <v>-103.85111988490682</v>
      </c>
      <c r="F859" s="11">
        <f>Speed_Calc!B$5*E859</f>
        <v>-93.466007896416144</v>
      </c>
      <c r="G859" s="14">
        <f>Speed_Calc!G$3+Speed_Calc!G$5*A859^2</f>
        <v>47.160892899999993</v>
      </c>
      <c r="H859" s="7">
        <f>(F859-G859)/Speed_Calc!G$2*9.806</f>
        <v>-1.0214721401553011</v>
      </c>
      <c r="I859" s="4">
        <f t="shared" si="52"/>
        <v>22.861111111111111</v>
      </c>
    </row>
    <row r="860" spans="1:9" x14ac:dyDescent="0.2">
      <c r="A860" s="11">
        <v>82.4</v>
      </c>
      <c r="B860" s="14">
        <v>3.133</v>
      </c>
      <c r="C860" s="11">
        <f t="shared" si="53"/>
        <v>10678.21090731102</v>
      </c>
      <c r="D860" s="11">
        <f t="shared" si="50"/>
        <v>-35.812295778677964</v>
      </c>
      <c r="E860" s="11">
        <f t="shared" si="51"/>
        <v>-117.34611480877487</v>
      </c>
      <c r="F860" s="11">
        <f>Speed_Calc!B$5*E860</f>
        <v>-105.61150332789738</v>
      </c>
      <c r="G860" s="14">
        <f>Speed_Calc!G$3+Speed_Calc!G$5*A860^2</f>
        <v>47.226937599999999</v>
      </c>
      <c r="H860" s="7">
        <f>(F860-G860)/Speed_Calc!G$2*9.806</f>
        <v>-1.1101731494362679</v>
      </c>
      <c r="I860" s="4">
        <f t="shared" si="52"/>
        <v>22.888888888888889</v>
      </c>
    </row>
    <row r="861" spans="1:9" x14ac:dyDescent="0.2">
      <c r="A861" s="11">
        <v>82.5</v>
      </c>
      <c r="B861" s="14">
        <v>3.133</v>
      </c>
      <c r="C861" s="11">
        <f t="shared" si="53"/>
        <v>10691.169901130575</v>
      </c>
      <c r="D861" s="11">
        <f t="shared" si="50"/>
        <v>-40.011533001348468</v>
      </c>
      <c r="E861" s="11">
        <f t="shared" si="51"/>
        <v>-130.94683527714042</v>
      </c>
      <c r="F861" s="11">
        <f>Speed_Calc!B$5*E861</f>
        <v>-117.85215174942638</v>
      </c>
      <c r="G861" s="14">
        <f>Speed_Calc!G$3+Speed_Calc!G$5*A861^2</f>
        <v>47.293062499999998</v>
      </c>
      <c r="H861" s="7">
        <f>(F861-G861)/Speed_Calc!G$2*9.806</f>
        <v>-1.1995659043925</v>
      </c>
      <c r="I861" s="4">
        <f t="shared" si="52"/>
        <v>22.916666666666668</v>
      </c>
    </row>
    <row r="862" spans="1:9" x14ac:dyDescent="0.2">
      <c r="A862" s="11">
        <v>82.6</v>
      </c>
      <c r="B862" s="14">
        <v>3.133</v>
      </c>
      <c r="C862" s="11">
        <f t="shared" si="53"/>
        <v>10704.128894950125</v>
      </c>
      <c r="D862" s="11">
        <f t="shared" si="50"/>
        <v>-44.25334140416939</v>
      </c>
      <c r="E862" s="11">
        <f t="shared" si="51"/>
        <v>-144.65377940830192</v>
      </c>
      <c r="F862" s="11">
        <f>Speed_Calc!B$5*E862</f>
        <v>-130.18840146747172</v>
      </c>
      <c r="G862" s="14">
        <f>Speed_Calc!G$3+Speed_Calc!G$5*A862^2</f>
        <v>47.359267599999995</v>
      </c>
      <c r="H862" s="7">
        <f>(F862-G862)/Speed_Calc!G$2*9.806</f>
        <v>-1.2896536613893534</v>
      </c>
      <c r="I862" s="4">
        <f t="shared" si="52"/>
        <v>22.944444444444443</v>
      </c>
    </row>
    <row r="863" spans="1:9" x14ac:dyDescent="0.2">
      <c r="A863" s="11">
        <v>82.7</v>
      </c>
      <c r="B863" s="14">
        <v>3.133</v>
      </c>
      <c r="C863" s="11">
        <f t="shared" si="53"/>
        <v>10717.087888769678</v>
      </c>
      <c r="D863" s="11">
        <f t="shared" si="50"/>
        <v>-48.537991925229903</v>
      </c>
      <c r="E863" s="11">
        <f t="shared" si="51"/>
        <v>-158.4674464306176</v>
      </c>
      <c r="F863" s="11">
        <f>Speed_Calc!B$5*E863</f>
        <v>-142.62070178755584</v>
      </c>
      <c r="G863" s="14">
        <f>Speed_Calc!G$3+Speed_Calc!G$5*A863^2</f>
        <v>47.4255529</v>
      </c>
      <c r="H863" s="7">
        <f>(F863-G863)/Speed_Calc!G$2*9.806</f>
        <v>-1.3804396840490167</v>
      </c>
      <c r="I863" s="4">
        <f t="shared" si="52"/>
        <v>22.972222222222221</v>
      </c>
    </row>
    <row r="864" spans="1:9" x14ac:dyDescent="0.2">
      <c r="A864" s="11">
        <v>82.8</v>
      </c>
      <c r="B864" s="14">
        <v>3.133</v>
      </c>
      <c r="C864" s="11">
        <f t="shared" si="53"/>
        <v>10730.046882589229</v>
      </c>
      <c r="D864" s="11">
        <f t="shared" si="50"/>
        <v>-52.865756582603282</v>
      </c>
      <c r="E864" s="11">
        <f t="shared" si="51"/>
        <v>-172.38833668240201</v>
      </c>
      <c r="F864" s="11">
        <f>Speed_Calc!B$5*E864</f>
        <v>-155.14950301416181</v>
      </c>
      <c r="G864" s="14">
        <f>Speed_Calc!G$3+Speed_Calc!G$5*A864^2</f>
        <v>47.491918399999996</v>
      </c>
      <c r="H864" s="7">
        <f>(F864-G864)/Speed_Calc!G$2*9.806</f>
        <v>-1.4719272432498298</v>
      </c>
      <c r="I864" s="4">
        <f t="shared" si="52"/>
        <v>23</v>
      </c>
    </row>
    <row r="865" spans="1:9" x14ac:dyDescent="0.2">
      <c r="A865" s="11">
        <v>82.9</v>
      </c>
      <c r="B865" s="14">
        <v>3.133</v>
      </c>
      <c r="C865" s="11">
        <f t="shared" si="53"/>
        <v>10743.005876408784</v>
      </c>
      <c r="D865" s="11">
        <f t="shared" si="50"/>
        <v>-57.236908476431779</v>
      </c>
      <c r="E865" s="11">
        <f t="shared" si="51"/>
        <v>-186.41695161202148</v>
      </c>
      <c r="F865" s="11">
        <f>Speed_Calc!B$5*E865</f>
        <v>-167.77525645081934</v>
      </c>
      <c r="G865" s="14">
        <f>Speed_Calc!G$3+Speed_Calc!G$5*A865^2</f>
        <v>47.558364100000006</v>
      </c>
      <c r="H865" s="7">
        <f>(F865-G865)/Speed_Calc!G$2*9.806</f>
        <v>-1.5641196171269143</v>
      </c>
      <c r="I865" s="4">
        <f t="shared" si="52"/>
        <v>23.027777777777779</v>
      </c>
    </row>
    <row r="866" spans="1:9" x14ac:dyDescent="0.2">
      <c r="A866" s="11">
        <v>83</v>
      </c>
      <c r="B866" s="14">
        <v>3.133</v>
      </c>
      <c r="C866" s="11">
        <f t="shared" si="53"/>
        <v>10755.964870228334</v>
      </c>
      <c r="D866" s="11">
        <f t="shared" si="50"/>
        <v>-61.651721790960423</v>
      </c>
      <c r="E866" s="11">
        <f t="shared" si="51"/>
        <v>-200.55379377782307</v>
      </c>
      <c r="F866" s="11">
        <f>Speed_Calc!B$5*E866</f>
        <v>-180.49841440004076</v>
      </c>
      <c r="G866" s="14">
        <f>Speed_Calc!G$3+Speed_Calc!G$5*A866^2</f>
        <v>47.624889999999994</v>
      </c>
      <c r="H866" s="7">
        <f>(F866-G866)/Speed_Calc!G$2*9.806</f>
        <v>-1.6570200910717034</v>
      </c>
      <c r="I866" s="4">
        <f t="shared" si="52"/>
        <v>23.055555555555554</v>
      </c>
    </row>
    <row r="867" spans="1:9" x14ac:dyDescent="0.2">
      <c r="A867" s="11">
        <v>83.1</v>
      </c>
      <c r="B867" s="14">
        <v>3.133</v>
      </c>
      <c r="C867" s="11">
        <f t="shared" si="53"/>
        <v>10768.923864047887</v>
      </c>
      <c r="D867" s="11">
        <f t="shared" si="50"/>
        <v>-66.11047179660865</v>
      </c>
      <c r="E867" s="11">
        <f t="shared" si="51"/>
        <v>-214.79936684818699</v>
      </c>
      <c r="F867" s="11">
        <f>Speed_Calc!B$5*E867</f>
        <v>-193.31943016336831</v>
      </c>
      <c r="G867" s="14">
        <f>Speed_Calc!G$3+Speed_Calc!G$5*A867^2</f>
        <v>47.691496099999995</v>
      </c>
      <c r="H867" s="7">
        <f>(F867-G867)/Speed_Calc!G$2*9.806</f>
        <v>-1.7506319577322884</v>
      </c>
      <c r="I867" s="4">
        <f t="shared" si="52"/>
        <v>23.083333333333332</v>
      </c>
    </row>
    <row r="868" spans="1:9" x14ac:dyDescent="0.2">
      <c r="A868" s="11">
        <v>83.2</v>
      </c>
      <c r="B868" s="14">
        <v>3.133</v>
      </c>
      <c r="C868" s="11">
        <f t="shared" si="53"/>
        <v>10781.882857867438</v>
      </c>
      <c r="D868" s="11">
        <f t="shared" si="50"/>
        <v>-70.613434852010016</v>
      </c>
      <c r="E868" s="11">
        <f t="shared" si="51"/>
        <v>-229.15417560147486</v>
      </c>
      <c r="F868" s="11">
        <f>Speed_Calc!B$5*E868</f>
        <v>-206.23875804132737</v>
      </c>
      <c r="G868" s="14">
        <f>Speed_Calc!G$3+Speed_Calc!G$5*A868^2</f>
        <v>47.758182399999995</v>
      </c>
      <c r="H868" s="7">
        <f>(F868-G868)/Speed_Calc!G$2*9.806</f>
        <v>-1.8449585170130782</v>
      </c>
      <c r="I868" s="4">
        <f t="shared" si="52"/>
        <v>23.111111111111111</v>
      </c>
    </row>
    <row r="869" spans="1:9" x14ac:dyDescent="0.2">
      <c r="A869" s="11">
        <v>83.3</v>
      </c>
      <c r="B869" s="14">
        <v>3.133</v>
      </c>
      <c r="C869" s="11">
        <f t="shared" si="53"/>
        <v>10794.841851686993</v>
      </c>
      <c r="D869" s="11">
        <f t="shared" ref="D869:D932" si="54">-4.687*10^(-17)*C869^5+9.129*10^(-13)*C869^4-6.175*10^(-9)*C869^3+1.799*10^(-5)*C869^2+6.502*10^(-3)*C869</f>
        <v>-75.160888406086613</v>
      </c>
      <c r="E869" s="11">
        <f t="shared" si="51"/>
        <v>-243.61872592609106</v>
      </c>
      <c r="F869" s="11">
        <f>Speed_Calc!B$5*E869</f>
        <v>-219.25685333348196</v>
      </c>
      <c r="G869" s="14">
        <f>Speed_Calc!G$3+Speed_Calc!G$5*A869^2</f>
        <v>47.824948899999995</v>
      </c>
      <c r="H869" s="7">
        <f>(F869-G869)/Speed_Calc!G$2*9.806</f>
        <v>-1.9400030760752025</v>
      </c>
      <c r="I869" s="4">
        <f t="shared" si="52"/>
        <v>23.138888888888889</v>
      </c>
    </row>
    <row r="870" spans="1:9" x14ac:dyDescent="0.2">
      <c r="A870" s="11">
        <v>83.4</v>
      </c>
      <c r="B870" s="14">
        <v>3.133</v>
      </c>
      <c r="C870" s="11">
        <f t="shared" si="53"/>
        <v>10807.800845506545</v>
      </c>
      <c r="D870" s="11">
        <f t="shared" si="54"/>
        <v>-79.753111000079215</v>
      </c>
      <c r="E870" s="11">
        <f t="shared" ref="E870:E933" si="55">D870*75*B870*B$31*B$32/B$23/C870/2/PI()*60</f>
        <v>-258.19352482040034</v>
      </c>
      <c r="F870" s="11">
        <f>Speed_Calc!B$5*E870</f>
        <v>-232.37417233836032</v>
      </c>
      <c r="G870" s="14">
        <f>Speed_Calc!G$3+Speed_Calc!G$5*A870^2</f>
        <v>47.891795600000002</v>
      </c>
      <c r="H870" s="7">
        <f>(F870-G870)/Speed_Calc!G$2*9.806</f>
        <v>-2.0357689493359712</v>
      </c>
      <c r="I870" s="4">
        <f t="shared" ref="I870:I933" si="56">A870/3.6</f>
        <v>23.166666666666668</v>
      </c>
    </row>
    <row r="871" spans="1:9" x14ac:dyDescent="0.2">
      <c r="A871" s="11">
        <v>83.5</v>
      </c>
      <c r="B871" s="14">
        <v>3.133</v>
      </c>
      <c r="C871" s="11">
        <f t="shared" si="53"/>
        <v>10820.759839326096</v>
      </c>
      <c r="D871" s="11">
        <f t="shared" si="54"/>
        <v>-84.390382269630351</v>
      </c>
      <c r="E871" s="11">
        <f t="shared" si="55"/>
        <v>-272.87908039281672</v>
      </c>
      <c r="F871" s="11">
        <f>Speed_Calc!B$5*E871</f>
        <v>-245.59117235353506</v>
      </c>
      <c r="G871" s="14">
        <f>Speed_Calc!G$3+Speed_Calc!G$5*A871^2</f>
        <v>47.958722499999993</v>
      </c>
      <c r="H871" s="7">
        <f>(F871-G871)/Speed_Calc!G$2*9.806</f>
        <v>-2.1322594584694556</v>
      </c>
      <c r="I871" s="4">
        <f t="shared" si="56"/>
        <v>23.194444444444443</v>
      </c>
    </row>
    <row r="872" spans="1:9" x14ac:dyDescent="0.2">
      <c r="A872" s="11">
        <v>83.6</v>
      </c>
      <c r="B872" s="14">
        <v>3.133</v>
      </c>
      <c r="C872" s="11">
        <f t="shared" si="53"/>
        <v>10833.718833145647</v>
      </c>
      <c r="D872" s="11">
        <f t="shared" si="54"/>
        <v>-89.072982946825675</v>
      </c>
      <c r="E872" s="11">
        <f t="shared" si="55"/>
        <v>-287.67590186175755</v>
      </c>
      <c r="F872" s="11">
        <f>Speed_Calc!B$5*E872</f>
        <v>-258.90831167558179</v>
      </c>
      <c r="G872" s="14">
        <f>Speed_Calc!G$3+Speed_Calc!G$5*A872^2</f>
        <v>48.025729599999991</v>
      </c>
      <c r="H872" s="7">
        <f>(F872-G872)/Speed_Calc!G$2*9.806</f>
        <v>-2.2294779324061884</v>
      </c>
      <c r="I872" s="4">
        <f t="shared" si="56"/>
        <v>23.222222222222221</v>
      </c>
    </row>
    <row r="873" spans="1:9" x14ac:dyDescent="0.2">
      <c r="A873" s="11">
        <v>83.7</v>
      </c>
      <c r="B873" s="14">
        <v>3.133</v>
      </c>
      <c r="C873" s="11">
        <f t="shared" si="53"/>
        <v>10846.6778269652</v>
      </c>
      <c r="D873" s="11">
        <f t="shared" si="54"/>
        <v>-93.801194862244955</v>
      </c>
      <c r="E873" s="11">
        <f t="shared" si="55"/>
        <v>-302.58449955562895</v>
      </c>
      <c r="F873" s="11">
        <f>Speed_Calc!B$5*E873</f>
        <v>-272.32604960006609</v>
      </c>
      <c r="G873" s="14">
        <f>Speed_Calc!G$3+Speed_Calc!G$5*A873^2</f>
        <v>48.092816900000003</v>
      </c>
      <c r="H873" s="7">
        <f>(F873-G873)/Speed_Calc!G$2*9.806</f>
        <v>-2.3274277073330722</v>
      </c>
      <c r="I873" s="4">
        <f t="shared" si="56"/>
        <v>23.25</v>
      </c>
    </row>
    <row r="874" spans="1:9" x14ac:dyDescent="0.2">
      <c r="A874" s="11">
        <v>83.8</v>
      </c>
      <c r="B874" s="14">
        <v>3.133</v>
      </c>
      <c r="C874" s="11">
        <f t="shared" si="53"/>
        <v>10859.636820784752</v>
      </c>
      <c r="D874" s="11">
        <f t="shared" si="54"/>
        <v>-98.575300947030669</v>
      </c>
      <c r="E874" s="11">
        <f t="shared" si="55"/>
        <v>-317.60538491286735</v>
      </c>
      <c r="F874" s="11">
        <f>Speed_Calc!B$5*E874</f>
        <v>-285.8448464215806</v>
      </c>
      <c r="G874" s="14">
        <f>Speed_Calc!G$3+Speed_Calc!G$5*A874^2</f>
        <v>48.159984399999999</v>
      </c>
      <c r="H874" s="7">
        <f>(F874-G874)/Speed_Calc!G$2*9.806</f>
        <v>-2.4261121266936434</v>
      </c>
      <c r="I874" s="4">
        <f t="shared" si="56"/>
        <v>23.277777777777775</v>
      </c>
    </row>
    <row r="875" spans="1:9" x14ac:dyDescent="0.2">
      <c r="A875" s="11">
        <v>83.9</v>
      </c>
      <c r="B875" s="14">
        <v>3.133</v>
      </c>
      <c r="C875" s="11">
        <f t="shared" ref="C875:C938" si="57">A875/3.6/B$23/2/PI()*B$32*B$31*B875*60</f>
        <v>10872.595814604305</v>
      </c>
      <c r="D875" s="11">
        <f t="shared" si="54"/>
        <v>-103.39558523493479</v>
      </c>
      <c r="E875" s="11">
        <f t="shared" si="55"/>
        <v>-332.73907048191171</v>
      </c>
      <c r="F875" s="11">
        <f>Speed_Calc!B$5*E875</f>
        <v>-299.46516343372053</v>
      </c>
      <c r="G875" s="14">
        <f>Speed_Calc!G$3+Speed_Calc!G$5*A875^2</f>
        <v>48.227232100000002</v>
      </c>
      <c r="H875" s="7">
        <f>(F875-G875)/Speed_Calc!G$2*9.806</f>
        <v>-2.5255345411878984</v>
      </c>
      <c r="I875" s="4">
        <f t="shared" si="56"/>
        <v>23.305555555555557</v>
      </c>
    </row>
    <row r="876" spans="1:9" x14ac:dyDescent="0.2">
      <c r="A876" s="11">
        <v>84</v>
      </c>
      <c r="B876" s="14">
        <v>3.133</v>
      </c>
      <c r="C876" s="11">
        <f t="shared" si="57"/>
        <v>10885.554808423858</v>
      </c>
      <c r="D876" s="11">
        <f t="shared" si="54"/>
        <v>-108.26233286437157</v>
      </c>
      <c r="E876" s="11">
        <f t="shared" si="55"/>
        <v>-347.98606992119437</v>
      </c>
      <c r="F876" s="11">
        <f>Speed_Calc!B$5*E876</f>
        <v>-313.18746292907497</v>
      </c>
      <c r="G876" s="14">
        <f>Speed_Calc!G$3+Speed_Calc!G$5*A876^2</f>
        <v>48.294559999999997</v>
      </c>
      <c r="H876" s="7">
        <f>(F876-G876)/Speed_Calc!G$2*9.806</f>
        <v>-2.6256983087722285</v>
      </c>
      <c r="I876" s="4">
        <f t="shared" si="56"/>
        <v>23.333333333333332</v>
      </c>
    </row>
    <row r="877" spans="1:9" x14ac:dyDescent="0.2">
      <c r="A877" s="11">
        <v>84.1</v>
      </c>
      <c r="B877" s="14">
        <v>3.133</v>
      </c>
      <c r="C877" s="11">
        <f t="shared" si="57"/>
        <v>10898.513802243409</v>
      </c>
      <c r="D877" s="11">
        <f t="shared" si="54"/>
        <v>-113.17583008048437</v>
      </c>
      <c r="E877" s="11">
        <f t="shared" si="55"/>
        <v>-363.34689799917697</v>
      </c>
      <c r="F877" s="11">
        <f>Speed_Calc!B$5*E877</f>
        <v>-327.01220819925931</v>
      </c>
      <c r="G877" s="14">
        <f>Speed_Calc!G$3+Speed_Calc!G$5*A877^2</f>
        <v>48.361968099999999</v>
      </c>
      <c r="H877" s="7">
        <f>(F877-G877)/Speed_Calc!G$2*9.806</f>
        <v>-2.7266067946596571</v>
      </c>
      <c r="I877" s="4">
        <f t="shared" si="56"/>
        <v>23.361111111111111</v>
      </c>
    </row>
    <row r="878" spans="1:9" x14ac:dyDescent="0.2">
      <c r="A878" s="11">
        <v>84.2</v>
      </c>
      <c r="B878" s="14">
        <v>3.133</v>
      </c>
      <c r="C878" s="11">
        <f t="shared" si="57"/>
        <v>10911.472796062961</v>
      </c>
      <c r="D878" s="11">
        <f t="shared" si="54"/>
        <v>-118.13636423719109</v>
      </c>
      <c r="E878" s="11">
        <f t="shared" si="55"/>
        <v>-378.82207059431829</v>
      </c>
      <c r="F878" s="11">
        <f>Speed_Calc!B$5*E878</f>
        <v>-340.93986353488646</v>
      </c>
      <c r="G878" s="14">
        <f>Speed_Calc!G$3+Speed_Calc!G$5*A878^2</f>
        <v>48.429456399999999</v>
      </c>
      <c r="H878" s="7">
        <f>(F878-G878)/Speed_Calc!G$2*9.806</f>
        <v>-2.8282633713196268</v>
      </c>
      <c r="I878" s="4">
        <f t="shared" si="56"/>
        <v>23.388888888888889</v>
      </c>
    </row>
    <row r="879" spans="1:9" x14ac:dyDescent="0.2">
      <c r="A879" s="11">
        <v>84.3</v>
      </c>
      <c r="B879" s="14">
        <v>3.133</v>
      </c>
      <c r="C879" s="11">
        <f t="shared" si="57"/>
        <v>10924.431789882514</v>
      </c>
      <c r="D879" s="11">
        <f t="shared" si="54"/>
        <v>-123.14422379924412</v>
      </c>
      <c r="E879" s="11">
        <f t="shared" si="55"/>
        <v>-394.41210469508792</v>
      </c>
      <c r="F879" s="11">
        <f>Speed_Calc!B$5*E879</f>
        <v>-354.97089422557912</v>
      </c>
      <c r="G879" s="14">
        <f>Speed_Calc!G$3+Speed_Calc!G$5*A879^2</f>
        <v>48.4970249</v>
      </c>
      <c r="H879" s="7">
        <f>(F879-G879)/Speed_Calc!G$2*9.806</f>
        <v>-2.9306714184780951</v>
      </c>
      <c r="I879" s="4">
        <f t="shared" si="56"/>
        <v>23.416666666666664</v>
      </c>
    </row>
    <row r="880" spans="1:9" x14ac:dyDescent="0.2">
      <c r="A880" s="11">
        <v>84.4</v>
      </c>
      <c r="B880" s="14">
        <v>3.133</v>
      </c>
      <c r="C880" s="11">
        <f t="shared" si="57"/>
        <v>10937.390783702067</v>
      </c>
      <c r="D880" s="11">
        <f t="shared" si="54"/>
        <v>-128.19969834428815</v>
      </c>
      <c r="E880" s="11">
        <f t="shared" si="55"/>
        <v>-410.11751839997385</v>
      </c>
      <c r="F880" s="11">
        <f>Speed_Calc!B$5*E880</f>
        <v>-369.10576655997647</v>
      </c>
      <c r="G880" s="14">
        <f>Speed_Calc!G$3+Speed_Calc!G$5*A880^2</f>
        <v>48.564673599999999</v>
      </c>
      <c r="H880" s="7">
        <f>(F880-G880)/Speed_Calc!G$2*9.806</f>
        <v>-3.0338343231175773</v>
      </c>
      <c r="I880" s="4">
        <f t="shared" si="56"/>
        <v>23.444444444444446</v>
      </c>
    </row>
    <row r="881" spans="1:9" x14ac:dyDescent="0.2">
      <c r="A881" s="11">
        <v>84.5</v>
      </c>
      <c r="B881" s="14">
        <v>3.133</v>
      </c>
      <c r="C881" s="11">
        <f t="shared" si="57"/>
        <v>10950.349777521618</v>
      </c>
      <c r="D881" s="11">
        <f t="shared" si="54"/>
        <v>-133.30307856490799</v>
      </c>
      <c r="E881" s="11">
        <f t="shared" si="55"/>
        <v>-425.93883091745749</v>
      </c>
      <c r="F881" s="11">
        <f>Speed_Calc!B$5*E881</f>
        <v>-383.34494782571176</v>
      </c>
      <c r="G881" s="14">
        <f>Speed_Calc!G$3+Speed_Calc!G$5*A881^2</f>
        <v>48.632402499999998</v>
      </c>
      <c r="H881" s="7">
        <f>(F881-G881)/Speed_Calc!G$2*9.806</f>
        <v>-3.1377554794769846</v>
      </c>
      <c r="I881" s="4">
        <f t="shared" si="56"/>
        <v>23.472222222222221</v>
      </c>
    </row>
    <row r="882" spans="1:9" x14ac:dyDescent="0.2">
      <c r="A882" s="11">
        <v>84.6</v>
      </c>
      <c r="B882" s="14">
        <v>3.133</v>
      </c>
      <c r="C882" s="11">
        <f t="shared" si="57"/>
        <v>10963.308771341168</v>
      </c>
      <c r="D882" s="11">
        <f t="shared" si="54"/>
        <v>-138.45465627068694</v>
      </c>
      <c r="E882" s="11">
        <f t="shared" si="55"/>
        <v>-441.87656256602219</v>
      </c>
      <c r="F882" s="11">
        <f>Speed_Calc!B$5*E882</f>
        <v>-397.68890630941996</v>
      </c>
      <c r="G882" s="14">
        <f>Speed_Calc!G$3+Speed_Calc!G$5*A882^2</f>
        <v>48.700211599999989</v>
      </c>
      <c r="H882" s="7">
        <f>(F882-G882)/Speed_Calc!G$2*9.806</f>
        <v>-3.242438289051683</v>
      </c>
      <c r="I882" s="4">
        <f t="shared" si="56"/>
        <v>23.499999999999996</v>
      </c>
    </row>
    <row r="883" spans="1:9" x14ac:dyDescent="0.2">
      <c r="A883" s="11">
        <v>84.7</v>
      </c>
      <c r="B883" s="14">
        <v>3.133</v>
      </c>
      <c r="C883" s="11">
        <f t="shared" si="57"/>
        <v>10976.267765160723</v>
      </c>
      <c r="D883" s="11">
        <f t="shared" si="54"/>
        <v>-143.65472439027741</v>
      </c>
      <c r="E883" s="11">
        <f t="shared" si="55"/>
        <v>-457.93123477420198</v>
      </c>
      <c r="F883" s="11">
        <f>Speed_Calc!B$5*E883</f>
        <v>-412.1381112967818</v>
      </c>
      <c r="G883" s="14">
        <f>Speed_Calc!G$3+Speed_Calc!G$5*A883^2</f>
        <v>48.768100899999993</v>
      </c>
      <c r="H883" s="7">
        <f>(F883-G883)/Speed_Calc!G$2*9.806</f>
        <v>-3.3478861605938088</v>
      </c>
      <c r="I883" s="4">
        <f t="shared" si="56"/>
        <v>23.527777777777779</v>
      </c>
    </row>
    <row r="884" spans="1:9" x14ac:dyDescent="0.2">
      <c r="A884" s="11">
        <v>84.8</v>
      </c>
      <c r="B884" s="14">
        <v>3.133</v>
      </c>
      <c r="C884" s="11">
        <f t="shared" si="57"/>
        <v>10989.226758980272</v>
      </c>
      <c r="D884" s="11">
        <f t="shared" si="54"/>
        <v>-148.90357697342927</v>
      </c>
      <c r="E884" s="11">
        <f t="shared" si="55"/>
        <v>-474.1033700804943</v>
      </c>
      <c r="F884" s="11">
        <f>Speed_Calc!B$5*E884</f>
        <v>-426.6930330724449</v>
      </c>
      <c r="G884" s="14">
        <f>Speed_Calc!G$3+Speed_Calc!G$5*A884^2</f>
        <v>48.836070399999997</v>
      </c>
      <c r="H884" s="7">
        <f>(F884-G884)/Speed_Calc!G$2*9.806</f>
        <v>-3.4541025101116993</v>
      </c>
      <c r="I884" s="4">
        <f t="shared" si="56"/>
        <v>23.555555555555554</v>
      </c>
    </row>
    <row r="885" spans="1:9" x14ac:dyDescent="0.2">
      <c r="A885" s="11">
        <v>84.9</v>
      </c>
      <c r="B885" s="14">
        <v>3.133</v>
      </c>
      <c r="C885" s="11">
        <f t="shared" si="57"/>
        <v>11002.185752799829</v>
      </c>
      <c r="D885" s="11">
        <f t="shared" si="54"/>
        <v>-154.20150919306536</v>
      </c>
      <c r="E885" s="11">
        <f t="shared" si="55"/>
        <v>-490.39349213342331</v>
      </c>
      <c r="F885" s="11">
        <f>Speed_Calc!B$5*E885</f>
        <v>-441.35414292008096</v>
      </c>
      <c r="G885" s="14">
        <f>Speed_Calc!G$3+Speed_Calc!G$5*A885^2</f>
        <v>48.9041201</v>
      </c>
      <c r="H885" s="7">
        <f>(F885-G885)/Speed_Calc!G$2*9.806</f>
        <v>-3.5610907608703064</v>
      </c>
      <c r="I885" s="4">
        <f t="shared" si="56"/>
        <v>23.583333333333336</v>
      </c>
    </row>
    <row r="886" spans="1:9" x14ac:dyDescent="0.2">
      <c r="A886" s="11">
        <v>85</v>
      </c>
      <c r="B886" s="14">
        <v>3.133</v>
      </c>
      <c r="C886" s="11">
        <f t="shared" si="57"/>
        <v>11015.144746619379</v>
      </c>
      <c r="D886" s="11">
        <f t="shared" si="54"/>
        <v>-159.54881734732743</v>
      </c>
      <c r="E886" s="11">
        <f t="shared" si="55"/>
        <v>-506.80212569151075</v>
      </c>
      <c r="F886" s="11">
        <f>Speed_Calc!B$5*E886</f>
        <v>-456.12191312235967</v>
      </c>
      <c r="G886" s="14">
        <f>Speed_Calc!G$3+Speed_Calc!G$5*A886^2</f>
        <v>48.972250000000003</v>
      </c>
      <c r="H886" s="7">
        <f>(F886-G886)/Speed_Calc!G$2*9.806</f>
        <v>-3.6688543433910059</v>
      </c>
      <c r="I886" s="4">
        <f t="shared" si="56"/>
        <v>23.611111111111111</v>
      </c>
    </row>
    <row r="887" spans="1:9" x14ac:dyDescent="0.2">
      <c r="A887" s="11">
        <v>85.1</v>
      </c>
      <c r="B887" s="14">
        <v>3.133</v>
      </c>
      <c r="C887" s="11">
        <f t="shared" si="57"/>
        <v>11028.103740438932</v>
      </c>
      <c r="D887" s="11">
        <f t="shared" si="54"/>
        <v>-164.94579886164473</v>
      </c>
      <c r="E887" s="11">
        <f t="shared" si="55"/>
        <v>-523.32979662331445</v>
      </c>
      <c r="F887" s="11">
        <f>Speed_Calc!B$5*E887</f>
        <v>-470.99681696098304</v>
      </c>
      <c r="G887" s="14">
        <f>Speed_Calc!G$3+Speed_Calc!G$5*A887^2</f>
        <v>49.04046009999999</v>
      </c>
      <c r="H887" s="7">
        <f>(F887-G887)/Speed_Calc!G$2*9.806</f>
        <v>-3.7773966954518512</v>
      </c>
      <c r="I887" s="4">
        <f t="shared" si="56"/>
        <v>23.638888888888886</v>
      </c>
    </row>
    <row r="888" spans="1:9" x14ac:dyDescent="0.2">
      <c r="A888" s="11">
        <v>85.2</v>
      </c>
      <c r="B888" s="14">
        <v>3.133</v>
      </c>
      <c r="C888" s="11">
        <f t="shared" si="57"/>
        <v>11041.062734258485</v>
      </c>
      <c r="D888" s="11">
        <f t="shared" si="54"/>
        <v>-170.39275229077498</v>
      </c>
      <c r="E888" s="11">
        <f t="shared" si="55"/>
        <v>-539.97703190738537</v>
      </c>
      <c r="F888" s="11">
        <f>Speed_Calc!B$5*E888</f>
        <v>-485.97932871664682</v>
      </c>
      <c r="G888" s="14">
        <f>Speed_Calc!G$3+Speed_Calc!G$5*A888^2</f>
        <v>49.108750400000005</v>
      </c>
      <c r="H888" s="7">
        <f>(F888-G888)/Speed_Calc!G$2*9.806</f>
        <v>-3.8867212620872871</v>
      </c>
      <c r="I888" s="4">
        <f t="shared" si="56"/>
        <v>23.666666666666668</v>
      </c>
    </row>
    <row r="889" spans="1:9" x14ac:dyDescent="0.2">
      <c r="A889" s="11">
        <v>85.3</v>
      </c>
      <c r="B889" s="14">
        <v>3.133</v>
      </c>
      <c r="C889" s="11">
        <f t="shared" si="57"/>
        <v>11054.021728078036</v>
      </c>
      <c r="D889" s="11">
        <f t="shared" si="54"/>
        <v>-175.8899773208598</v>
      </c>
      <c r="E889" s="11">
        <f t="shared" si="55"/>
        <v>-556.74435963226438</v>
      </c>
      <c r="F889" s="11">
        <f>Speed_Calc!B$5*E889</f>
        <v>-501.06992366903796</v>
      </c>
      <c r="G889" s="14">
        <f>Speed_Calc!G$3+Speed_Calc!G$5*A889^2</f>
        <v>49.177120899999991</v>
      </c>
      <c r="H889" s="7">
        <f>(F889-G889)/Speed_Calc!G$2*9.806</f>
        <v>-3.9968314955881374</v>
      </c>
      <c r="I889" s="4">
        <f t="shared" si="56"/>
        <v>23.694444444444443</v>
      </c>
    </row>
    <row r="890" spans="1:9" x14ac:dyDescent="0.2">
      <c r="A890" s="11">
        <v>85.4</v>
      </c>
      <c r="B890" s="14">
        <v>3.133</v>
      </c>
      <c r="C890" s="11">
        <f t="shared" si="57"/>
        <v>11066.980721897589</v>
      </c>
      <c r="D890" s="11">
        <f t="shared" si="54"/>
        <v>-181.43777477149052</v>
      </c>
      <c r="E890" s="11">
        <f t="shared" si="55"/>
        <v>-573.63230899651569</v>
      </c>
      <c r="F890" s="11">
        <f>Speed_Calc!B$5*E890</f>
        <v>-516.26907809686418</v>
      </c>
      <c r="G890" s="14">
        <f>Speed_Calc!G$3+Speed_Calc!G$5*A890^2</f>
        <v>49.245571600000005</v>
      </c>
      <c r="H890" s="7">
        <f>(F890-G890)/Speed_Calc!G$2*9.806</f>
        <v>-4.1077308555018144</v>
      </c>
      <c r="I890" s="4">
        <f t="shared" si="56"/>
        <v>23.722222222222225</v>
      </c>
    </row>
    <row r="891" spans="1:9" x14ac:dyDescent="0.2">
      <c r="A891" s="11">
        <v>85.5</v>
      </c>
      <c r="B891" s="14">
        <v>3.133</v>
      </c>
      <c r="C891" s="11">
        <f t="shared" si="57"/>
        <v>11079.939715717141</v>
      </c>
      <c r="D891" s="11">
        <f t="shared" si="54"/>
        <v>-187.03644659776532</v>
      </c>
      <c r="E891" s="11">
        <f t="shared" si="55"/>
        <v>-590.64141030873259</v>
      </c>
      <c r="F891" s="11">
        <f>Speed_Calc!B$5*E891</f>
        <v>-531.57726927785939</v>
      </c>
      <c r="G891" s="14">
        <f>Speed_Calc!G$3+Speed_Calc!G$5*A891^2</f>
        <v>49.314102499999997</v>
      </c>
      <c r="H891" s="7">
        <f>(F891-G891)/Speed_Calc!G$2*9.806</f>
        <v>-4.2194228086323617</v>
      </c>
      <c r="I891" s="4">
        <f t="shared" si="56"/>
        <v>23.75</v>
      </c>
    </row>
    <row r="892" spans="1:9" x14ac:dyDescent="0.2">
      <c r="A892" s="11">
        <v>85.6</v>
      </c>
      <c r="B892" s="14">
        <v>3.133</v>
      </c>
      <c r="C892" s="11">
        <f t="shared" si="57"/>
        <v>11092.898709536692</v>
      </c>
      <c r="D892" s="11">
        <f t="shared" si="54"/>
        <v>-192.68629589232876</v>
      </c>
      <c r="E892" s="11">
        <f t="shared" si="55"/>
        <v>-607.77219498748559</v>
      </c>
      <c r="F892" s="11">
        <f>Speed_Calc!B$5*E892</f>
        <v>-546.99497548873705</v>
      </c>
      <c r="G892" s="14">
        <f>Speed_Calc!G$3+Speed_Calc!G$5*A892^2</f>
        <v>49.382713599999988</v>
      </c>
      <c r="H892" s="7">
        <f>(F892-G892)/Speed_Calc!G$2*9.806</f>
        <v>-4.3319108290401145</v>
      </c>
      <c r="I892" s="4">
        <f t="shared" si="56"/>
        <v>23.777777777777775</v>
      </c>
    </row>
    <row r="893" spans="1:9" x14ac:dyDescent="0.2">
      <c r="A893" s="11">
        <v>85.7</v>
      </c>
      <c r="B893" s="14">
        <v>3.133</v>
      </c>
      <c r="C893" s="11">
        <f t="shared" si="57"/>
        <v>11105.857703356245</v>
      </c>
      <c r="D893" s="11">
        <f t="shared" si="54"/>
        <v>-198.38762688744504</v>
      </c>
      <c r="E893" s="11">
        <f t="shared" si="55"/>
        <v>-625.02519556137872</v>
      </c>
      <c r="F893" s="11">
        <f>Speed_Calc!B$5*E893</f>
        <v>-562.5226760052409</v>
      </c>
      <c r="G893" s="14">
        <f>Speed_Calc!G$3+Speed_Calc!G$5*A893^2</f>
        <v>49.4514049</v>
      </c>
      <c r="H893" s="7">
        <f>(F893-G893)/Speed_Calc!G$2*9.806</f>
        <v>-4.4451983980420682</v>
      </c>
      <c r="I893" s="4">
        <f t="shared" si="56"/>
        <v>23.805555555555557</v>
      </c>
    </row>
    <row r="894" spans="1:9" x14ac:dyDescent="0.2">
      <c r="A894" s="11">
        <v>85.8</v>
      </c>
      <c r="B894" s="14">
        <v>3.133</v>
      </c>
      <c r="C894" s="11">
        <f t="shared" si="57"/>
        <v>11118.816697175798</v>
      </c>
      <c r="D894" s="11">
        <f t="shared" si="54"/>
        <v>-204.14074495703602</v>
      </c>
      <c r="E894" s="11">
        <f t="shared" si="55"/>
        <v>-642.40094566899438</v>
      </c>
      <c r="F894" s="11">
        <f>Speed_Calc!B$5*E894</f>
        <v>-578.16085110209497</v>
      </c>
      <c r="G894" s="14">
        <f>Speed_Calc!G$3+Speed_Calc!G$5*A894^2</f>
        <v>49.520176399999997</v>
      </c>
      <c r="H894" s="7">
        <f>(F894-G894)/Speed_Calc!G$2*9.806</f>
        <v>-4.5592890042115126</v>
      </c>
      <c r="I894" s="4">
        <f t="shared" si="56"/>
        <v>23.833333333333332</v>
      </c>
    </row>
    <row r="895" spans="1:9" x14ac:dyDescent="0.2">
      <c r="A895" s="11">
        <v>85.9</v>
      </c>
      <c r="B895" s="14">
        <v>3.133</v>
      </c>
      <c r="C895" s="11">
        <f t="shared" si="57"/>
        <v>11131.77569099535</v>
      </c>
      <c r="D895" s="11">
        <f t="shared" si="54"/>
        <v>-209.94595661875519</v>
      </c>
      <c r="E895" s="11">
        <f t="shared" si="55"/>
        <v>-659.8999800589512</v>
      </c>
      <c r="F895" s="11">
        <f>Speed_Calc!B$5*E895</f>
        <v>-593.90998205305607</v>
      </c>
      <c r="G895" s="14">
        <f>Speed_Calc!G$3+Speed_Calc!G$5*A895^2</f>
        <v>49.589028100000007</v>
      </c>
      <c r="H895" s="7">
        <f>(F895-G895)/Speed_Calc!G$2*9.806</f>
        <v>-4.6741861433784209</v>
      </c>
      <c r="I895" s="4">
        <f t="shared" si="56"/>
        <v>23.861111111111111</v>
      </c>
    </row>
    <row r="896" spans="1:9" x14ac:dyDescent="0.2">
      <c r="A896" s="11">
        <v>86</v>
      </c>
      <c r="B896" s="14">
        <v>3.133</v>
      </c>
      <c r="C896" s="11">
        <f t="shared" si="57"/>
        <v>11144.734684814903</v>
      </c>
      <c r="D896" s="11">
        <f t="shared" si="54"/>
        <v>-215.80356953603177</v>
      </c>
      <c r="E896" s="11">
        <f t="shared" si="55"/>
        <v>-677.5228345898671</v>
      </c>
      <c r="F896" s="11">
        <f>Speed_Calc!B$5*E896</f>
        <v>-609.77055113088045</v>
      </c>
      <c r="G896" s="14">
        <f>Speed_Calc!G$3+Speed_Calc!G$5*A896^2</f>
        <v>49.657960000000003</v>
      </c>
      <c r="H896" s="7">
        <f>(F896-G896)/Speed_Calc!G$2*9.806</f>
        <v>-4.7898933186291952</v>
      </c>
      <c r="I896" s="4">
        <f t="shared" si="56"/>
        <v>23.888888888888889</v>
      </c>
    </row>
    <row r="897" spans="1:9" x14ac:dyDescent="0.2">
      <c r="A897" s="11">
        <v>86.1</v>
      </c>
      <c r="B897" s="14">
        <v>3.133</v>
      </c>
      <c r="C897" s="11">
        <f t="shared" si="57"/>
        <v>11157.693678634452</v>
      </c>
      <c r="D897" s="11">
        <f t="shared" si="54"/>
        <v>-221.71389252013029</v>
      </c>
      <c r="E897" s="11">
        <f t="shared" si="55"/>
        <v>-695.27004623037374</v>
      </c>
      <c r="F897" s="11">
        <f>Speed_Calc!B$5*E897</f>
        <v>-625.74304160733641</v>
      </c>
      <c r="G897" s="14">
        <f>Speed_Calc!G$3+Speed_Calc!G$5*A897^2</f>
        <v>49.726972099999998</v>
      </c>
      <c r="H897" s="7">
        <f>(F897-G897)/Speed_Calc!G$2*9.806</f>
        <v>-4.9064140403067702</v>
      </c>
      <c r="I897" s="4">
        <f t="shared" si="56"/>
        <v>23.916666666666664</v>
      </c>
    </row>
    <row r="898" spans="1:9" x14ac:dyDescent="0.2">
      <c r="A898" s="11">
        <v>86.2</v>
      </c>
      <c r="B898" s="14">
        <v>3.133</v>
      </c>
      <c r="C898" s="11">
        <f t="shared" si="57"/>
        <v>11170.652672454007</v>
      </c>
      <c r="D898" s="11">
        <f t="shared" si="54"/>
        <v>-227.67723553220327</v>
      </c>
      <c r="E898" s="11">
        <f t="shared" si="55"/>
        <v>-713.14215305910557</v>
      </c>
      <c r="F898" s="11">
        <f>Speed_Calc!B$5*E898</f>
        <v>-641.82793775319499</v>
      </c>
      <c r="G898" s="14">
        <f>Speed_Calc!G$3+Speed_Calc!G$5*A898^2</f>
        <v>49.796064399999999</v>
      </c>
      <c r="H898" s="7">
        <f>(F898-G898)/Speed_Calc!G$2*9.806</f>
        <v>-5.0237518260105398</v>
      </c>
      <c r="I898" s="4">
        <f t="shared" si="56"/>
        <v>23.944444444444446</v>
      </c>
    </row>
    <row r="899" spans="1:9" x14ac:dyDescent="0.2">
      <c r="A899" s="11">
        <v>86.3</v>
      </c>
      <c r="B899" s="14">
        <v>3.133</v>
      </c>
      <c r="C899" s="11">
        <f t="shared" si="57"/>
        <v>11183.611666273559</v>
      </c>
      <c r="D899" s="11">
        <f t="shared" si="54"/>
        <v>-233.69390968534583</v>
      </c>
      <c r="E899" s="11">
        <f t="shared" si="55"/>
        <v>-731.13969426469714</v>
      </c>
      <c r="F899" s="11">
        <f>Speed_Calc!B$5*E899</f>
        <v>-658.02572483822746</v>
      </c>
      <c r="G899" s="14">
        <f>Speed_Calc!G$3+Speed_Calc!G$5*A899^2</f>
        <v>49.865236899999999</v>
      </c>
      <c r="H899" s="7">
        <f>(F899-G899)/Speed_Calc!G$2*9.806</f>
        <v>-5.1419102005963389</v>
      </c>
      <c r="I899" s="4">
        <f t="shared" si="56"/>
        <v>23.972222222222221</v>
      </c>
    </row>
    <row r="900" spans="1:9" x14ac:dyDescent="0.2">
      <c r="A900" s="11">
        <v>86.4</v>
      </c>
      <c r="B900" s="14">
        <v>3.133</v>
      </c>
      <c r="C900" s="11">
        <f t="shared" si="57"/>
        <v>11196.570660093112</v>
      </c>
      <c r="D900" s="11">
        <f t="shared" si="54"/>
        <v>-239.76422724666023</v>
      </c>
      <c r="E900" s="11">
        <f t="shared" si="55"/>
        <v>-749.2632101458131</v>
      </c>
      <c r="F900" s="11">
        <f>Speed_Calc!B$5*E900</f>
        <v>-674.33688913123183</v>
      </c>
      <c r="G900" s="14">
        <f>Speed_Calc!G$3+Speed_Calc!G$5*A900^2</f>
        <v>49.934489600000006</v>
      </c>
      <c r="H900" s="7">
        <f>(F900-G900)/Speed_Calc!G$2*9.806</f>
        <v>-5.2608926961766356</v>
      </c>
      <c r="I900" s="4">
        <f t="shared" si="56"/>
        <v>24</v>
      </c>
    </row>
    <row r="901" spans="1:9" x14ac:dyDescent="0.2">
      <c r="A901" s="11">
        <v>86.5</v>
      </c>
      <c r="B901" s="14">
        <v>3.133</v>
      </c>
      <c r="C901" s="11">
        <f t="shared" si="57"/>
        <v>11209.529653912665</v>
      </c>
      <c r="D901" s="11">
        <f t="shared" si="54"/>
        <v>-245.88850163930073</v>
      </c>
      <c r="E901" s="11">
        <f t="shared" si="55"/>
        <v>-767.51324211111194</v>
      </c>
      <c r="F901" s="11">
        <f>Speed_Calc!B$5*E901</f>
        <v>-690.76191790000075</v>
      </c>
      <c r="G901" s="14">
        <f>Speed_Calc!G$3+Speed_Calc!G$5*A901^2</f>
        <v>50.003822499999998</v>
      </c>
      <c r="H901" s="7">
        <f>(F901-G901)/Speed_Calc!G$2*9.806</f>
        <v>-5.3807028521203009</v>
      </c>
      <c r="I901" s="4">
        <f t="shared" si="56"/>
        <v>24.027777777777779</v>
      </c>
    </row>
    <row r="902" spans="1:9" x14ac:dyDescent="0.2">
      <c r="A902" s="11">
        <v>86.6</v>
      </c>
      <c r="B902" s="14">
        <v>3.133</v>
      </c>
      <c r="C902" s="11">
        <f t="shared" si="57"/>
        <v>11222.488647732211</v>
      </c>
      <c r="D902" s="11">
        <f t="shared" si="54"/>
        <v>-252.06704744453032</v>
      </c>
      <c r="E902" s="11">
        <f t="shared" si="55"/>
        <v>-785.89033267925197</v>
      </c>
      <c r="F902" s="11">
        <f>Speed_Calc!B$5*E902</f>
        <v>-707.3012994113268</v>
      </c>
      <c r="G902" s="14">
        <f>Speed_Calc!G$3+Speed_Calc!G$5*A902^2</f>
        <v>50.07323559999999</v>
      </c>
      <c r="H902" s="7">
        <f>(F902-G902)/Speed_Calc!G$2*9.806</f>
        <v>-5.5013442150526437</v>
      </c>
      <c r="I902" s="4">
        <f t="shared" si="56"/>
        <v>24.055555555555554</v>
      </c>
    </row>
    <row r="903" spans="1:9" x14ac:dyDescent="0.2">
      <c r="A903" s="11">
        <v>86.7</v>
      </c>
      <c r="B903" s="14">
        <v>3.133</v>
      </c>
      <c r="C903" s="11">
        <f t="shared" si="57"/>
        <v>11235.447641551767</v>
      </c>
      <c r="D903" s="11">
        <f t="shared" si="54"/>
        <v>-258.30018040379377</v>
      </c>
      <c r="E903" s="11">
        <f t="shared" si="55"/>
        <v>-804.39502547894244</v>
      </c>
      <c r="F903" s="11">
        <f>Speed_Calc!B$5*E903</f>
        <v>-723.95552293104822</v>
      </c>
      <c r="G903" s="14">
        <f>Speed_Calc!G$3+Speed_Calc!G$5*A903^2</f>
        <v>50.142728899999994</v>
      </c>
      <c r="H903" s="7">
        <f>(F903-G903)/Speed_Calc!G$2*9.806</f>
        <v>-5.6228203388557469</v>
      </c>
      <c r="I903" s="4">
        <f t="shared" si="56"/>
        <v>24.083333333333332</v>
      </c>
    </row>
    <row r="904" spans="1:9" x14ac:dyDescent="0.2">
      <c r="A904" s="11">
        <v>86.8</v>
      </c>
      <c r="B904" s="14">
        <v>3.133</v>
      </c>
      <c r="C904" s="11">
        <f t="shared" si="57"/>
        <v>11248.406635371319</v>
      </c>
      <c r="D904" s="11">
        <f t="shared" si="54"/>
        <v>-264.58821742073707</v>
      </c>
      <c r="E904" s="11">
        <f t="shared" si="55"/>
        <v>-823.02786524883663</v>
      </c>
      <c r="F904" s="11">
        <f>Speed_Calc!B$5*E904</f>
        <v>-740.72507872395295</v>
      </c>
      <c r="G904" s="14">
        <f>Speed_Calc!G$3+Speed_Calc!G$5*A904^2</f>
        <v>50.212302399999999</v>
      </c>
      <c r="H904" s="7">
        <f>(F904-G904)/Speed_Calc!G$2*9.806</f>
        <v>-5.7451347846677647</v>
      </c>
      <c r="I904" s="4">
        <f t="shared" si="56"/>
        <v>24.111111111111111</v>
      </c>
    </row>
    <row r="905" spans="1:9" x14ac:dyDescent="0.2">
      <c r="A905" s="11">
        <v>86.9</v>
      </c>
      <c r="B905" s="14">
        <v>3.133</v>
      </c>
      <c r="C905" s="11">
        <f t="shared" si="57"/>
        <v>11261.365629190872</v>
      </c>
      <c r="D905" s="11">
        <f t="shared" si="54"/>
        <v>-270.93147656330149</v>
      </c>
      <c r="E905" s="11">
        <f t="shared" si="55"/>
        <v>-841.78939783764565</v>
      </c>
      <c r="F905" s="11">
        <f>Speed_Calc!B$5*E905</f>
        <v>-757.61045805388108</v>
      </c>
      <c r="G905" s="14">
        <f>Speed_Calc!G$3+Speed_Calc!G$5*A905^2</f>
        <v>50.281956100000002</v>
      </c>
      <c r="H905" s="7">
        <f>(F905-G905)/Speed_Calc!G$2*9.806</f>
        <v>-5.8682911208836721</v>
      </c>
      <c r="I905" s="4">
        <f t="shared" si="56"/>
        <v>24.138888888888889</v>
      </c>
    </row>
    <row r="906" spans="1:9" x14ac:dyDescent="0.2">
      <c r="A906" s="11">
        <v>87</v>
      </c>
      <c r="B906" s="14">
        <v>3.133</v>
      </c>
      <c r="C906" s="11">
        <f t="shared" si="57"/>
        <v>11274.324623010423</v>
      </c>
      <c r="D906" s="11">
        <f t="shared" si="54"/>
        <v>-277.33027706575638</v>
      </c>
      <c r="E906" s="11">
        <f t="shared" si="55"/>
        <v>-860.68017020407149</v>
      </c>
      <c r="F906" s="11">
        <f>Speed_Calc!B$5*E906</f>
        <v>-774.6121531836643</v>
      </c>
      <c r="G906" s="14">
        <f>Speed_Calc!G$3+Speed_Calc!G$5*A906^2</f>
        <v>50.351689999999998</v>
      </c>
      <c r="H906" s="7">
        <f>(F906-G906)/Speed_Calc!G$2*9.806</f>
        <v>-5.9922929231548236</v>
      </c>
      <c r="I906" s="4">
        <f t="shared" si="56"/>
        <v>24.166666666666664</v>
      </c>
    </row>
    <row r="907" spans="1:9" x14ac:dyDescent="0.2">
      <c r="A907" s="11">
        <v>87.1</v>
      </c>
      <c r="B907" s="14">
        <v>3.133</v>
      </c>
      <c r="C907" s="11">
        <f t="shared" si="57"/>
        <v>11287.283616829976</v>
      </c>
      <c r="D907" s="11">
        <f t="shared" si="54"/>
        <v>-283.78493933076641</v>
      </c>
      <c r="E907" s="11">
        <f t="shared" si="55"/>
        <v>-879.70073041684202</v>
      </c>
      <c r="F907" s="11">
        <f>Speed_Calc!B$5*E907</f>
        <v>-791.73065737515788</v>
      </c>
      <c r="G907" s="14">
        <f>Speed_Calc!G$3+Speed_Calc!G$5*A907^2</f>
        <v>50.421504099999993</v>
      </c>
      <c r="H907" s="7">
        <f>(F907-G907)/Speed_Calc!G$2*9.806</f>
        <v>-6.1171437743891834</v>
      </c>
      <c r="I907" s="4">
        <f t="shared" si="56"/>
        <v>24.194444444444443</v>
      </c>
    </row>
    <row r="908" spans="1:9" x14ac:dyDescent="0.2">
      <c r="A908" s="11">
        <v>87.2</v>
      </c>
      <c r="B908" s="14">
        <v>3.133</v>
      </c>
      <c r="C908" s="11">
        <f t="shared" si="57"/>
        <v>11300.242610649528</v>
      </c>
      <c r="D908" s="11">
        <f t="shared" si="54"/>
        <v>-290.29578493142884</v>
      </c>
      <c r="E908" s="11">
        <f t="shared" si="55"/>
        <v>-898.8516276546535</v>
      </c>
      <c r="F908" s="11">
        <f>Speed_Calc!B$5*E908</f>
        <v>-808.96646488918816</v>
      </c>
      <c r="G908" s="14">
        <f>Speed_Calc!G$3+Speed_Calc!G$5*A908^2</f>
        <v>50.491398399999994</v>
      </c>
      <c r="H908" s="7">
        <f>(F908-G908)/Speed_Calc!G$2*9.806</f>
        <v>-6.2428472647509468</v>
      </c>
      <c r="I908" s="4">
        <f t="shared" si="56"/>
        <v>24.222222222222221</v>
      </c>
    </row>
    <row r="909" spans="1:9" x14ac:dyDescent="0.2">
      <c r="A909" s="11">
        <v>87.3</v>
      </c>
      <c r="B909" s="14">
        <v>3.133</v>
      </c>
      <c r="C909" s="11">
        <f t="shared" si="57"/>
        <v>11313.201604469081</v>
      </c>
      <c r="D909" s="11">
        <f t="shared" si="54"/>
        <v>-296.86313661335907</v>
      </c>
      <c r="E909" s="11">
        <f t="shared" si="55"/>
        <v>-918.13341220626512</v>
      </c>
      <c r="F909" s="11">
        <f>Speed_Calc!B$5*E909</f>
        <v>-826.32007098563861</v>
      </c>
      <c r="G909" s="14">
        <f>Speed_Calc!G$3+Speed_Calc!G$5*A909^2</f>
        <v>50.561372899999995</v>
      </c>
      <c r="H909" s="7">
        <f>(F909-G909)/Speed_Calc!G$2*9.806</f>
        <v>-6.3694069916611644</v>
      </c>
      <c r="I909" s="4">
        <f t="shared" si="56"/>
        <v>24.25</v>
      </c>
    </row>
    <row r="910" spans="1:9" x14ac:dyDescent="0.2">
      <c r="A910" s="11">
        <v>87.4</v>
      </c>
      <c r="B910" s="14">
        <v>3.133</v>
      </c>
      <c r="C910" s="11">
        <f t="shared" si="57"/>
        <v>11326.160598288634</v>
      </c>
      <c r="D910" s="11">
        <f t="shared" si="54"/>
        <v>-303.48731829671306</v>
      </c>
      <c r="E910" s="11">
        <f t="shared" si="55"/>
        <v>-937.54663547039479</v>
      </c>
      <c r="F910" s="11">
        <f>Speed_Calc!B$5*E910</f>
        <v>-843.79197192335528</v>
      </c>
      <c r="G910" s="14">
        <f>Speed_Calc!G$3+Speed_Calc!G$5*A910^2</f>
        <v>50.631427600000002</v>
      </c>
      <c r="H910" s="7">
        <f>(F910-G910)/Speed_Calc!G$2*9.806</f>
        <v>-6.4968265597970527</v>
      </c>
      <c r="I910" s="4">
        <f t="shared" si="56"/>
        <v>24.277777777777779</v>
      </c>
    </row>
    <row r="911" spans="1:9" x14ac:dyDescent="0.2">
      <c r="A911" s="11">
        <v>87.5</v>
      </c>
      <c r="B911" s="14">
        <v>3.133</v>
      </c>
      <c r="C911" s="11">
        <f t="shared" si="57"/>
        <v>11339.119592108183</v>
      </c>
      <c r="D911" s="11">
        <f t="shared" si="54"/>
        <v>-310.16865507826429</v>
      </c>
      <c r="E911" s="11">
        <f t="shared" si="55"/>
        <v>-957.09184995578676</v>
      </c>
      <c r="F911" s="11">
        <f>Speed_Calc!B$5*E911</f>
        <v>-861.3826649602081</v>
      </c>
      <c r="G911" s="14">
        <f>Speed_Calc!G$3+Speed_Calc!G$5*A911^2</f>
        <v>50.701562499999994</v>
      </c>
      <c r="H911" s="7">
        <f>(F911-G911)/Speed_Calc!G$2*9.806</f>
        <v>-6.6251095810924445</v>
      </c>
      <c r="I911" s="4">
        <f t="shared" si="56"/>
        <v>24.305555555555554</v>
      </c>
    </row>
    <row r="912" spans="1:9" x14ac:dyDescent="0.2">
      <c r="A912" s="11">
        <v>87.6</v>
      </c>
      <c r="B912" s="14">
        <v>3.133</v>
      </c>
      <c r="C912" s="11">
        <f t="shared" si="57"/>
        <v>11352.078585927737</v>
      </c>
      <c r="D912" s="11">
        <f t="shared" si="54"/>
        <v>-316.90747323346528</v>
      </c>
      <c r="E912" s="11">
        <f t="shared" si="55"/>
        <v>-976.76960928122867</v>
      </c>
      <c r="F912" s="11">
        <f>Speed_Calc!B$5*E912</f>
        <v>-879.0926483531058</v>
      </c>
      <c r="G912" s="14">
        <f>Speed_Calc!G$3+Speed_Calc!G$5*A912^2</f>
        <v>50.771777599999993</v>
      </c>
      <c r="H912" s="7">
        <f>(F912-G912)/Speed_Calc!G$2*9.806</f>
        <v>-6.7542596747378916</v>
      </c>
      <c r="I912" s="4">
        <f t="shared" si="56"/>
        <v>24.333333333333332</v>
      </c>
    </row>
    <row r="913" spans="1:9" x14ac:dyDescent="0.2">
      <c r="A913" s="11">
        <v>87.7</v>
      </c>
      <c r="B913" s="14">
        <v>3.133</v>
      </c>
      <c r="C913" s="11">
        <f t="shared" si="57"/>
        <v>11365.037579747288</v>
      </c>
      <c r="D913" s="11">
        <f t="shared" si="54"/>
        <v>-323.70410021847022</v>
      </c>
      <c r="E913" s="11">
        <f t="shared" si="55"/>
        <v>-996.58046817545016</v>
      </c>
      <c r="F913" s="11">
        <f>Speed_Calc!B$5*E913</f>
        <v>-896.92242135790514</v>
      </c>
      <c r="G913" s="14">
        <f>Speed_Calc!G$3+Speed_Calc!G$5*A913^2</f>
        <v>50.842072900000005</v>
      </c>
      <c r="H913" s="7">
        <f>(F913-G913)/Speed_Calc!G$2*9.806</f>
        <v>-6.8842804671800124</v>
      </c>
      <c r="I913" s="4">
        <f t="shared" si="56"/>
        <v>24.361111111111111</v>
      </c>
    </row>
    <row r="914" spans="1:9" x14ac:dyDescent="0.2">
      <c r="A914" s="11">
        <v>87.8</v>
      </c>
      <c r="B914" s="14">
        <v>3.133</v>
      </c>
      <c r="C914" s="11">
        <f t="shared" si="57"/>
        <v>11377.996573566841</v>
      </c>
      <c r="D914" s="11">
        <f t="shared" si="54"/>
        <v>-330.55886467223729</v>
      </c>
      <c r="E914" s="11">
        <f t="shared" si="55"/>
        <v>-1016.5249824772675</v>
      </c>
      <c r="F914" s="11">
        <f>Speed_Calc!B$5*E914</f>
        <v>-914.87248422954076</v>
      </c>
      <c r="G914" s="14">
        <f>Speed_Calc!G$3+Speed_Calc!G$5*A914^2</f>
        <v>50.912448399999995</v>
      </c>
      <c r="H914" s="7">
        <f>(F914-G914)/Speed_Calc!G$2*9.806</f>
        <v>-7.0151755921224268</v>
      </c>
      <c r="I914" s="4">
        <f t="shared" si="56"/>
        <v>24.388888888888886</v>
      </c>
    </row>
    <row r="915" spans="1:9" x14ac:dyDescent="0.2">
      <c r="A915" s="11">
        <v>87.9</v>
      </c>
      <c r="B915" s="14">
        <v>3.133</v>
      </c>
      <c r="C915" s="11">
        <f t="shared" si="57"/>
        <v>11390.955567386394</v>
      </c>
      <c r="D915" s="11">
        <f t="shared" si="54"/>
        <v>-337.47209641853232</v>
      </c>
      <c r="E915" s="11">
        <f t="shared" si="55"/>
        <v>-1036.6037091354233</v>
      </c>
      <c r="F915" s="11">
        <f>Speed_Calc!B$5*E915</f>
        <v>-932.94333822188094</v>
      </c>
      <c r="G915" s="14">
        <f>Speed_Calc!G$3+Speed_Calc!G$5*A915^2</f>
        <v>50.982904099999999</v>
      </c>
      <c r="H915" s="7">
        <f>(F915-G915)/Speed_Calc!G$2*9.806</f>
        <v>-7.1469486905247139</v>
      </c>
      <c r="I915" s="4">
        <f t="shared" si="56"/>
        <v>24.416666666666668</v>
      </c>
    </row>
    <row r="916" spans="1:9" x14ac:dyDescent="0.2">
      <c r="A916" s="11">
        <v>88</v>
      </c>
      <c r="B916" s="14">
        <v>3.133</v>
      </c>
      <c r="C916" s="11">
        <f t="shared" si="57"/>
        <v>11403.914561205946</v>
      </c>
      <c r="D916" s="11">
        <f t="shared" si="54"/>
        <v>-344.44412646802789</v>
      </c>
      <c r="E916" s="11">
        <f t="shared" si="55"/>
        <v>-1056.8172062087219</v>
      </c>
      <c r="F916" s="11">
        <f>Speed_Calc!B$5*E916</f>
        <v>-951.13548558784976</v>
      </c>
      <c r="G916" s="14">
        <f>Speed_Calc!G$3+Speed_Calc!G$5*A916^2</f>
        <v>51.053439999999995</v>
      </c>
      <c r="H916" s="7">
        <f>(F916-G916)/Speed_Calc!G$2*9.806</f>
        <v>-7.2796034106032996</v>
      </c>
      <c r="I916" s="4">
        <f t="shared" si="56"/>
        <v>24.444444444444443</v>
      </c>
    </row>
    <row r="917" spans="1:9" x14ac:dyDescent="0.2">
      <c r="A917" s="11">
        <v>88.1</v>
      </c>
      <c r="B917" s="14">
        <v>3.133</v>
      </c>
      <c r="C917" s="11">
        <f t="shared" si="57"/>
        <v>11416.873555025497</v>
      </c>
      <c r="D917" s="11">
        <f t="shared" si="54"/>
        <v>-351.47528702034174</v>
      </c>
      <c r="E917" s="11">
        <f t="shared" si="55"/>
        <v>-1077.1660328659736</v>
      </c>
      <c r="F917" s="11">
        <f>Speed_Calc!B$5*E917</f>
        <v>-969.44942957937633</v>
      </c>
      <c r="G917" s="14">
        <f>Speed_Calc!G$3+Speed_Calc!G$5*A917^2</f>
        <v>51.12405609999999</v>
      </c>
      <c r="H917" s="7">
        <f>(F917-G917)/Speed_Calc!G$2*9.806</f>
        <v>-7.4131434078310843</v>
      </c>
      <c r="I917" s="4">
        <f t="shared" si="56"/>
        <v>24.472222222222221</v>
      </c>
    </row>
    <row r="918" spans="1:9" x14ac:dyDescent="0.2">
      <c r="A918" s="11">
        <v>88.2</v>
      </c>
      <c r="B918" s="14">
        <v>3.133</v>
      </c>
      <c r="C918" s="11">
        <f t="shared" si="57"/>
        <v>11429.832548845052</v>
      </c>
      <c r="D918" s="11">
        <f t="shared" si="54"/>
        <v>-358.56591146608457</v>
      </c>
      <c r="E918" s="11">
        <f t="shared" si="55"/>
        <v>-1097.6507493859729</v>
      </c>
      <c r="F918" s="11">
        <f>Speed_Calc!B$5*E918</f>
        <v>-987.88567444737555</v>
      </c>
      <c r="G918" s="14">
        <f>Speed_Calc!G$3+Speed_Calc!G$5*A918^2</f>
        <v>51.194752399999999</v>
      </c>
      <c r="H918" s="7">
        <f>(F918-G918)/Speed_Calc!G$2*9.806</f>
        <v>-7.547572344937306</v>
      </c>
      <c r="I918" s="4">
        <f t="shared" si="56"/>
        <v>24.5</v>
      </c>
    </row>
    <row r="919" spans="1:9" x14ac:dyDescent="0.2">
      <c r="A919" s="11">
        <v>88.3</v>
      </c>
      <c r="B919" s="14">
        <v>3.133</v>
      </c>
      <c r="C919" s="11">
        <f t="shared" si="57"/>
        <v>11442.791542664601</v>
      </c>
      <c r="D919" s="11">
        <f t="shared" si="54"/>
        <v>-365.71633438893178</v>
      </c>
      <c r="E919" s="11">
        <f t="shared" si="55"/>
        <v>-1118.2719171575491</v>
      </c>
      <c r="F919" s="11">
        <f>Speed_Calc!B$5*E919</f>
        <v>-1006.4447254417942</v>
      </c>
      <c r="G919" s="14">
        <f>Speed_Calc!G$3+Speed_Calc!G$5*A919^2</f>
        <v>51.265528899999993</v>
      </c>
      <c r="H919" s="7">
        <f>(F919-G919)/Speed_Calc!G$2*9.806</f>
        <v>-7.6828938919078755</v>
      </c>
      <c r="I919" s="4">
        <f t="shared" si="56"/>
        <v>24.527777777777775</v>
      </c>
    </row>
    <row r="920" spans="1:9" x14ac:dyDescent="0.2">
      <c r="A920" s="11">
        <v>88.4</v>
      </c>
      <c r="B920" s="14">
        <v>3.133</v>
      </c>
      <c r="C920" s="11">
        <f t="shared" si="57"/>
        <v>11455.750536484156</v>
      </c>
      <c r="D920" s="11">
        <f t="shared" si="54"/>
        <v>-372.9268915676688</v>
      </c>
      <c r="E920" s="11">
        <f t="shared" si="55"/>
        <v>-1139.0300986795314</v>
      </c>
      <c r="F920" s="11">
        <f>Speed_Calc!B$5*E920</f>
        <v>-1025.1270888115782</v>
      </c>
      <c r="G920" s="14">
        <f>Speed_Calc!G$3+Speed_Calc!G$5*A920^2</f>
        <v>51.3363856</v>
      </c>
      <c r="H920" s="7">
        <f>(F920-G920)/Speed_Calc!G$2*9.806</f>
        <v>-7.8191117259851382</v>
      </c>
      <c r="I920" s="4">
        <f t="shared" si="56"/>
        <v>24.555555555555557</v>
      </c>
    </row>
    <row r="921" spans="1:9" x14ac:dyDescent="0.2">
      <c r="A921" s="11">
        <v>88.5</v>
      </c>
      <c r="B921" s="14">
        <v>3.133</v>
      </c>
      <c r="C921" s="11">
        <f t="shared" si="57"/>
        <v>11468.709530303706</v>
      </c>
      <c r="D921" s="11">
        <f t="shared" si="54"/>
        <v>-380.19791997824211</v>
      </c>
      <c r="E921" s="11">
        <f t="shared" si="55"/>
        <v>-1159.9258575607391</v>
      </c>
      <c r="F921" s="11">
        <f>Speed_Calc!B$5*E921</f>
        <v>-1043.9332718046653</v>
      </c>
      <c r="G921" s="14">
        <f>Speed_Calc!G$3+Speed_Calc!G$5*A921^2</f>
        <v>51.407322499999992</v>
      </c>
      <c r="H921" s="7">
        <f>(F921-G921)/Speed_Calc!G$2*9.806</f>
        <v>-7.9562295316678124</v>
      </c>
      <c r="I921" s="4">
        <f t="shared" si="56"/>
        <v>24.583333333333332</v>
      </c>
    </row>
    <row r="922" spans="1:9" x14ac:dyDescent="0.2">
      <c r="A922" s="11">
        <v>88.6</v>
      </c>
      <c r="B922" s="14">
        <v>3.133</v>
      </c>
      <c r="C922" s="11">
        <f t="shared" si="57"/>
        <v>11481.668524123257</v>
      </c>
      <c r="D922" s="11">
        <f t="shared" si="54"/>
        <v>-387.52975779583124</v>
      </c>
      <c r="E922" s="11">
        <f t="shared" si="55"/>
        <v>-1180.9597585200277</v>
      </c>
      <c r="F922" s="11">
        <f>Speed_Calc!B$5*E922</f>
        <v>-1062.8637826680249</v>
      </c>
      <c r="G922" s="14">
        <f>Speed_Calc!G$3+Speed_Calc!G$5*A922^2</f>
        <v>51.478339599999998</v>
      </c>
      <c r="H922" s="7">
        <f>(F922-G922)/Speed_Calc!G$2*9.806</f>
        <v>-8.0942510007112976</v>
      </c>
      <c r="I922" s="4">
        <f t="shared" si="56"/>
        <v>24.611111111111107</v>
      </c>
    </row>
    <row r="923" spans="1:9" x14ac:dyDescent="0.2">
      <c r="A923" s="11">
        <v>88.7</v>
      </c>
      <c r="B923" s="14">
        <v>3.133</v>
      </c>
      <c r="C923" s="11">
        <f t="shared" si="57"/>
        <v>11494.627517942812</v>
      </c>
      <c r="D923" s="11">
        <f t="shared" si="54"/>
        <v>-394.92274439689157</v>
      </c>
      <c r="E923" s="11">
        <f t="shared" si="55"/>
        <v>-1202.1323673862537</v>
      </c>
      <c r="F923" s="11">
        <f>Speed_Calc!B$5*E923</f>
        <v>-1081.9191306476284</v>
      </c>
      <c r="G923" s="14">
        <f>Speed_Calc!G$3+Speed_Calc!G$5*A923^2</f>
        <v>51.549436900000003</v>
      </c>
      <c r="H923" s="7">
        <f>(F923-G923)/Speed_Calc!G$2*9.806</f>
        <v>-8.2331798321274388</v>
      </c>
      <c r="I923" s="4">
        <f t="shared" si="56"/>
        <v>24.638888888888889</v>
      </c>
    </row>
    <row r="924" spans="1:9" x14ac:dyDescent="0.2">
      <c r="A924" s="11">
        <v>88.8</v>
      </c>
      <c r="B924" s="14">
        <v>3.133</v>
      </c>
      <c r="C924" s="11">
        <f t="shared" si="57"/>
        <v>11507.586511762362</v>
      </c>
      <c r="D924" s="11">
        <f t="shared" si="54"/>
        <v>-402.37722036120613</v>
      </c>
      <c r="E924" s="11">
        <f t="shared" si="55"/>
        <v>-1223.4442510982622</v>
      </c>
      <c r="F924" s="11">
        <f>Speed_Calc!B$5*E924</f>
        <v>-1101.0998259884359</v>
      </c>
      <c r="G924" s="14">
        <f>Speed_Calc!G$3+Speed_Calc!G$5*A924^2</f>
        <v>51.620614399999994</v>
      </c>
      <c r="H924" s="7">
        <f>(F924-G924)/Speed_Calc!G$2*9.806</f>
        <v>-8.3730197321844457</v>
      </c>
      <c r="I924" s="4">
        <f t="shared" si="56"/>
        <v>24.666666666666664</v>
      </c>
    </row>
    <row r="925" spans="1:9" x14ac:dyDescent="0.2">
      <c r="A925" s="11">
        <v>88.9</v>
      </c>
      <c r="B925" s="14">
        <v>3.133</v>
      </c>
      <c r="C925" s="11">
        <f t="shared" si="57"/>
        <v>11520.545505581915</v>
      </c>
      <c r="D925" s="11">
        <f t="shared" si="54"/>
        <v>-409.89352747395793</v>
      </c>
      <c r="E925" s="11">
        <f t="shared" si="55"/>
        <v>-1244.8959777049342</v>
      </c>
      <c r="F925" s="11">
        <f>Speed_Calc!B$5*E925</f>
        <v>-1120.4063799344408</v>
      </c>
      <c r="G925" s="14">
        <f>Speed_Calc!G$3+Speed_Calc!G$5*A925^2</f>
        <v>51.691872099999998</v>
      </c>
      <c r="H925" s="7">
        <f>(F925-G925)/Speed_Calc!G$2*9.806</f>
        <v>-8.5137744144072034</v>
      </c>
      <c r="I925" s="4">
        <f t="shared" si="56"/>
        <v>24.694444444444446</v>
      </c>
    </row>
    <row r="926" spans="1:9" x14ac:dyDescent="0.2">
      <c r="A926" s="11">
        <v>89</v>
      </c>
      <c r="B926" s="14">
        <v>3.133</v>
      </c>
      <c r="C926" s="11">
        <f t="shared" si="57"/>
        <v>11533.504499401468</v>
      </c>
      <c r="D926" s="11">
        <f t="shared" si="54"/>
        <v>-417.47200872777108</v>
      </c>
      <c r="E926" s="11">
        <f t="shared" si="55"/>
        <v>-1266.4881163651485</v>
      </c>
      <c r="F926" s="11">
        <f>Speed_Calc!B$5*E926</f>
        <v>-1139.8393047286336</v>
      </c>
      <c r="G926" s="14">
        <f>Speed_Calc!G$3+Speed_Calc!G$5*A926^2</f>
        <v>51.763210000000001</v>
      </c>
      <c r="H926" s="7">
        <f>(F926-G926)/Speed_Calc!G$2*9.806</f>
        <v>-8.6554475995770233</v>
      </c>
      <c r="I926" s="4">
        <f t="shared" si="56"/>
        <v>24.722222222222221</v>
      </c>
    </row>
    <row r="927" spans="1:9" x14ac:dyDescent="0.2">
      <c r="A927" s="11">
        <v>89.1</v>
      </c>
      <c r="B927" s="14">
        <v>3.133</v>
      </c>
      <c r="C927" s="11">
        <f t="shared" si="57"/>
        <v>11546.463493221017</v>
      </c>
      <c r="D927" s="11">
        <f t="shared" si="54"/>
        <v>-425.11300832477002</v>
      </c>
      <c r="E927" s="11">
        <f t="shared" si="55"/>
        <v>-1288.2212373477882</v>
      </c>
      <c r="F927" s="11">
        <f>Speed_Calc!B$5*E927</f>
        <v>-1159.3991136130094</v>
      </c>
      <c r="G927" s="14">
        <f>Speed_Calc!G$3+Speed_Calc!G$5*A927^2</f>
        <v>51.834628099999989</v>
      </c>
      <c r="H927" s="7">
        <f>(F927-G927)/Speed_Calc!G$2*9.806</f>
        <v>-8.7980430157316807</v>
      </c>
      <c r="I927" s="4">
        <f t="shared" si="56"/>
        <v>24.749999999999996</v>
      </c>
    </row>
    <row r="928" spans="1:9" x14ac:dyDescent="0.2">
      <c r="A928" s="11">
        <v>89.2</v>
      </c>
      <c r="B928" s="14">
        <v>3.133</v>
      </c>
      <c r="C928" s="11">
        <f t="shared" si="57"/>
        <v>11559.422487040572</v>
      </c>
      <c r="D928" s="11">
        <f t="shared" si="54"/>
        <v>-432.8168716786405</v>
      </c>
      <c r="E928" s="11">
        <f t="shared" si="55"/>
        <v>-1310.0959120317593</v>
      </c>
      <c r="F928" s="11">
        <f>Speed_Calc!B$5*E928</f>
        <v>-1179.0863208285834</v>
      </c>
      <c r="G928" s="14">
        <f>Speed_Calc!G$3+Speed_Calc!G$5*A928^2</f>
        <v>51.906126399999998</v>
      </c>
      <c r="H928" s="7">
        <f>(F928-G928)/Speed_Calc!G$2*9.806</f>
        <v>-8.9415643981655464</v>
      </c>
      <c r="I928" s="4">
        <f t="shared" si="56"/>
        <v>24.777777777777779</v>
      </c>
    </row>
    <row r="929" spans="1:9" x14ac:dyDescent="0.2">
      <c r="A929" s="11">
        <v>89.3</v>
      </c>
      <c r="B929" s="14">
        <v>3.133</v>
      </c>
      <c r="C929" s="11">
        <f t="shared" si="57"/>
        <v>11572.381480860122</v>
      </c>
      <c r="D929" s="11">
        <f t="shared" si="54"/>
        <v>-440.58394541666638</v>
      </c>
      <c r="E929" s="11">
        <f t="shared" si="55"/>
        <v>-1332.1127129059346</v>
      </c>
      <c r="F929" s="11">
        <f>Speed_Calc!B$5*E929</f>
        <v>-1198.9014416153411</v>
      </c>
      <c r="G929" s="14">
        <f>Speed_Calc!G$3+Speed_Calc!G$5*A929^2</f>
        <v>51.977704899999992</v>
      </c>
      <c r="H929" s="7">
        <f>(F929-G929)/Speed_Calc!G$2*9.806</f>
        <v>-9.0860154894292098</v>
      </c>
      <c r="I929" s="4">
        <f t="shared" si="56"/>
        <v>24.805555555555554</v>
      </c>
    </row>
    <row r="930" spans="1:9" x14ac:dyDescent="0.2">
      <c r="A930" s="11">
        <v>89.4</v>
      </c>
      <c r="B930" s="14">
        <v>3.133</v>
      </c>
      <c r="C930" s="11">
        <f t="shared" si="57"/>
        <v>11585.340474679679</v>
      </c>
      <c r="D930" s="11">
        <f t="shared" si="54"/>
        <v>-448.41457738182879</v>
      </c>
      <c r="E930" s="11">
        <f t="shared" si="55"/>
        <v>-1354.2722135692813</v>
      </c>
      <c r="F930" s="11">
        <f>Speed_Calc!B$5*E930</f>
        <v>-1218.8449922123532</v>
      </c>
      <c r="G930" s="14">
        <f>Speed_Calc!G$3+Speed_Calc!G$5*A930^2</f>
        <v>52.0493636</v>
      </c>
      <c r="H930" s="7">
        <f>(F930-G930)/Speed_Calc!G$2*9.806</f>
        <v>-9.2314000393303228</v>
      </c>
      <c r="I930" s="4">
        <f t="shared" si="56"/>
        <v>24.833333333333336</v>
      </c>
    </row>
    <row r="931" spans="1:9" x14ac:dyDescent="0.2">
      <c r="A931" s="11">
        <v>89.5</v>
      </c>
      <c r="B931" s="14">
        <v>3.133</v>
      </c>
      <c r="C931" s="11">
        <f t="shared" si="57"/>
        <v>11598.299468499232</v>
      </c>
      <c r="D931" s="11">
        <f t="shared" si="54"/>
        <v>-456.30911663479833</v>
      </c>
      <c r="E931" s="11">
        <f t="shared" si="55"/>
        <v>-1376.5749887306761</v>
      </c>
      <c r="F931" s="11">
        <f>Speed_Calc!B$5*E931</f>
        <v>-1238.9174898576084</v>
      </c>
      <c r="G931" s="14">
        <f>Speed_Calc!G$3+Speed_Calc!G$5*A931^2</f>
        <v>52.121102499999999</v>
      </c>
      <c r="H931" s="7">
        <f>(F931-G931)/Speed_Calc!G$2*9.806</f>
        <v>-9.3777218049323761</v>
      </c>
      <c r="I931" s="4">
        <f t="shared" si="56"/>
        <v>24.861111111111111</v>
      </c>
    </row>
    <row r="932" spans="1:9" x14ac:dyDescent="0.2">
      <c r="A932" s="11">
        <v>89.6</v>
      </c>
      <c r="B932" s="14">
        <v>3.133</v>
      </c>
      <c r="C932" s="11">
        <f t="shared" si="57"/>
        <v>11611.258462318779</v>
      </c>
      <c r="D932" s="11">
        <f t="shared" si="54"/>
        <v>-464.26791345603925</v>
      </c>
      <c r="E932" s="11">
        <f t="shared" si="55"/>
        <v>-1399.0216142090474</v>
      </c>
      <c r="F932" s="11">
        <f>Speed_Calc!B$5*E932</f>
        <v>-1259.1194527881426</v>
      </c>
      <c r="G932" s="14">
        <f>Speed_Calc!G$3+Speed_Calc!G$5*A932^2</f>
        <v>52.192921599999991</v>
      </c>
      <c r="H932" s="7">
        <f>(F932-G932)/Speed_Calc!G$2*9.806</f>
        <v>-9.524984550555649</v>
      </c>
      <c r="I932" s="4">
        <f t="shared" si="56"/>
        <v>24.888888888888886</v>
      </c>
    </row>
    <row r="933" spans="1:9" x14ac:dyDescent="0.2">
      <c r="A933" s="11">
        <v>89.7</v>
      </c>
      <c r="B933" s="14">
        <v>3.133</v>
      </c>
      <c r="C933" s="11">
        <f t="shared" si="57"/>
        <v>11624.217456138333</v>
      </c>
      <c r="D933" s="11">
        <f t="shared" ref="D933:D996" si="58">-4.687*10^(-17)*C933^5+9.129*10^(-13)*C933^4-6.175*10^(-9)*C933^3+1.799*10^(-5)*C933^2+6.502*10^(-3)*C933</f>
        <v>-472.29131934786329</v>
      </c>
      <c r="E933" s="11">
        <f t="shared" si="55"/>
        <v>-1421.612666933368</v>
      </c>
      <c r="F933" s="11">
        <f>Speed_Calc!B$5*E933</f>
        <v>-1279.4514002400313</v>
      </c>
      <c r="G933" s="14">
        <f>Speed_Calc!G$3+Speed_Calc!G$5*A933^2</f>
        <v>52.264820899999997</v>
      </c>
      <c r="H933" s="7">
        <f>(F933-G933)/Speed_Calc!G$2*9.806</f>
        <v>-9.6731920477771443</v>
      </c>
      <c r="I933" s="4">
        <f t="shared" si="56"/>
        <v>24.916666666666668</v>
      </c>
    </row>
    <row r="934" spans="1:9" x14ac:dyDescent="0.2">
      <c r="A934" s="11">
        <v>89.8</v>
      </c>
      <c r="B934" s="14">
        <v>3.133</v>
      </c>
      <c r="C934" s="11">
        <f t="shared" si="57"/>
        <v>11637.176449957886</v>
      </c>
      <c r="D934" s="11">
        <f t="shared" si="58"/>
        <v>-480.37968703645481</v>
      </c>
      <c r="E934" s="11">
        <f t="shared" ref="E934:E997" si="59">D934*75*B934*B$31*B$32/B$23/C934/2/PI()*60</f>
        <v>-1444.3487249425702</v>
      </c>
      <c r="F934" s="11">
        <f>Speed_Calc!B$5*E934</f>
        <v>-1299.9138524483133</v>
      </c>
      <c r="G934" s="14">
        <f>Speed_Calc!G$3+Speed_Calc!G$5*A934^2</f>
        <v>52.336800399999994</v>
      </c>
      <c r="H934" s="7">
        <f>(F934-G934)/Speed_Calc!G$2*9.806</f>
        <v>-9.8223480754300425</v>
      </c>
      <c r="I934" s="4">
        <f t="shared" ref="I934:I997" si="60">A934/3.6</f>
        <v>24.944444444444443</v>
      </c>
    </row>
    <row r="935" spans="1:9" x14ac:dyDescent="0.2">
      <c r="A935" s="11">
        <v>89.9</v>
      </c>
      <c r="B935" s="14">
        <v>3.133</v>
      </c>
      <c r="C935" s="11">
        <f t="shared" si="57"/>
        <v>11650.135443777437</v>
      </c>
      <c r="D935" s="11">
        <f t="shared" si="58"/>
        <v>-488.53337047394632</v>
      </c>
      <c r="E935" s="11">
        <f t="shared" si="59"/>
        <v>-1467.2303673856009</v>
      </c>
      <c r="F935" s="11">
        <f>Speed_Calc!B$5*E935</f>
        <v>-1320.5073306470408</v>
      </c>
      <c r="G935" s="14">
        <f>Speed_Calc!G$3+Speed_Calc!G$5*A935^2</f>
        <v>52.408860100000005</v>
      </c>
      <c r="H935" s="7">
        <f>(F935-G935)/Speed_Calc!G$2*9.806</f>
        <v>-9.972456419604061</v>
      </c>
      <c r="I935" s="4">
        <f t="shared" si="60"/>
        <v>24.972222222222221</v>
      </c>
    </row>
    <row r="936" spans="1:9" x14ac:dyDescent="0.2">
      <c r="A936" s="11">
        <v>90</v>
      </c>
      <c r="B936" s="14">
        <v>3.133</v>
      </c>
      <c r="C936" s="11">
        <f t="shared" si="57"/>
        <v>11663.09443759699</v>
      </c>
      <c r="D936" s="11">
        <f t="shared" si="58"/>
        <v>-496.75272484047986</v>
      </c>
      <c r="E936" s="11">
        <f t="shared" si="59"/>
        <v>-1490.2581745214393</v>
      </c>
      <c r="F936" s="11">
        <f>Speed_Calc!B$5*E936</f>
        <v>-1341.2323570692954</v>
      </c>
      <c r="G936" s="14">
        <f>Speed_Calc!G$3+Speed_Calc!G$5*A936^2</f>
        <v>52.480999999999995</v>
      </c>
      <c r="H936" s="7">
        <f>(F936-G936)/Speed_Calc!G$2*9.806</f>
        <v>-10.123520873645564</v>
      </c>
      <c r="I936" s="4">
        <f t="shared" si="60"/>
        <v>25</v>
      </c>
    </row>
    <row r="937" spans="1:9" x14ac:dyDescent="0.2">
      <c r="A937" s="11">
        <v>90.1</v>
      </c>
      <c r="B937" s="14">
        <v>3.133</v>
      </c>
      <c r="C937" s="11">
        <f t="shared" si="57"/>
        <v>11676.053431416542</v>
      </c>
      <c r="D937" s="11">
        <f t="shared" si="58"/>
        <v>-505.03810654624925</v>
      </c>
      <c r="E937" s="11">
        <f t="shared" si="59"/>
        <v>-1513.43272771906</v>
      </c>
      <c r="F937" s="11">
        <f>Speed_Calc!B$5*E937</f>
        <v>-1362.0894549471541</v>
      </c>
      <c r="G937" s="14">
        <f>Speed_Calc!G$3+Speed_Calc!G$5*A937^2</f>
        <v>52.553220099999997</v>
      </c>
      <c r="H937" s="7">
        <f>(F937-G937)/Speed_Calc!G$2*9.806</f>
        <v>-10.275545238157328</v>
      </c>
      <c r="I937" s="4">
        <f t="shared" si="60"/>
        <v>25.027777777777775</v>
      </c>
    </row>
    <row r="938" spans="1:9" x14ac:dyDescent="0.2">
      <c r="A938" s="11">
        <v>90.2</v>
      </c>
      <c r="B938" s="14">
        <v>3.133</v>
      </c>
      <c r="C938" s="11">
        <f t="shared" si="57"/>
        <v>11689.012425236097</v>
      </c>
      <c r="D938" s="11">
        <f t="shared" si="58"/>
        <v>-513.38987323355786</v>
      </c>
      <c r="E938" s="11">
        <f t="shared" si="59"/>
        <v>-1536.7546094574348</v>
      </c>
      <c r="F938" s="11">
        <f>Speed_Calc!B$5*E938</f>
        <v>-1383.0791485116913</v>
      </c>
      <c r="G938" s="14">
        <f>Speed_Calc!G$3+Speed_Calc!G$5*A938^2</f>
        <v>52.625520399999999</v>
      </c>
      <c r="H938" s="7">
        <f>(F938-G938)/Speed_Calc!G$2*9.806</f>
        <v>-10.42853332099855</v>
      </c>
      <c r="I938" s="4">
        <f t="shared" si="60"/>
        <v>25.055555555555557</v>
      </c>
    </row>
    <row r="939" spans="1:9" x14ac:dyDescent="0.2">
      <c r="A939" s="11">
        <v>90.3</v>
      </c>
      <c r="B939" s="14">
        <v>3.133</v>
      </c>
      <c r="C939" s="11">
        <f t="shared" ref="C939:C1002" si="61">A939/3.6/B$23/2/PI()*B$32*B$31*B939*60</f>
        <v>11701.971419055646</v>
      </c>
      <c r="D939" s="11">
        <f t="shared" si="58"/>
        <v>-521.8083837788754</v>
      </c>
      <c r="E939" s="11">
        <f t="shared" si="59"/>
        <v>-1560.2244033255408</v>
      </c>
      <c r="F939" s="11">
        <f>Speed_Calc!B$5*E939</f>
        <v>-1404.2019629929869</v>
      </c>
      <c r="G939" s="14">
        <f>Speed_Calc!G$3+Speed_Calc!G$5*A939^2</f>
        <v>52.697900899999993</v>
      </c>
      <c r="H939" s="7">
        <f>(F939-G939)/Speed_Calc!G$2*9.806</f>
        <v>-10.582488937284909</v>
      </c>
      <c r="I939" s="4">
        <f t="shared" si="60"/>
        <v>25.083333333333332</v>
      </c>
    </row>
    <row r="940" spans="1:9" x14ac:dyDescent="0.2">
      <c r="A940" s="11">
        <v>90.4</v>
      </c>
      <c r="B940" s="14">
        <v>3.133</v>
      </c>
      <c r="C940" s="11">
        <f t="shared" si="61"/>
        <v>11714.930412875199</v>
      </c>
      <c r="D940" s="11">
        <f t="shared" si="58"/>
        <v>-530.29399829491331</v>
      </c>
      <c r="E940" s="11">
        <f t="shared" si="59"/>
        <v>-1583.8426940224181</v>
      </c>
      <c r="F940" s="11">
        <f>Speed_Calc!B$5*E940</f>
        <v>-1425.4584246201764</v>
      </c>
      <c r="G940" s="14">
        <f>Speed_Calc!G$3+Speed_Calc!G$5*A940^2</f>
        <v>52.770361600000001</v>
      </c>
      <c r="H940" s="7">
        <f>(F940-G940)/Speed_Calc!G$2*9.806</f>
        <v>-10.737415909388925</v>
      </c>
      <c r="I940" s="4">
        <f t="shared" si="60"/>
        <v>25.111111111111111</v>
      </c>
    </row>
    <row r="941" spans="1:9" x14ac:dyDescent="0.2">
      <c r="A941" s="11">
        <v>90.5</v>
      </c>
      <c r="B941" s="14">
        <v>3.133</v>
      </c>
      <c r="C941" s="11">
        <f t="shared" si="61"/>
        <v>11727.889406694751</v>
      </c>
      <c r="D941" s="11">
        <f t="shared" si="58"/>
        <v>-538.84707813263879</v>
      </c>
      <c r="E941" s="11">
        <f t="shared" si="59"/>
        <v>-1607.6100673570443</v>
      </c>
      <c r="F941" s="11">
        <f>Speed_Calc!B$5*E941</f>
        <v>-1446.84906062134</v>
      </c>
      <c r="G941" s="14">
        <f>Speed_Calc!G$3+Speed_Calc!G$5*A941^2</f>
        <v>52.842902499999994</v>
      </c>
      <c r="H941" s="7">
        <f>(F941-G941)/Speed_Calc!G$2*9.806</f>
        <v>-10.893318066939155</v>
      </c>
      <c r="I941" s="4">
        <f t="shared" si="60"/>
        <v>25.138888888888889</v>
      </c>
    </row>
    <row r="942" spans="1:9" x14ac:dyDescent="0.2">
      <c r="A942" s="11">
        <v>90.6</v>
      </c>
      <c r="B942" s="14">
        <v>3.133</v>
      </c>
      <c r="C942" s="11">
        <f t="shared" si="61"/>
        <v>11740.848400514302</v>
      </c>
      <c r="D942" s="11">
        <f t="shared" si="58"/>
        <v>-547.46798588336344</v>
      </c>
      <c r="E942" s="11">
        <f t="shared" si="59"/>
        <v>-1631.5271102484342</v>
      </c>
      <c r="F942" s="11">
        <f>Speed_Calc!B$5*E942</f>
        <v>-1468.3743992235907</v>
      </c>
      <c r="G942" s="14">
        <f>Speed_Calc!G$3+Speed_Calc!G$5*A942^2</f>
        <v>52.915523599999993</v>
      </c>
      <c r="H942" s="7">
        <f>(F942-G942)/Speed_Calc!G$2*9.806</f>
        <v>-11.050199246820835</v>
      </c>
      <c r="I942" s="4">
        <f t="shared" si="60"/>
        <v>25.166666666666664</v>
      </c>
    </row>
    <row r="943" spans="1:9" x14ac:dyDescent="0.2">
      <c r="A943" s="11">
        <v>90.7</v>
      </c>
      <c r="B943" s="14">
        <v>3.133</v>
      </c>
      <c r="C943" s="11">
        <f t="shared" si="61"/>
        <v>11753.807394333857</v>
      </c>
      <c r="D943" s="11">
        <f t="shared" si="58"/>
        <v>-556.15708538080037</v>
      </c>
      <c r="E943" s="11">
        <f t="shared" si="59"/>
        <v>-1655.5944107256457</v>
      </c>
      <c r="F943" s="11">
        <f>Speed_Calc!B$5*E943</f>
        <v>-1490.0349696530811</v>
      </c>
      <c r="G943" s="14">
        <f>Speed_Calc!G$3+Speed_Calc!G$5*A943^2</f>
        <v>52.988224899999999</v>
      </c>
      <c r="H943" s="7">
        <f>(F943-G943)/Speed_Calc!G$2*9.806</f>
        <v>-11.208063293175934</v>
      </c>
      <c r="I943" s="4">
        <f t="shared" si="60"/>
        <v>25.194444444444443</v>
      </c>
    </row>
    <row r="944" spans="1:9" x14ac:dyDescent="0.2">
      <c r="A944" s="11">
        <v>90.8</v>
      </c>
      <c r="B944" s="14">
        <v>3.133</v>
      </c>
      <c r="C944" s="11">
        <f t="shared" si="61"/>
        <v>11766.766388153406</v>
      </c>
      <c r="D944" s="11">
        <f t="shared" si="58"/>
        <v>-564.91474170308516</v>
      </c>
      <c r="E944" s="11">
        <f t="shared" si="59"/>
        <v>-1679.8125579276762</v>
      </c>
      <c r="F944" s="11">
        <f>Speed_Calc!B$5*E944</f>
        <v>-1511.8313021349086</v>
      </c>
      <c r="G944" s="14">
        <f>Speed_Calc!G$3+Speed_Calc!G$5*A944^2</f>
        <v>53.061006399999997</v>
      </c>
      <c r="H944" s="7">
        <f>(F944-G944)/Speed_Calc!G$2*9.806</f>
        <v>-11.366914057402452</v>
      </c>
      <c r="I944" s="4">
        <f t="shared" si="60"/>
        <v>25.222222222222221</v>
      </c>
    </row>
    <row r="945" spans="1:9" x14ac:dyDescent="0.2">
      <c r="A945" s="11">
        <v>90.9</v>
      </c>
      <c r="B945" s="14">
        <v>3.133</v>
      </c>
      <c r="C945" s="11">
        <f t="shared" si="61"/>
        <v>11779.725381972961</v>
      </c>
      <c r="D945" s="11">
        <f t="shared" si="58"/>
        <v>-573.74132117488057</v>
      </c>
      <c r="E945" s="11">
        <f t="shared" si="59"/>
        <v>-1704.1821421036052</v>
      </c>
      <c r="F945" s="11">
        <f>Speed_Calc!B$5*E945</f>
        <v>-1533.7639278932447</v>
      </c>
      <c r="G945" s="14">
        <f>Speed_Calc!G$3+Speed_Calc!G$5*A945^2</f>
        <v>53.133868100000001</v>
      </c>
      <c r="H945" s="7">
        <f>(F945-G945)/Speed_Calc!G$2*9.806</f>
        <v>-11.526755398155375</v>
      </c>
      <c r="I945" s="4">
        <f t="shared" si="60"/>
        <v>25.25</v>
      </c>
    </row>
    <row r="946" spans="1:9" x14ac:dyDescent="0.2">
      <c r="A946" s="11">
        <v>91</v>
      </c>
      <c r="B946" s="14">
        <v>3.133</v>
      </c>
      <c r="C946" s="11">
        <f t="shared" si="61"/>
        <v>11792.684375792511</v>
      </c>
      <c r="D946" s="11">
        <f t="shared" si="58"/>
        <v>-582.63719136938039</v>
      </c>
      <c r="E946" s="11">
        <f t="shared" si="59"/>
        <v>-1728.7037546124475</v>
      </c>
      <c r="F946" s="11">
        <f>Speed_Calc!B$5*E946</f>
        <v>-1555.8333791512027</v>
      </c>
      <c r="G946" s="14">
        <f>Speed_Calc!G$3+Speed_Calc!G$5*A946^2</f>
        <v>53.206809999999997</v>
      </c>
      <c r="H946" s="7">
        <f>(F946-G946)/Speed_Calc!G$2*9.806</f>
        <v>-11.687591181345699</v>
      </c>
      <c r="I946" s="4">
        <f t="shared" si="60"/>
        <v>25.277777777777779</v>
      </c>
    </row>
    <row r="947" spans="1:9" x14ac:dyDescent="0.2">
      <c r="A947" s="11">
        <v>91.1</v>
      </c>
      <c r="B947" s="14">
        <v>3.133</v>
      </c>
      <c r="C947" s="11">
        <f t="shared" si="61"/>
        <v>11805.643369612062</v>
      </c>
      <c r="D947" s="11">
        <f t="shared" si="58"/>
        <v>-591.60272111040717</v>
      </c>
      <c r="E947" s="11">
        <f t="shared" si="59"/>
        <v>-1753.3779879232704</v>
      </c>
      <c r="F947" s="11">
        <f>Speed_Calc!B$5*E947</f>
        <v>-1578.0401891309434</v>
      </c>
      <c r="G947" s="14">
        <f>Speed_Calc!G$3+Speed_Calc!G$5*A947^2</f>
        <v>53.279832099999993</v>
      </c>
      <c r="H947" s="7">
        <f>(F947-G947)/Speed_Calc!G$2*9.806</f>
        <v>-11.849425280141206</v>
      </c>
      <c r="I947" s="4">
        <f t="shared" si="60"/>
        <v>25.305555555555554</v>
      </c>
    </row>
    <row r="948" spans="1:9" x14ac:dyDescent="0.2">
      <c r="A948" s="11">
        <v>91.2</v>
      </c>
      <c r="B948" s="14">
        <v>3.133</v>
      </c>
      <c r="C948" s="11">
        <f t="shared" si="61"/>
        <v>11818.602363431615</v>
      </c>
      <c r="D948" s="11">
        <f t="shared" si="58"/>
        <v>-600.6382804744652</v>
      </c>
      <c r="E948" s="11">
        <f t="shared" si="59"/>
        <v>-1778.2054356151937</v>
      </c>
      <c r="F948" s="11">
        <f>Speed_Calc!B$5*E948</f>
        <v>-1600.3848920536743</v>
      </c>
      <c r="G948" s="14">
        <f>Speed_Calc!G$3+Speed_Calc!G$5*A948^2</f>
        <v>53.352934400000002</v>
      </c>
      <c r="H948" s="7">
        <f>(F948-G948)/Speed_Calc!G$2*9.806</f>
        <v>-12.012261574966468</v>
      </c>
      <c r="I948" s="4">
        <f t="shared" si="60"/>
        <v>25.333333333333332</v>
      </c>
    </row>
    <row r="949" spans="1:9" x14ac:dyDescent="0.2">
      <c r="A949" s="11">
        <v>91.3</v>
      </c>
      <c r="B949" s="14">
        <v>3.133</v>
      </c>
      <c r="C949" s="11">
        <f t="shared" si="61"/>
        <v>11831.561357251167</v>
      </c>
      <c r="D949" s="11">
        <f t="shared" si="58"/>
        <v>-609.74424079274138</v>
      </c>
      <c r="E949" s="11">
        <f t="shared" si="59"/>
        <v>-1803.1866923772204</v>
      </c>
      <c r="F949" s="11">
        <f>Speed_Calc!B$5*E949</f>
        <v>-1622.8680231394985</v>
      </c>
      <c r="G949" s="14">
        <f>Speed_Calc!G$3+Speed_Calc!G$5*A949^2</f>
        <v>53.42611689999999</v>
      </c>
      <c r="H949" s="7">
        <f>(F949-G949)/Speed_Calc!G$2*9.806</f>
        <v>-12.176103953501718</v>
      </c>
      <c r="I949" s="4">
        <f t="shared" si="60"/>
        <v>25.361111111111111</v>
      </c>
    </row>
    <row r="950" spans="1:9" x14ac:dyDescent="0.2">
      <c r="A950" s="11">
        <v>91.4</v>
      </c>
      <c r="B950" s="14">
        <v>3.133</v>
      </c>
      <c r="C950" s="11">
        <f t="shared" si="61"/>
        <v>11844.520351070722</v>
      </c>
      <c r="D950" s="11">
        <f t="shared" si="58"/>
        <v>-618.92097465324548</v>
      </c>
      <c r="E950" s="11">
        <f t="shared" si="59"/>
        <v>-1828.3223540084928</v>
      </c>
      <c r="F950" s="11">
        <f>Speed_Calc!B$5*E950</f>
        <v>-1645.4901186076436</v>
      </c>
      <c r="G950" s="14">
        <f>Speed_Calc!G$3+Speed_Calc!G$5*A950^2</f>
        <v>53.499379600000005</v>
      </c>
      <c r="H950" s="7">
        <f>(F950-G950)/Speed_Calc!G$2*9.806</f>
        <v>-12.340956310684557</v>
      </c>
      <c r="I950" s="4">
        <f t="shared" si="60"/>
        <v>25.388888888888889</v>
      </c>
    </row>
    <row r="951" spans="1:9" x14ac:dyDescent="0.2">
      <c r="A951" s="11">
        <v>91.5</v>
      </c>
      <c r="B951" s="14">
        <v>3.133</v>
      </c>
      <c r="C951" s="11">
        <f t="shared" si="61"/>
        <v>11857.479344890271</v>
      </c>
      <c r="D951" s="11">
        <f t="shared" si="58"/>
        <v>-628.16885590279298</v>
      </c>
      <c r="E951" s="11">
        <f t="shared" si="59"/>
        <v>-1853.613017418078</v>
      </c>
      <c r="F951" s="11">
        <f>Speed_Calc!B$5*E951</f>
        <v>-1668.2517156762704</v>
      </c>
      <c r="G951" s="14">
        <f>Speed_Calc!G$3+Speed_Calc!G$5*A951^2</f>
        <v>53.572722499999998</v>
      </c>
      <c r="H951" s="7">
        <f>(F951-G951)/Speed_Calc!G$2*9.806</f>
        <v>-12.506822548708524</v>
      </c>
      <c r="I951" s="4">
        <f t="shared" si="60"/>
        <v>25.416666666666664</v>
      </c>
    </row>
    <row r="952" spans="1:9" x14ac:dyDescent="0.2">
      <c r="A952" s="11">
        <v>91.6</v>
      </c>
      <c r="B952" s="14">
        <v>3.133</v>
      </c>
      <c r="C952" s="11">
        <f t="shared" si="61"/>
        <v>11870.438338709824</v>
      </c>
      <c r="D952" s="11">
        <f t="shared" si="58"/>
        <v>-637.4882596491052</v>
      </c>
      <c r="E952" s="11">
        <f t="shared" si="59"/>
        <v>-1879.059280625092</v>
      </c>
      <c r="F952" s="11">
        <f>Speed_Calc!B$5*E952</f>
        <v>-1691.1533525625828</v>
      </c>
      <c r="G952" s="14">
        <f>Speed_Calc!G$3+Speed_Calc!G$5*A952^2</f>
        <v>53.646145599999997</v>
      </c>
      <c r="H952" s="7">
        <f>(F952-G952)/Speed_Calc!G$2*9.806</f>
        <v>-12.673706577023914</v>
      </c>
      <c r="I952" s="4">
        <f t="shared" si="60"/>
        <v>25.444444444444443</v>
      </c>
    </row>
    <row r="953" spans="1:9" x14ac:dyDescent="0.2">
      <c r="A953" s="11">
        <v>91.7</v>
      </c>
      <c r="B953" s="14">
        <v>3.133</v>
      </c>
      <c r="C953" s="11">
        <f t="shared" si="61"/>
        <v>11883.397332529377</v>
      </c>
      <c r="D953" s="11">
        <f t="shared" si="58"/>
        <v>-646.8795622628395</v>
      </c>
      <c r="E953" s="11">
        <f t="shared" si="59"/>
        <v>-1904.6617427586334</v>
      </c>
      <c r="F953" s="11">
        <f>Speed_Calc!B$5*E953</f>
        <v>-1714.1955684827701</v>
      </c>
      <c r="G953" s="14">
        <f>Speed_Calc!G$3+Speed_Calc!G$5*A953^2</f>
        <v>53.719648900000003</v>
      </c>
      <c r="H953" s="7">
        <f>(F953-G953)/Speed_Calc!G$2*9.806</f>
        <v>-12.841612312337366</v>
      </c>
      <c r="I953" s="4">
        <f t="shared" si="60"/>
        <v>25.472222222222221</v>
      </c>
    </row>
    <row r="954" spans="1:9" x14ac:dyDescent="0.2">
      <c r="A954" s="11">
        <v>91.8</v>
      </c>
      <c r="B954" s="14">
        <v>3.133</v>
      </c>
      <c r="C954" s="11">
        <f t="shared" si="61"/>
        <v>11896.35632634893</v>
      </c>
      <c r="D954" s="11">
        <f t="shared" si="58"/>
        <v>-656.34314137966749</v>
      </c>
      <c r="E954" s="11">
        <f t="shared" si="59"/>
        <v>-1930.4210040578453</v>
      </c>
      <c r="F954" s="11">
        <f>Speed_Calc!B$5*E954</f>
        <v>-1737.3789036520607</v>
      </c>
      <c r="G954" s="14">
        <f>Speed_Calc!G$3+Speed_Calc!G$5*A954^2</f>
        <v>53.793232399999994</v>
      </c>
      <c r="H954" s="7">
        <f>(F954-G954)/Speed_Calc!G$2*9.806</f>
        <v>-13.010543678612226</v>
      </c>
      <c r="I954" s="4">
        <f t="shared" si="60"/>
        <v>25.5</v>
      </c>
    </row>
    <row r="955" spans="1:9" x14ac:dyDescent="0.2">
      <c r="A955" s="11">
        <v>91.9</v>
      </c>
      <c r="B955" s="14">
        <v>3.133</v>
      </c>
      <c r="C955" s="11">
        <f t="shared" si="61"/>
        <v>11909.315320168482</v>
      </c>
      <c r="D955" s="11">
        <f t="shared" si="58"/>
        <v>-665.87937590230433</v>
      </c>
      <c r="E955" s="11">
        <f t="shared" si="59"/>
        <v>-1956.3376658718405</v>
      </c>
      <c r="F955" s="11">
        <f>Speed_Calc!B$5*E955</f>
        <v>-1760.7038992846565</v>
      </c>
      <c r="G955" s="14">
        <f>Speed_Calc!G$3+Speed_Calc!G$5*A955^2</f>
        <v>53.866896099999998</v>
      </c>
      <c r="H955" s="7">
        <f>(F955-G955)/Speed_Calc!G$2*9.806</f>
        <v>-13.180504607068105</v>
      </c>
      <c r="I955" s="4">
        <f t="shared" si="60"/>
        <v>25.527777777777779</v>
      </c>
    </row>
    <row r="956" spans="1:9" x14ac:dyDescent="0.2">
      <c r="A956" s="11">
        <v>92</v>
      </c>
      <c r="B956" s="14">
        <v>3.133</v>
      </c>
      <c r="C956" s="11">
        <f t="shared" si="61"/>
        <v>11922.274313988033</v>
      </c>
      <c r="D956" s="11">
        <f t="shared" si="58"/>
        <v>-675.48864600258469</v>
      </c>
      <c r="E956" s="11">
        <f t="shared" si="59"/>
        <v>-1982.4123306597603</v>
      </c>
      <c r="F956" s="11">
        <f>Speed_Calc!B$5*E956</f>
        <v>-1784.1710975937842</v>
      </c>
      <c r="G956" s="14">
        <f>Speed_Calc!G$3+Speed_Calc!G$5*A956^2</f>
        <v>53.940639999999995</v>
      </c>
      <c r="H956" s="7">
        <f>(F956-G956)/Speed_Calc!G$2*9.806</f>
        <v>-13.35149903618122</v>
      </c>
      <c r="I956" s="4">
        <f t="shared" si="60"/>
        <v>25.555555555555554</v>
      </c>
    </row>
    <row r="957" spans="1:9" x14ac:dyDescent="0.2">
      <c r="A957" s="11">
        <v>92.1</v>
      </c>
      <c r="B957" s="14">
        <v>3.133</v>
      </c>
      <c r="C957" s="11">
        <f t="shared" si="61"/>
        <v>11935.233307807584</v>
      </c>
      <c r="D957" s="11">
        <f t="shared" si="58"/>
        <v>-685.17133312351609</v>
      </c>
      <c r="E957" s="11">
        <f t="shared" si="59"/>
        <v>-2008.6456019907641</v>
      </c>
      <c r="F957" s="11">
        <f>Speed_Calc!B$5*E957</f>
        <v>-1807.7810417916878</v>
      </c>
      <c r="G957" s="14">
        <f>Speed_Calc!G$3+Speed_Calc!G$5*A957^2</f>
        <v>54.014464099999998</v>
      </c>
      <c r="H957" s="7">
        <f>(F957-G957)/Speed_Calc!G$2*9.806</f>
        <v>-13.523530911684363</v>
      </c>
      <c r="I957" s="4">
        <f t="shared" si="60"/>
        <v>25.583333333333332</v>
      </c>
    </row>
    <row r="958" spans="1:9" x14ac:dyDescent="0.2">
      <c r="A958" s="11">
        <v>92.2</v>
      </c>
      <c r="B958" s="14">
        <v>3.133</v>
      </c>
      <c r="C958" s="11">
        <f t="shared" si="61"/>
        <v>11948.192301627136</v>
      </c>
      <c r="D958" s="11">
        <f t="shared" si="58"/>
        <v>-694.92781998131636</v>
      </c>
      <c r="E958" s="11">
        <f t="shared" si="59"/>
        <v>-2035.0380845439859</v>
      </c>
      <c r="F958" s="11">
        <f>Speed_Calc!B$5*E958</f>
        <v>-1831.5342760895874</v>
      </c>
      <c r="G958" s="14">
        <f>Speed_Calc!G$3+Speed_Calc!G$5*A958^2</f>
        <v>54.0883684</v>
      </c>
      <c r="H958" s="7">
        <f>(F958-G958)/Speed_Calc!G$2*9.806</f>
        <v>-13.696604186566587</v>
      </c>
      <c r="I958" s="4">
        <f t="shared" si="60"/>
        <v>25.611111111111111</v>
      </c>
    </row>
    <row r="959" spans="1:9" x14ac:dyDescent="0.2">
      <c r="A959" s="11">
        <v>92.3</v>
      </c>
      <c r="B959" s="14">
        <v>3.133</v>
      </c>
      <c r="C959" s="11">
        <f t="shared" si="61"/>
        <v>11961.151295446691</v>
      </c>
      <c r="D959" s="11">
        <f t="shared" si="58"/>
        <v>-704.75849056750508</v>
      </c>
      <c r="E959" s="11">
        <f t="shared" si="59"/>
        <v>-2061.5903841086283</v>
      </c>
      <c r="F959" s="11">
        <f>Speed_Calc!B$5*E959</f>
        <v>-1855.4313456977654</v>
      </c>
      <c r="G959" s="14">
        <f>Speed_Calc!G$3+Speed_Calc!G$5*A959^2</f>
        <v>54.162352899999995</v>
      </c>
      <c r="H959" s="7">
        <f>(F959-G959)/Speed_Calc!G$2*9.806</f>
        <v>-13.870722821073842</v>
      </c>
      <c r="I959" s="4">
        <f t="shared" si="60"/>
        <v>25.638888888888886</v>
      </c>
    </row>
    <row r="960" spans="1:9" x14ac:dyDescent="0.2">
      <c r="A960" s="11">
        <v>92.4</v>
      </c>
      <c r="B960" s="14">
        <v>3.133</v>
      </c>
      <c r="C960" s="11">
        <f t="shared" si="61"/>
        <v>11974.110289266246</v>
      </c>
      <c r="D960" s="11">
        <f t="shared" si="58"/>
        <v>-714.6637301509079</v>
      </c>
      <c r="E960" s="11">
        <f t="shared" si="59"/>
        <v>-2088.3031075838212</v>
      </c>
      <c r="F960" s="11">
        <f>Speed_Calc!B$5*E960</f>
        <v>-1879.4727968254392</v>
      </c>
      <c r="G960" s="14">
        <f>Speed_Calc!G$3+Speed_Calc!G$5*A960^2</f>
        <v>54.236417599999996</v>
      </c>
      <c r="H960" s="7">
        <f>(F960-G960)/Speed_Calc!G$2*9.806</f>
        <v>-14.045890782708042</v>
      </c>
      <c r="I960" s="4">
        <f t="shared" si="60"/>
        <v>25.666666666666668</v>
      </c>
    </row>
    <row r="961" spans="1:9" x14ac:dyDescent="0.2">
      <c r="A961" s="11">
        <v>92.5</v>
      </c>
      <c r="B961" s="14">
        <v>3.133</v>
      </c>
      <c r="C961" s="11">
        <f t="shared" si="61"/>
        <v>11987.069283085797</v>
      </c>
      <c r="D961" s="11">
        <f t="shared" si="58"/>
        <v>-724.64392527976202</v>
      </c>
      <c r="E961" s="11">
        <f t="shared" si="59"/>
        <v>-2115.1768629787643</v>
      </c>
      <c r="F961" s="11">
        <f>Speed_Calc!B$5*E961</f>
        <v>-1903.6591766808879</v>
      </c>
      <c r="G961" s="14">
        <f>Speed_Calc!G$3+Speed_Calc!G$5*A961^2</f>
        <v>54.310562499999996</v>
      </c>
      <c r="H961" s="7">
        <f>(F961-G961)/Speed_Calc!G$2*9.806</f>
        <v>-14.22211204622799</v>
      </c>
      <c r="I961" s="4">
        <f t="shared" si="60"/>
        <v>25.694444444444443</v>
      </c>
    </row>
    <row r="962" spans="1:9" x14ac:dyDescent="0.2">
      <c r="A962" s="11">
        <v>92.6</v>
      </c>
      <c r="B962" s="14">
        <v>3.133</v>
      </c>
      <c r="C962" s="11">
        <f t="shared" si="61"/>
        <v>12000.028276905347</v>
      </c>
      <c r="D962" s="11">
        <f t="shared" si="58"/>
        <v>-734.69946378374505</v>
      </c>
      <c r="E962" s="11">
        <f t="shared" si="59"/>
        <v>-2142.2122594126477</v>
      </c>
      <c r="F962" s="11">
        <f>Speed_Calc!B$5*E962</f>
        <v>-1927.9910334713829</v>
      </c>
      <c r="G962" s="14">
        <f>Speed_Calc!G$3+Speed_Calc!G$5*A962^2</f>
        <v>54.384787599999989</v>
      </c>
      <c r="H962" s="7">
        <f>(F962-G962)/Speed_Calc!G$2*9.806</f>
        <v>-14.399390593648873</v>
      </c>
      <c r="I962" s="4">
        <f t="shared" si="60"/>
        <v>25.722222222222221</v>
      </c>
    </row>
    <row r="963" spans="1:9" x14ac:dyDescent="0.2">
      <c r="A963" s="11">
        <v>92.7</v>
      </c>
      <c r="B963" s="14">
        <v>3.133</v>
      </c>
      <c r="C963" s="11">
        <f t="shared" si="61"/>
        <v>12012.9872707249</v>
      </c>
      <c r="D963" s="11">
        <f t="shared" si="58"/>
        <v>-744.83073477604228</v>
      </c>
      <c r="E963" s="11">
        <f t="shared" si="59"/>
        <v>-2169.4099071146866</v>
      </c>
      <c r="F963" s="11">
        <f>Speed_Calc!B$5*E963</f>
        <v>-1952.4689164032179</v>
      </c>
      <c r="G963" s="14">
        <f>Speed_Calc!G$3+Speed_Calc!G$5*A963^2</f>
        <v>54.459092900000002</v>
      </c>
      <c r="H963" s="7">
        <f>(F963-G963)/Speed_Calc!G$2*9.806</f>
        <v>-14.577730414242485</v>
      </c>
      <c r="I963" s="4">
        <f t="shared" si="60"/>
        <v>25.75</v>
      </c>
    </row>
    <row r="964" spans="1:9" x14ac:dyDescent="0.2">
      <c r="A964" s="11">
        <v>92.8</v>
      </c>
      <c r="B964" s="14">
        <v>3.133</v>
      </c>
      <c r="C964" s="11">
        <f t="shared" si="61"/>
        <v>12025.946264544451</v>
      </c>
      <c r="D964" s="11">
        <f t="shared" si="58"/>
        <v>-755.03812865538009</v>
      </c>
      <c r="E964" s="11">
        <f t="shared" si="59"/>
        <v>-2196.7704174240585</v>
      </c>
      <c r="F964" s="11">
        <f>Speed_Calc!B$5*E964</f>
        <v>-1977.0933756816526</v>
      </c>
      <c r="G964" s="14">
        <f>Speed_Calc!G$3+Speed_Calc!G$5*A964^2</f>
        <v>54.5334784</v>
      </c>
      <c r="H964" s="7">
        <f>(F964-G964)/Speed_Calc!G$2*9.806</f>
        <v>-14.757135504536802</v>
      </c>
      <c r="I964" s="4">
        <f t="shared" si="60"/>
        <v>25.777777777777775</v>
      </c>
    </row>
    <row r="965" spans="1:9" x14ac:dyDescent="0.2">
      <c r="A965" s="11">
        <v>92.9</v>
      </c>
      <c r="B965" s="14">
        <v>3.133</v>
      </c>
      <c r="C965" s="11">
        <f t="shared" si="61"/>
        <v>12038.905258364006</v>
      </c>
      <c r="D965" s="11">
        <f t="shared" si="58"/>
        <v>-765.32203710812144</v>
      </c>
      <c r="E965" s="11">
        <f t="shared" si="59"/>
        <v>-2224.2944027900189</v>
      </c>
      <c r="F965" s="11">
        <f>Speed_Calc!B$5*E965</f>
        <v>-2001.864962511017</v>
      </c>
      <c r="G965" s="14">
        <f>Speed_Calc!G$3+Speed_Calc!G$5*A965^2</f>
        <v>54.607944100000005</v>
      </c>
      <c r="H965" s="7">
        <f>(F965-G965)/Speed_Calc!G$2*9.806</f>
        <v>-14.937609868316764</v>
      </c>
      <c r="I965" s="4">
        <f t="shared" si="60"/>
        <v>25.805555555555557</v>
      </c>
    </row>
    <row r="966" spans="1:9" x14ac:dyDescent="0.2">
      <c r="A966" s="11">
        <v>93</v>
      </c>
      <c r="B966" s="14">
        <v>3.133</v>
      </c>
      <c r="C966" s="11">
        <f t="shared" si="61"/>
        <v>12051.864252183555</v>
      </c>
      <c r="D966" s="11">
        <f t="shared" si="58"/>
        <v>-775.6828531102683</v>
      </c>
      <c r="E966" s="11">
        <f t="shared" si="59"/>
        <v>-2251.9824767717464</v>
      </c>
      <c r="F966" s="11">
        <f>Speed_Calc!B$5*E966</f>
        <v>-2026.7842290945719</v>
      </c>
      <c r="G966" s="14">
        <f>Speed_Calc!G$3+Speed_Calc!G$5*A966^2</f>
        <v>54.682489999999994</v>
      </c>
      <c r="H966" s="7">
        <f>(F966-G966)/Speed_Calc!G$2*9.806</f>
        <v>-15.119157516623238</v>
      </c>
      <c r="I966" s="4">
        <f t="shared" si="60"/>
        <v>25.833333333333332</v>
      </c>
    </row>
    <row r="967" spans="1:9" x14ac:dyDescent="0.2">
      <c r="A967" s="11">
        <v>93.1</v>
      </c>
      <c r="B967" s="14">
        <v>3.133</v>
      </c>
      <c r="C967" s="11">
        <f t="shared" si="61"/>
        <v>12064.823246003107</v>
      </c>
      <c r="D967" s="11">
        <f t="shared" si="58"/>
        <v>-786.12097092957674</v>
      </c>
      <c r="E967" s="11">
        <f t="shared" si="59"/>
        <v>-2279.8352540385149</v>
      </c>
      <c r="F967" s="11">
        <f>Speed_Calc!B$5*E967</f>
        <v>-2051.8517286346637</v>
      </c>
      <c r="G967" s="14">
        <f>Speed_Calc!G$3+Speed_Calc!G$5*A967^2</f>
        <v>54.75711609999999</v>
      </c>
      <c r="H967" s="7">
        <f>(F967-G967)/Speed_Calc!G$2*9.806</f>
        <v>-15.301782467754157</v>
      </c>
      <c r="I967" s="4">
        <f t="shared" si="60"/>
        <v>25.861111111111107</v>
      </c>
    </row>
    <row r="968" spans="1:9" x14ac:dyDescent="0.2">
      <c r="A968" s="11">
        <v>93.2</v>
      </c>
      <c r="B968" s="14">
        <v>3.133</v>
      </c>
      <c r="C968" s="11">
        <f t="shared" si="61"/>
        <v>12077.782239822662</v>
      </c>
      <c r="D968" s="11">
        <f t="shared" si="58"/>
        <v>-796.63678612756348</v>
      </c>
      <c r="E968" s="11">
        <f t="shared" si="59"/>
        <v>-2307.8533503695508</v>
      </c>
      <c r="F968" s="11">
        <f>Speed_Calc!B$5*E968</f>
        <v>-2077.0680153325957</v>
      </c>
      <c r="G968" s="14">
        <f>Speed_Calc!G$3+Speed_Calc!G$5*A968^2</f>
        <v>54.831822399999993</v>
      </c>
      <c r="H968" s="7">
        <f>(F968-G968)/Speed_Calc!G$2*9.806</f>
        <v>-15.485488747263579</v>
      </c>
      <c r="I968" s="4">
        <f t="shared" si="60"/>
        <v>25.888888888888889</v>
      </c>
    </row>
    <row r="969" spans="1:9" x14ac:dyDescent="0.2">
      <c r="A969" s="11">
        <v>93.3</v>
      </c>
      <c r="B969" s="14">
        <v>3.133</v>
      </c>
      <c r="C969" s="11">
        <f t="shared" si="61"/>
        <v>12090.741233642211</v>
      </c>
      <c r="D969" s="11">
        <f t="shared" si="58"/>
        <v>-807.23069556158373</v>
      </c>
      <c r="E969" s="11">
        <f t="shared" si="59"/>
        <v>-2336.0373826541013</v>
      </c>
      <c r="F969" s="11">
        <f>Speed_Calc!B$5*E969</f>
        <v>-2102.4336443886914</v>
      </c>
      <c r="G969" s="14">
        <f>Speed_Calc!G$3+Speed_Calc!G$5*A969^2</f>
        <v>54.906608899999995</v>
      </c>
      <c r="H969" s="7">
        <f>(F969-G969)/Speed_Calc!G$2*9.806</f>
        <v>-15.670280387962151</v>
      </c>
      <c r="I969" s="4">
        <f t="shared" si="60"/>
        <v>25.916666666666664</v>
      </c>
    </row>
    <row r="970" spans="1:9" x14ac:dyDescent="0.2">
      <c r="A970" s="11">
        <v>93.4</v>
      </c>
      <c r="B970" s="14">
        <v>3.133</v>
      </c>
      <c r="C970" s="11">
        <f t="shared" si="61"/>
        <v>12103.700227461764</v>
      </c>
      <c r="D970" s="11">
        <f t="shared" si="58"/>
        <v>-817.90309738689132</v>
      </c>
      <c r="E970" s="11">
        <f t="shared" si="59"/>
        <v>-2364.3879688914421</v>
      </c>
      <c r="F970" s="11">
        <f>Speed_Calc!B$5*E970</f>
        <v>-2127.9491720022979</v>
      </c>
      <c r="G970" s="14">
        <f>Speed_Calc!G$3+Speed_Calc!G$5*A970^2</f>
        <v>54.981475600000003</v>
      </c>
      <c r="H970" s="7">
        <f>(F970-G970)/Speed_Calc!G$2*9.806</f>
        <v>-15.856161429917135</v>
      </c>
      <c r="I970" s="4">
        <f t="shared" si="60"/>
        <v>25.944444444444446</v>
      </c>
    </row>
    <row r="971" spans="1:9" x14ac:dyDescent="0.2">
      <c r="A971" s="11">
        <v>93.5</v>
      </c>
      <c r="B971" s="14">
        <v>3.133</v>
      </c>
      <c r="C971" s="11">
        <f t="shared" si="61"/>
        <v>12116.659221281318</v>
      </c>
      <c r="D971" s="11">
        <f t="shared" si="58"/>
        <v>-828.65439105867483</v>
      </c>
      <c r="E971" s="11">
        <f t="shared" si="59"/>
        <v>-2392.9057281908258</v>
      </c>
      <c r="F971" s="11">
        <f>Speed_Calc!B$5*E971</f>
        <v>-2153.6151553717432</v>
      </c>
      <c r="G971" s="14">
        <f>Speed_Calc!G$3+Speed_Calc!G$5*A971^2</f>
        <v>55.056422499999996</v>
      </c>
      <c r="H971" s="7">
        <f>(F971-G971)/Speed_Calc!G$2*9.806</f>
        <v>-16.04313592045208</v>
      </c>
      <c r="I971" s="4">
        <f t="shared" si="60"/>
        <v>25.972222222222221</v>
      </c>
    </row>
    <row r="972" spans="1:9" x14ac:dyDescent="0.2">
      <c r="A972" s="11">
        <v>93.6</v>
      </c>
      <c r="B972" s="14">
        <v>3.133</v>
      </c>
      <c r="C972" s="11">
        <f t="shared" si="61"/>
        <v>12129.618215100869</v>
      </c>
      <c r="D972" s="11">
        <f t="shared" si="58"/>
        <v>-839.48497733413546</v>
      </c>
      <c r="E972" s="11">
        <f t="shared" si="59"/>
        <v>-2421.5912807715449</v>
      </c>
      <c r="F972" s="11">
        <f>Speed_Calc!B$5*E972</f>
        <v>-2179.4321526943904</v>
      </c>
      <c r="G972" s="14">
        <f>Speed_Calc!G$3+Speed_Calc!G$5*A972^2</f>
        <v>55.131449599999996</v>
      </c>
      <c r="H972" s="7">
        <f>(F972-G972)/Speed_Calc!G$2*9.806</f>
        <v>-16.231207914147252</v>
      </c>
      <c r="I972" s="4">
        <f t="shared" si="60"/>
        <v>25.999999999999996</v>
      </c>
    </row>
    <row r="973" spans="1:9" x14ac:dyDescent="0.2">
      <c r="A973" s="11">
        <v>93.7</v>
      </c>
      <c r="B973" s="14">
        <v>3.133</v>
      </c>
      <c r="C973" s="11">
        <f t="shared" si="61"/>
        <v>12142.577208920422</v>
      </c>
      <c r="D973" s="11">
        <f t="shared" si="58"/>
        <v>-850.39525827452167</v>
      </c>
      <c r="E973" s="11">
        <f t="shared" si="59"/>
        <v>-2450.445247962869</v>
      </c>
      <c r="F973" s="11">
        <f>Speed_Calc!B$5*E973</f>
        <v>-2205.4007231665823</v>
      </c>
      <c r="G973" s="14">
        <f>Speed_Calc!G$3+Speed_Calc!G$5*A973^2</f>
        <v>55.206556900000002</v>
      </c>
      <c r="H973" s="7">
        <f>(F973-G973)/Speed_Calc!G$2*9.806</f>
        <v>-16.420381472839189</v>
      </c>
      <c r="I973" s="4">
        <f t="shared" si="60"/>
        <v>26.027777777777779</v>
      </c>
    </row>
    <row r="974" spans="1:9" x14ac:dyDescent="0.2">
      <c r="A974" s="11">
        <v>93.8</v>
      </c>
      <c r="B974" s="14">
        <v>3.133</v>
      </c>
      <c r="C974" s="11">
        <f t="shared" si="61"/>
        <v>12155.536202739973</v>
      </c>
      <c r="D974" s="11">
        <f t="shared" si="58"/>
        <v>-861.38563724720166</v>
      </c>
      <c r="E974" s="11">
        <f t="shared" si="59"/>
        <v>-2479.4682522040985</v>
      </c>
      <c r="F974" s="11">
        <f>Speed_Calc!B$5*E974</f>
        <v>-2231.5214269836888</v>
      </c>
      <c r="G974" s="14">
        <f>Speed_Calc!G$3+Speed_Calc!G$5*A974^2</f>
        <v>55.281744399999994</v>
      </c>
      <c r="H974" s="7">
        <f>(F974-G974)/Speed_Calc!G$2*9.806</f>
        <v>-16.610660665621076</v>
      </c>
      <c r="I974" s="4">
        <f t="shared" si="60"/>
        <v>26.055555555555554</v>
      </c>
    </row>
    <row r="975" spans="1:9" x14ac:dyDescent="0.2">
      <c r="A975" s="11">
        <v>93.9</v>
      </c>
      <c r="B975" s="14">
        <v>3.133</v>
      </c>
      <c r="C975" s="11">
        <f t="shared" si="61"/>
        <v>12168.495196559528</v>
      </c>
      <c r="D975" s="11">
        <f t="shared" si="58"/>
        <v>-872.45651892771707</v>
      </c>
      <c r="E975" s="11">
        <f t="shared" si="59"/>
        <v>-2508.6609170445536</v>
      </c>
      <c r="F975" s="11">
        <f>Speed_Calc!B$5*E975</f>
        <v>-2257.7948253400982</v>
      </c>
      <c r="G975" s="14">
        <f>Speed_Calc!G$3+Speed_Calc!G$5*A975^2</f>
        <v>55.357012099999999</v>
      </c>
      <c r="H975" s="7">
        <f>(F975-G975)/Speed_Calc!G$2*9.806</f>
        <v>-16.802049568842666</v>
      </c>
      <c r="I975" s="4">
        <f t="shared" si="60"/>
        <v>26.083333333333336</v>
      </c>
    </row>
    <row r="976" spans="1:9" x14ac:dyDescent="0.2">
      <c r="A976" s="11">
        <v>94</v>
      </c>
      <c r="B976" s="14">
        <v>3.133</v>
      </c>
      <c r="C976" s="11">
        <f t="shared" si="61"/>
        <v>12181.454190379078</v>
      </c>
      <c r="D976" s="11">
        <f t="shared" si="58"/>
        <v>-883.60830930181407</v>
      </c>
      <c r="E976" s="11">
        <f t="shared" si="59"/>
        <v>-2538.0238671435086</v>
      </c>
      <c r="F976" s="11">
        <f>Speed_Calc!B$5*E976</f>
        <v>-2284.221480429158</v>
      </c>
      <c r="G976" s="14">
        <f>Speed_Calc!G$3+Speed_Calc!G$5*A976^2</f>
        <v>55.432359999999996</v>
      </c>
      <c r="H976" s="7">
        <f>(F976-G976)/Speed_Calc!G$2*9.806</f>
        <v>-16.994552266109867</v>
      </c>
      <c r="I976" s="4">
        <f t="shared" si="60"/>
        <v>26.111111111111111</v>
      </c>
    </row>
    <row r="977" spans="1:9" x14ac:dyDescent="0.2">
      <c r="A977" s="11">
        <v>94.1</v>
      </c>
      <c r="B977" s="14">
        <v>3.133</v>
      </c>
      <c r="C977" s="11">
        <f t="shared" si="61"/>
        <v>12194.413184198631</v>
      </c>
      <c r="D977" s="11">
        <f t="shared" si="58"/>
        <v>-894.84141566754613</v>
      </c>
      <c r="E977" s="11">
        <f t="shared" si="59"/>
        <v>-2567.5577282703239</v>
      </c>
      <c r="F977" s="11">
        <f>Speed_Calc!B$5*E977</f>
        <v>-2310.8019554432917</v>
      </c>
      <c r="G977" s="14">
        <f>Speed_Calc!G$3+Speed_Calc!G$5*A977^2</f>
        <v>55.507788099999992</v>
      </c>
      <c r="H977" s="7">
        <f>(F977-G977)/Speed_Calc!G$2*9.806</f>
        <v>-17.188172848285568</v>
      </c>
      <c r="I977" s="4">
        <f t="shared" si="60"/>
        <v>26.138888888888886</v>
      </c>
    </row>
    <row r="978" spans="1:9" x14ac:dyDescent="0.2">
      <c r="A978" s="11">
        <v>94.2</v>
      </c>
      <c r="B978" s="14">
        <v>3.133</v>
      </c>
      <c r="C978" s="11">
        <f t="shared" si="61"/>
        <v>12207.372178018186</v>
      </c>
      <c r="D978" s="11">
        <f t="shared" si="58"/>
        <v>-906.15624663728556</v>
      </c>
      <c r="E978" s="11">
        <f t="shared" si="59"/>
        <v>-2597.2631273043212</v>
      </c>
      <c r="F978" s="11">
        <f>Speed_Calc!B$5*E978</f>
        <v>-2337.5368145738889</v>
      </c>
      <c r="G978" s="14">
        <f>Speed_Calc!G$3+Speed_Calc!G$5*A978^2</f>
        <v>55.583296400000002</v>
      </c>
      <c r="H978" s="7">
        <f>(F978-G978)/Speed_Calc!G$2*9.806</f>
        <v>-17.382915413488856</v>
      </c>
      <c r="I978" s="4">
        <f t="shared" si="60"/>
        <v>26.166666666666668</v>
      </c>
    </row>
    <row r="979" spans="1:9" x14ac:dyDescent="0.2">
      <c r="A979" s="11">
        <v>94.3</v>
      </c>
      <c r="B979" s="14">
        <v>3.133</v>
      </c>
      <c r="C979" s="11">
        <f t="shared" si="61"/>
        <v>12220.331171837734</v>
      </c>
      <c r="D979" s="11">
        <f t="shared" si="58"/>
        <v>-917.55321213978777</v>
      </c>
      <c r="E979" s="11">
        <f t="shared" si="59"/>
        <v>-2627.140692234811</v>
      </c>
      <c r="F979" s="11">
        <f>Speed_Calc!B$5*E979</f>
        <v>-2364.4266230113299</v>
      </c>
      <c r="G979" s="14">
        <f>Speed_Calc!G$3+Speed_Calc!G$5*A979^2</f>
        <v>55.658884899999997</v>
      </c>
      <c r="H979" s="7">
        <f>(F979-G979)/Speed_Calc!G$2*9.806</f>
        <v>-17.578784067095185</v>
      </c>
      <c r="I979" s="4">
        <f t="shared" si="60"/>
        <v>26.194444444444443</v>
      </c>
    </row>
    <row r="980" spans="1:9" x14ac:dyDescent="0.2">
      <c r="A980" s="11">
        <v>94.4</v>
      </c>
      <c r="B980" s="14">
        <v>3.133</v>
      </c>
      <c r="C980" s="11">
        <f t="shared" si="61"/>
        <v>12233.290165657287</v>
      </c>
      <c r="D980" s="11">
        <f t="shared" si="58"/>
        <v>-929.03272342227456</v>
      </c>
      <c r="E980" s="11">
        <f t="shared" si="59"/>
        <v>-2657.1910521611676</v>
      </c>
      <c r="F980" s="11">
        <f>Speed_Calc!B$5*E980</f>
        <v>-2391.4719469450511</v>
      </c>
      <c r="G980" s="14">
        <f>Speed_Calc!G$3+Speed_Calc!G$5*A980^2</f>
        <v>55.734553599999998</v>
      </c>
      <c r="H980" s="7">
        <f>(F980-G980)/Speed_Calc!G$2*9.806</f>
        <v>-17.775782921736862</v>
      </c>
      <c r="I980" s="4">
        <f t="shared" si="60"/>
        <v>26.222222222222221</v>
      </c>
    </row>
    <row r="981" spans="1:9" x14ac:dyDescent="0.2">
      <c r="A981" s="11">
        <v>94.5</v>
      </c>
      <c r="B981" s="14">
        <v>3.133</v>
      </c>
      <c r="C981" s="11">
        <f t="shared" si="61"/>
        <v>12246.24915947684</v>
      </c>
      <c r="D981" s="11">
        <f t="shared" si="58"/>
        <v>-940.59519305246113</v>
      </c>
      <c r="E981" s="11">
        <f t="shared" si="59"/>
        <v>-2687.4148372927461</v>
      </c>
      <c r="F981" s="11">
        <f>Speed_Calc!B$5*E981</f>
        <v>-2418.6733535634717</v>
      </c>
      <c r="G981" s="14">
        <f>Speed_Calc!G$3+Speed_Calc!G$5*A981^2</f>
        <v>55.810302499999999</v>
      </c>
      <c r="H981" s="7">
        <f>(F981-G981)/Speed_Calc!G$2*9.806</f>
        <v>-17.973916097302521</v>
      </c>
      <c r="I981" s="4">
        <f t="shared" si="60"/>
        <v>26.25</v>
      </c>
    </row>
    <row r="982" spans="1:9" x14ac:dyDescent="0.2">
      <c r="A982" s="11">
        <v>94.6</v>
      </c>
      <c r="B982" s="14">
        <v>3.133</v>
      </c>
      <c r="C982" s="11">
        <f t="shared" si="61"/>
        <v>12259.208153296389</v>
      </c>
      <c r="D982" s="11">
        <f t="shared" si="58"/>
        <v>-952.24103492061431</v>
      </c>
      <c r="E982" s="11">
        <f t="shared" si="59"/>
        <v>-2717.8126789488992</v>
      </c>
      <c r="F982" s="11">
        <f>Speed_Calc!B$5*E982</f>
        <v>-2446.0314110540094</v>
      </c>
      <c r="G982" s="14">
        <f>Speed_Calc!G$3+Speed_Calc!G$5*A982^2</f>
        <v>55.886131599999992</v>
      </c>
      <c r="H982" s="7">
        <f>(F982-G982)/Speed_Calc!G$2*9.806</f>
        <v>-18.173187720937193</v>
      </c>
      <c r="I982" s="4">
        <f t="shared" si="60"/>
        <v>26.277777777777775</v>
      </c>
    </row>
    <row r="983" spans="1:9" x14ac:dyDescent="0.2">
      <c r="A983" s="11">
        <v>94.7</v>
      </c>
      <c r="B983" s="14">
        <v>3.133</v>
      </c>
      <c r="C983" s="11">
        <f t="shared" si="61"/>
        <v>12272.167147115944</v>
      </c>
      <c r="D983" s="11">
        <f t="shared" si="58"/>
        <v>-963.97066424162449</v>
      </c>
      <c r="E983" s="11">
        <f t="shared" si="59"/>
        <v>-2748.3852095590141</v>
      </c>
      <c r="F983" s="11">
        <f>Speed_Calc!B$5*E983</f>
        <v>-2473.5466886031127</v>
      </c>
      <c r="G983" s="14">
        <f>Speed_Calc!G$3+Speed_Calc!G$5*A983^2</f>
        <v>55.962040899999998</v>
      </c>
      <c r="H983" s="7">
        <f>(F983-G983)/Speed_Calc!G$2*9.806</f>
        <v>-18.373601927042607</v>
      </c>
      <c r="I983" s="4">
        <f t="shared" si="60"/>
        <v>26.305555555555557</v>
      </c>
    </row>
    <row r="984" spans="1:9" x14ac:dyDescent="0.2">
      <c r="A984" s="11">
        <v>94.8</v>
      </c>
      <c r="B984" s="14">
        <v>3.133</v>
      </c>
      <c r="C984" s="11">
        <f t="shared" si="61"/>
        <v>12285.126140935497</v>
      </c>
      <c r="D984" s="11">
        <f t="shared" si="58"/>
        <v>-975.78449755703934</v>
      </c>
      <c r="E984" s="11">
        <f t="shared" si="59"/>
        <v>-2779.1330626624531</v>
      </c>
      <c r="F984" s="11">
        <f>Speed_Calc!B$5*E984</f>
        <v>-2501.2197563962077</v>
      </c>
      <c r="G984" s="14">
        <f>Speed_Calc!G$3+Speed_Calc!G$5*A984^2</f>
        <v>56.038030399999997</v>
      </c>
      <c r="H984" s="7">
        <f>(F984-G984)/Speed_Calc!G$2*9.806</f>
        <v>-18.575162857276748</v>
      </c>
      <c r="I984" s="4">
        <f t="shared" si="60"/>
        <v>26.333333333333332</v>
      </c>
    </row>
    <row r="985" spans="1:9" x14ac:dyDescent="0.2">
      <c r="A985" s="11">
        <v>94.9</v>
      </c>
      <c r="B985" s="14">
        <v>3.133</v>
      </c>
      <c r="C985" s="11">
        <f t="shared" si="61"/>
        <v>12298.085134755049</v>
      </c>
      <c r="D985" s="11">
        <f t="shared" si="58"/>
        <v>-987.68295273714114</v>
      </c>
      <c r="E985" s="11">
        <f t="shared" si="59"/>
        <v>-2810.0568729086203</v>
      </c>
      <c r="F985" s="11">
        <f>Speed_Calc!B$5*E985</f>
        <v>-2529.0511856177582</v>
      </c>
      <c r="G985" s="14">
        <f>Speed_Calc!G$3+Speed_Calc!G$5*A985^2</f>
        <v>56.114100099999995</v>
      </c>
      <c r="H985" s="7">
        <f>(F985-G985)/Speed_Calc!G$2*9.806</f>
        <v>-18.777874660554321</v>
      </c>
      <c r="I985" s="4">
        <f t="shared" si="60"/>
        <v>26.361111111111111</v>
      </c>
    </row>
    <row r="986" spans="1:9" x14ac:dyDescent="0.2">
      <c r="A986" s="11">
        <v>95</v>
      </c>
      <c r="B986" s="14">
        <v>3.133</v>
      </c>
      <c r="C986" s="11">
        <f t="shared" si="61"/>
        <v>12311.0441285746</v>
      </c>
      <c r="D986" s="11">
        <f t="shared" si="58"/>
        <v>-999.66644898298557</v>
      </c>
      <c r="E986" s="11">
        <f t="shared" si="59"/>
        <v>-2841.157276056907</v>
      </c>
      <c r="F986" s="11">
        <f>Speed_Calc!B$5*E986</f>
        <v>-2557.0415484512164</v>
      </c>
      <c r="G986" s="14">
        <f>Speed_Calc!G$3+Speed_Calc!G$5*A986^2</f>
        <v>56.190249999999999</v>
      </c>
      <c r="H986" s="7">
        <f>(F986-G986)/Speed_Calc!G$2*9.806</f>
        <v>-18.981741493046389</v>
      </c>
      <c r="I986" s="4">
        <f t="shared" si="60"/>
        <v>26.388888888888889</v>
      </c>
    </row>
    <row r="987" spans="1:9" x14ac:dyDescent="0.2">
      <c r="A987" s="11">
        <v>95.1</v>
      </c>
      <c r="B987" s="14">
        <v>3.133</v>
      </c>
      <c r="C987" s="11">
        <f t="shared" si="61"/>
        <v>12324.00312239415</v>
      </c>
      <c r="D987" s="11">
        <f t="shared" si="58"/>
        <v>-1011.7354068284692</v>
      </c>
      <c r="E987" s="11">
        <f t="shared" si="59"/>
        <v>-2872.4349089767265</v>
      </c>
      <c r="F987" s="11">
        <f>Speed_Calc!B$5*E987</f>
        <v>-2585.1914180790541</v>
      </c>
      <c r="G987" s="14">
        <f>Speed_Calc!G$3+Speed_Calc!G$5*A987^2</f>
        <v>56.266480099999988</v>
      </c>
      <c r="H987" s="7">
        <f>(F987-G987)/Speed_Calc!G$2*9.806</f>
        <v>-19.186767518180595</v>
      </c>
      <c r="I987" s="4">
        <f t="shared" si="60"/>
        <v>26.416666666666664</v>
      </c>
    </row>
    <row r="988" spans="1:9" x14ac:dyDescent="0.2">
      <c r="A988" s="11">
        <v>95.2</v>
      </c>
      <c r="B988" s="14">
        <v>3.133</v>
      </c>
      <c r="C988" s="11">
        <f t="shared" si="61"/>
        <v>12336.962116213705</v>
      </c>
      <c r="D988" s="11">
        <f t="shared" si="58"/>
        <v>-1023.8902481423763</v>
      </c>
      <c r="E988" s="11">
        <f t="shared" si="59"/>
        <v>-2903.8904096474953</v>
      </c>
      <c r="F988" s="11">
        <f>Speed_Calc!B$5*E988</f>
        <v>-2613.501368682746</v>
      </c>
      <c r="G988" s="14">
        <f>Speed_Calc!G$3+Speed_Calc!G$5*A988^2</f>
        <v>56.342790399999998</v>
      </c>
      <c r="H988" s="7">
        <f>(F988-G988)/Speed_Calc!G$2*9.806</f>
        <v>-19.392956906641039</v>
      </c>
      <c r="I988" s="4">
        <f t="shared" si="60"/>
        <v>26.444444444444443</v>
      </c>
    </row>
    <row r="989" spans="1:9" x14ac:dyDescent="0.2">
      <c r="A989" s="11">
        <v>95.3</v>
      </c>
      <c r="B989" s="14">
        <v>3.133</v>
      </c>
      <c r="C989" s="11">
        <f t="shared" si="61"/>
        <v>12349.921110033258</v>
      </c>
      <c r="D989" s="11">
        <f t="shared" si="58"/>
        <v>-1036.1313961304397</v>
      </c>
      <c r="E989" s="11">
        <f t="shared" si="59"/>
        <v>-2935.5244171586428</v>
      </c>
      <c r="F989" s="11">
        <f>Speed_Calc!B$5*E989</f>
        <v>-2641.9719754427788</v>
      </c>
      <c r="G989" s="14">
        <f>Speed_Calc!G$3+Speed_Calc!G$5*A989^2</f>
        <v>56.419180900000001</v>
      </c>
      <c r="H989" s="7">
        <f>(F989-G989)/Speed_Calc!G$2*9.806</f>
        <v>-19.600313836368361</v>
      </c>
      <c r="I989" s="4">
        <f t="shared" si="60"/>
        <v>26.472222222222221</v>
      </c>
    </row>
    <row r="990" spans="1:9" x14ac:dyDescent="0.2">
      <c r="A990" s="11">
        <v>95.4</v>
      </c>
      <c r="B990" s="14">
        <v>3.133</v>
      </c>
      <c r="C990" s="11">
        <f t="shared" si="61"/>
        <v>12362.880103852811</v>
      </c>
      <c r="D990" s="11">
        <f t="shared" si="58"/>
        <v>-1048.4592753373852</v>
      </c>
      <c r="E990" s="11">
        <f t="shared" si="59"/>
        <v>-2967.3375717095796</v>
      </c>
      <c r="F990" s="11">
        <f>Speed_Calc!B$5*E990</f>
        <v>-2670.6038145386219</v>
      </c>
      <c r="G990" s="14">
        <f>Speed_Calc!G$3+Speed_Calc!G$5*A990^2</f>
        <v>56.495651600000002</v>
      </c>
      <c r="H990" s="7">
        <f>(F990-G990)/Speed_Calc!G$2*9.806</f>
        <v>-19.808842492559499</v>
      </c>
      <c r="I990" s="4">
        <f t="shared" si="60"/>
        <v>26.5</v>
      </c>
    </row>
    <row r="991" spans="1:9" x14ac:dyDescent="0.2">
      <c r="A991" s="11">
        <v>95.5</v>
      </c>
      <c r="B991" s="14">
        <v>3.133</v>
      </c>
      <c r="C991" s="11">
        <f t="shared" si="61"/>
        <v>12375.83909767236</v>
      </c>
      <c r="D991" s="11">
        <f t="shared" si="58"/>
        <v>-1060.8743116490125</v>
      </c>
      <c r="E991" s="11">
        <f t="shared" si="59"/>
        <v>-2999.3305146097741</v>
      </c>
      <c r="F991" s="11">
        <f>Speed_Calc!B$5*E991</f>
        <v>-2699.3974631487968</v>
      </c>
      <c r="G991" s="14">
        <f>Speed_Calc!G$3+Speed_Calc!G$5*A991^2</f>
        <v>56.572202499999996</v>
      </c>
      <c r="H991" s="7">
        <f>(F991-G991)/Speed_Calc!G$2*9.806</f>
        <v>-20.018547067668223</v>
      </c>
      <c r="I991" s="4">
        <f t="shared" si="60"/>
        <v>26.527777777777779</v>
      </c>
    </row>
    <row r="992" spans="1:9" x14ac:dyDescent="0.2">
      <c r="A992" s="11">
        <v>95.6</v>
      </c>
      <c r="B992" s="14">
        <v>3.133</v>
      </c>
      <c r="C992" s="11">
        <f t="shared" si="61"/>
        <v>12388.798091491914</v>
      </c>
      <c r="D992" s="11">
        <f t="shared" si="58"/>
        <v>-1073.3769322942276</v>
      </c>
      <c r="E992" s="11">
        <f t="shared" si="59"/>
        <v>-3031.5038882786762</v>
      </c>
      <c r="F992" s="11">
        <f>Speed_Calc!B$5*E992</f>
        <v>-2728.3534994508086</v>
      </c>
      <c r="G992" s="14">
        <f>Speed_Calc!G$3+Speed_Calc!G$5*A992^2</f>
        <v>56.648833599999989</v>
      </c>
      <c r="H992" s="7">
        <f>(F992-G992)/Speed_Calc!G$2*9.806</f>
        <v>-20.229431761404612</v>
      </c>
      <c r="I992" s="4">
        <f t="shared" si="60"/>
        <v>26.555555555555554</v>
      </c>
    </row>
    <row r="993" spans="1:9" x14ac:dyDescent="0.2">
      <c r="A993" s="11">
        <v>95.7</v>
      </c>
      <c r="B993" s="14">
        <v>3.133</v>
      </c>
      <c r="C993" s="11">
        <f t="shared" si="61"/>
        <v>12401.757085311467</v>
      </c>
      <c r="D993" s="11">
        <f t="shared" si="58"/>
        <v>-1085.967565847096</v>
      </c>
      <c r="E993" s="11">
        <f t="shared" si="59"/>
        <v>-3063.8583362457252</v>
      </c>
      <c r="F993" s="11">
        <f>Speed_Calc!B$5*E993</f>
        <v>-2757.4725026211527</v>
      </c>
      <c r="G993" s="14">
        <f>Speed_Calc!G$3+Speed_Calc!G$5*A993^2</f>
        <v>56.725544899999996</v>
      </c>
      <c r="H993" s="7">
        <f>(F993-G993)/Speed_Calc!G$2*9.806</f>
        <v>-20.441500780735126</v>
      </c>
      <c r="I993" s="4">
        <f t="shared" si="60"/>
        <v>26.583333333333332</v>
      </c>
    </row>
    <row r="994" spans="1:9" x14ac:dyDescent="0.2">
      <c r="A994" s="11">
        <v>95.8</v>
      </c>
      <c r="B994" s="14">
        <v>3.133</v>
      </c>
      <c r="C994" s="11">
        <f t="shared" si="61"/>
        <v>12414.716079131016</v>
      </c>
      <c r="D994" s="11">
        <f t="shared" si="58"/>
        <v>-1098.6466422289195</v>
      </c>
      <c r="E994" s="11">
        <f t="shared" si="59"/>
        <v>-3096.3945031504004</v>
      </c>
      <c r="F994" s="11">
        <f>Speed_Calc!B$5*E994</f>
        <v>-2786.7550528353604</v>
      </c>
      <c r="G994" s="14">
        <f>Speed_Calc!G$3+Speed_Calc!G$5*A994^2</f>
        <v>56.802336399999994</v>
      </c>
      <c r="H994" s="7">
        <f>(F994-G994)/Speed_Calc!G$2*9.806</f>
        <v>-20.654758339882921</v>
      </c>
      <c r="I994" s="4">
        <f t="shared" si="60"/>
        <v>26.611111111111111</v>
      </c>
    </row>
    <row r="995" spans="1:9" x14ac:dyDescent="0.2">
      <c r="A995" s="11">
        <v>95.9</v>
      </c>
      <c r="B995" s="14">
        <v>3.133</v>
      </c>
      <c r="C995" s="11">
        <f t="shared" si="61"/>
        <v>12427.675072950571</v>
      </c>
      <c r="D995" s="11">
        <f t="shared" si="58"/>
        <v>-1111.4145927102818</v>
      </c>
      <c r="E995" s="11">
        <f t="shared" si="59"/>
        <v>-3129.1130347421899</v>
      </c>
      <c r="F995" s="11">
        <f>Speed_Calc!B$5*E995</f>
        <v>-2816.2017312679709</v>
      </c>
      <c r="G995" s="14">
        <f>Speed_Calc!G$3+Speed_Calc!G$5*A995^2</f>
        <v>56.8792081</v>
      </c>
      <c r="H995" s="7">
        <f>(F995-G995)/Speed_Calc!G$2*9.806</f>
        <v>-20.869208660327647</v>
      </c>
      <c r="I995" s="4">
        <f t="shared" si="60"/>
        <v>26.638888888888889</v>
      </c>
    </row>
    <row r="996" spans="1:9" x14ac:dyDescent="0.2">
      <c r="A996" s="11">
        <v>96</v>
      </c>
      <c r="B996" s="14">
        <v>3.133</v>
      </c>
      <c r="C996" s="11">
        <f t="shared" si="61"/>
        <v>12440.634066770124</v>
      </c>
      <c r="D996" s="11">
        <f t="shared" si="58"/>
        <v>-1124.2718499130892</v>
      </c>
      <c r="E996" s="11">
        <f t="shared" si="59"/>
        <v>-3162.0145778805627</v>
      </c>
      <c r="F996" s="11">
        <f>Speed_Calc!B$5*E996</f>
        <v>-2845.8131200925063</v>
      </c>
      <c r="G996" s="14">
        <f>Speed_Calc!G$3+Speed_Calc!G$5*A996^2</f>
        <v>56.956159999999997</v>
      </c>
      <c r="H996" s="7">
        <f>(F996-G996)/Speed_Calc!G$2*9.806</f>
        <v>-21.084855970805268</v>
      </c>
      <c r="I996" s="4">
        <f t="shared" si="60"/>
        <v>26.666666666666664</v>
      </c>
    </row>
    <row r="997" spans="1:9" x14ac:dyDescent="0.2">
      <c r="A997" s="11">
        <v>96.1</v>
      </c>
      <c r="B997" s="14">
        <v>3.133</v>
      </c>
      <c r="C997" s="11">
        <f t="shared" si="61"/>
        <v>12453.593060589674</v>
      </c>
      <c r="D997" s="11">
        <f t="shared" ref="D997:D1060" si="62">-4.687*10^(-17)*C997^5+9.129*10^(-13)*C997^4-6.175*10^(-9)*C997^3+1.799*10^(-5)*C997^2+6.502*10^(-3)*C997</f>
        <v>-1137.2188478126473</v>
      </c>
      <c r="E997" s="11">
        <f t="shared" si="59"/>
        <v>-3195.0997805350139</v>
      </c>
      <c r="F997" s="11">
        <f>Speed_Calc!B$5*E997</f>
        <v>-2875.5898024815124</v>
      </c>
      <c r="G997" s="14">
        <f>Speed_Calc!G$3+Speed_Calc!G$5*A997^2</f>
        <v>57.033192099999994</v>
      </c>
      <c r="H997" s="7">
        <f>(F997-G997)/Speed_Calc!G$2*9.806</f>
        <v>-21.301704507308379</v>
      </c>
      <c r="I997" s="4">
        <f t="shared" si="60"/>
        <v>26.694444444444443</v>
      </c>
    </row>
    <row r="998" spans="1:9" x14ac:dyDescent="0.2">
      <c r="A998" s="11">
        <v>96.2</v>
      </c>
      <c r="B998" s="14">
        <v>3.133</v>
      </c>
      <c r="C998" s="11">
        <f t="shared" si="61"/>
        <v>12466.552054409227</v>
      </c>
      <c r="D998" s="11">
        <f t="shared" si="62"/>
        <v>-1150.2560217397145</v>
      </c>
      <c r="E998" s="11">
        <f t="shared" ref="E998:E1061" si="63">D998*75*B998*B$31*B$32/B$23/C998/2/PI()*60</f>
        <v>-3228.3692917850613</v>
      </c>
      <c r="F998" s="11">
        <f>Speed_Calc!B$5*E998</f>
        <v>-2905.5323626065551</v>
      </c>
      <c r="G998" s="14">
        <f>Speed_Calc!G$3+Speed_Calc!G$5*A998^2</f>
        <v>57.110304399999997</v>
      </c>
      <c r="H998" s="7">
        <f>(F998-G998)/Speed_Calc!G$2*9.806</f>
        <v>-21.519758513086131</v>
      </c>
      <c r="I998" s="4">
        <f t="shared" ref="I998:I1061" si="64">A998/3.6</f>
        <v>26.722222222222221</v>
      </c>
    </row>
    <row r="999" spans="1:9" x14ac:dyDescent="0.2">
      <c r="A999" s="11">
        <v>96.3</v>
      </c>
      <c r="B999" s="14">
        <v>3.133</v>
      </c>
      <c r="C999" s="11">
        <f t="shared" si="61"/>
        <v>12479.51104822878</v>
      </c>
      <c r="D999" s="11">
        <f t="shared" si="62"/>
        <v>-1163.3838083825422</v>
      </c>
      <c r="E999" s="11">
        <f t="shared" si="63"/>
        <v>-3261.8237618202106</v>
      </c>
      <c r="F999" s="11">
        <f>Speed_Calc!B$5*E999</f>
        <v>-2935.6413856381896</v>
      </c>
      <c r="G999" s="14">
        <f>Speed_Calc!G$3+Speed_Calc!G$5*A999^2</f>
        <v>57.187496899999992</v>
      </c>
      <c r="H999" s="7">
        <f>(F999-G999)/Speed_Calc!G$2*9.806</f>
        <v>-21.739022238644065</v>
      </c>
      <c r="I999" s="4">
        <f t="shared" si="64"/>
        <v>26.75</v>
      </c>
    </row>
    <row r="1000" spans="1:9" x14ac:dyDescent="0.2">
      <c r="A1000" s="11">
        <v>96.4</v>
      </c>
      <c r="B1000" s="14">
        <v>3.133</v>
      </c>
      <c r="C1000" s="11">
        <f t="shared" si="61"/>
        <v>12492.470042048331</v>
      </c>
      <c r="D1000" s="11">
        <f t="shared" si="62"/>
        <v>-1176.6026457889432</v>
      </c>
      <c r="E1000" s="11">
        <f t="shared" si="63"/>
        <v>-3295.4638419399867</v>
      </c>
      <c r="F1000" s="11">
        <f>Speed_Calc!B$5*E1000</f>
        <v>-2965.917457745988</v>
      </c>
      <c r="G1000" s="14">
        <f>Speed_Calc!G$3+Speed_Calc!G$5*A1000^2</f>
        <v>57.264769600000001</v>
      </c>
      <c r="H1000" s="7">
        <f>(F1000-G1000)/Speed_Calc!G$2*9.806</f>
        <v>-21.959499941744262</v>
      </c>
      <c r="I1000" s="4">
        <f t="shared" si="64"/>
        <v>26.777777777777779</v>
      </c>
    </row>
    <row r="1001" spans="1:9" x14ac:dyDescent="0.2">
      <c r="A1001" s="11">
        <v>96.5</v>
      </c>
      <c r="B1001" s="14">
        <v>3.133</v>
      </c>
      <c r="C1001" s="11">
        <f t="shared" si="61"/>
        <v>12505.429035867885</v>
      </c>
      <c r="D1001" s="11">
        <f t="shared" si="62"/>
        <v>-1189.9129733683378</v>
      </c>
      <c r="E1001" s="11">
        <f t="shared" si="63"/>
        <v>-3329.2901845538981</v>
      </c>
      <c r="F1001" s="11">
        <f>Speed_Calc!B$5*E1001</f>
        <v>-2996.3611660985084</v>
      </c>
      <c r="G1001" s="14">
        <f>Speed_Calc!G$3+Speed_Calc!G$5*A1001^2</f>
        <v>57.342122499999995</v>
      </c>
      <c r="H1001" s="7">
        <f>(F1001-G1001)/Speed_Calc!G$2*9.806</f>
        <v>-22.181195887405163</v>
      </c>
      <c r="I1001" s="4">
        <f t="shared" si="64"/>
        <v>26.805555555555554</v>
      </c>
    </row>
    <row r="1002" spans="1:9" x14ac:dyDescent="0.2">
      <c r="A1002" s="11">
        <v>96.6</v>
      </c>
      <c r="B1002" s="14">
        <v>3.133</v>
      </c>
      <c r="C1002" s="11">
        <f t="shared" si="61"/>
        <v>12518.388029687438</v>
      </c>
      <c r="D1002" s="11">
        <f t="shared" si="62"/>
        <v>-1203.3152318938239</v>
      </c>
      <c r="E1002" s="11">
        <f t="shared" si="63"/>
        <v>-3363.3034431814949</v>
      </c>
      <c r="F1002" s="11">
        <f>Speed_Calc!B$5*E1002</f>
        <v>-3026.9730988633455</v>
      </c>
      <c r="G1002" s="14">
        <f>Speed_Calc!G$3+Speed_Calc!G$5*A1002^2</f>
        <v>57.419555599999995</v>
      </c>
      <c r="H1002" s="7">
        <f>(F1002-G1002)/Speed_Calc!G$2*9.806</f>
        <v>-22.404114347901899</v>
      </c>
      <c r="I1002" s="4">
        <f t="shared" si="64"/>
        <v>26.833333333333332</v>
      </c>
    </row>
    <row r="1003" spans="1:9" x14ac:dyDescent="0.2">
      <c r="A1003" s="11">
        <v>96.7</v>
      </c>
      <c r="B1003" s="14">
        <v>3.133</v>
      </c>
      <c r="C1003" s="11">
        <f t="shared" ref="C1003:C1066" si="65">A1003/3.6/B$23/2/PI()*B$32*B$31*B1003*60</f>
        <v>12531.347023506987</v>
      </c>
      <c r="D1003" s="11">
        <f t="shared" si="62"/>
        <v>-1216.8098635042245</v>
      </c>
      <c r="E1003" s="11">
        <f t="shared" si="63"/>
        <v>-3397.5042724523328</v>
      </c>
      <c r="F1003" s="11">
        <f>Speed_Calc!B$5*E1003</f>
        <v>-3057.7538452070994</v>
      </c>
      <c r="G1003" s="14">
        <f>Speed_Calc!G$3+Speed_Calc!G$5*A1003^2</f>
        <v>57.497068900000002</v>
      </c>
      <c r="H1003" s="7">
        <f>(F1003-G1003)/Speed_Calc!G$2*9.806</f>
        <v>-22.628259602766086</v>
      </c>
      <c r="I1003" s="4">
        <f t="shared" si="64"/>
        <v>26.861111111111111</v>
      </c>
    </row>
    <row r="1004" spans="1:9" x14ac:dyDescent="0.2">
      <c r="A1004" s="11">
        <v>96.8</v>
      </c>
      <c r="B1004" s="14">
        <v>3.133</v>
      </c>
      <c r="C1004" s="11">
        <f t="shared" si="65"/>
        <v>12544.306017326537</v>
      </c>
      <c r="D1004" s="11">
        <f t="shared" si="62"/>
        <v>-1230.3973117061312</v>
      </c>
      <c r="E1004" s="11">
        <f t="shared" si="63"/>
        <v>-3431.8933281059458</v>
      </c>
      <c r="F1004" s="11">
        <f>Speed_Calc!B$5*E1004</f>
        <v>-3088.7039952953514</v>
      </c>
      <c r="G1004" s="14">
        <f>Speed_Calc!G$3+Speed_Calc!G$5*A1004^2</f>
        <v>57.574662399999994</v>
      </c>
      <c r="H1004" s="7">
        <f>(F1004-G1004)/Speed_Calc!G$2*9.806</f>
        <v>-22.85363593878564</v>
      </c>
      <c r="I1004" s="4">
        <f t="shared" si="64"/>
        <v>26.888888888888886</v>
      </c>
    </row>
    <row r="1005" spans="1:9" x14ac:dyDescent="0.2">
      <c r="A1005" s="11">
        <v>96.9</v>
      </c>
      <c r="B1005" s="14">
        <v>3.133</v>
      </c>
      <c r="C1005" s="11">
        <f t="shared" si="65"/>
        <v>12557.265011146093</v>
      </c>
      <c r="D1005" s="11">
        <f t="shared" si="62"/>
        <v>-1244.0780213759961</v>
      </c>
      <c r="E1005" s="11">
        <f t="shared" si="63"/>
        <v>-3466.4712669919395</v>
      </c>
      <c r="F1005" s="11">
        <f>Speed_Calc!B$5*E1005</f>
        <v>-3119.8241402927456</v>
      </c>
      <c r="G1005" s="14">
        <f>Speed_Calc!G$3+Speed_Calc!G$5*A1005^2</f>
        <v>57.652336099999999</v>
      </c>
      <c r="H1005" s="7">
        <f>(F1005-G1005)/Speed_Calc!G$2*9.806</f>
        <v>-23.080247650005376</v>
      </c>
      <c r="I1005" s="4">
        <f t="shared" si="64"/>
        <v>26.916666666666668</v>
      </c>
    </row>
    <row r="1006" spans="1:9" x14ac:dyDescent="0.2">
      <c r="A1006" s="11">
        <v>97</v>
      </c>
      <c r="B1006" s="14">
        <v>3.133</v>
      </c>
      <c r="C1006" s="11">
        <f t="shared" si="65"/>
        <v>12570.224004965643</v>
      </c>
      <c r="D1006" s="11">
        <f t="shared" si="62"/>
        <v>-1257.8524387621246</v>
      </c>
      <c r="E1006" s="11">
        <f t="shared" si="63"/>
        <v>-3501.2387470698327</v>
      </c>
      <c r="F1006" s="11">
        <f>Speed_Calc!B$5*E1006</f>
        <v>-3151.1148723628494</v>
      </c>
      <c r="G1006" s="14">
        <f>Speed_Calc!G$3+Speed_Calc!G$5*A1006^2</f>
        <v>57.730089999999997</v>
      </c>
      <c r="H1006" s="7">
        <f>(F1006-G1006)/Speed_Calc!G$2*9.806</f>
        <v>-23.308099037726002</v>
      </c>
      <c r="I1006" s="4">
        <f t="shared" si="64"/>
        <v>26.944444444444443</v>
      </c>
    </row>
    <row r="1007" spans="1:9" x14ac:dyDescent="0.2">
      <c r="A1007" s="11">
        <v>97.1</v>
      </c>
      <c r="B1007" s="14">
        <v>3.133</v>
      </c>
      <c r="C1007" s="11">
        <f t="shared" si="65"/>
        <v>12583.182998785198</v>
      </c>
      <c r="D1007" s="11">
        <f t="shared" si="62"/>
        <v>-1271.7210114868094</v>
      </c>
      <c r="E1007" s="11">
        <f t="shared" si="63"/>
        <v>-3536.1964274092543</v>
      </c>
      <c r="F1007" s="11">
        <f>Speed_Calc!B$5*E1007</f>
        <v>-3182.5767846683289</v>
      </c>
      <c r="G1007" s="14">
        <f>Speed_Calc!G$3+Speed_Calc!G$5*A1007^2</f>
        <v>57.807924099999987</v>
      </c>
      <c r="H1007" s="7">
        <f>(F1007-G1007)/Speed_Calc!G$2*9.806</f>
        <v>-23.537194410505357</v>
      </c>
      <c r="I1007" s="4">
        <f t="shared" si="64"/>
        <v>26.972222222222221</v>
      </c>
    </row>
    <row r="1008" spans="1:9" x14ac:dyDescent="0.2">
      <c r="A1008" s="11">
        <v>97.2</v>
      </c>
      <c r="B1008" s="14">
        <v>3.133</v>
      </c>
      <c r="C1008" s="11">
        <f t="shared" si="65"/>
        <v>12596.141992604751</v>
      </c>
      <c r="D1008" s="11">
        <f t="shared" si="62"/>
        <v>-1285.6841885483118</v>
      </c>
      <c r="E1008" s="11">
        <f t="shared" si="63"/>
        <v>-3571.3449681897541</v>
      </c>
      <c r="F1008" s="11">
        <f>Speed_Calc!B$5*E1008</f>
        <v>-3214.2104713707786</v>
      </c>
      <c r="G1008" s="14">
        <f>Speed_Calc!G$3+Speed_Calc!G$5*A1008^2</f>
        <v>57.885838399999997</v>
      </c>
      <c r="H1008" s="7">
        <f>(F1008-G1008)/Speed_Calc!G$2*9.806</f>
        <v>-23.767538084157223</v>
      </c>
      <c r="I1008" s="4">
        <f t="shared" si="64"/>
        <v>27</v>
      </c>
    </row>
    <row r="1009" spans="1:9" x14ac:dyDescent="0.2">
      <c r="A1009" s="11">
        <v>97.3</v>
      </c>
      <c r="B1009" s="14">
        <v>3.133</v>
      </c>
      <c r="C1009" s="11">
        <f t="shared" si="65"/>
        <v>12609.100986424301</v>
      </c>
      <c r="D1009" s="11">
        <f t="shared" si="62"/>
        <v>-1299.7424203229684</v>
      </c>
      <c r="E1009" s="11">
        <f t="shared" si="63"/>
        <v>-3606.6850307009408</v>
      </c>
      <c r="F1009" s="11">
        <f>Speed_Calc!B$5*E1009</f>
        <v>-3246.0165276308467</v>
      </c>
      <c r="G1009" s="14">
        <f>Speed_Calc!G$3+Speed_Calc!G$5*A1009^2</f>
        <v>57.963832899999993</v>
      </c>
      <c r="H1009" s="7">
        <f>(F1009-G1009)/Speed_Calc!G$2*9.806</f>
        <v>-23.999134381752206</v>
      </c>
      <c r="I1009" s="4">
        <f t="shared" si="64"/>
        <v>27.027777777777775</v>
      </c>
    </row>
    <row r="1010" spans="1:9" x14ac:dyDescent="0.2">
      <c r="A1010" s="11">
        <v>97.4</v>
      </c>
      <c r="B1010" s="14">
        <v>3.133</v>
      </c>
      <c r="C1010" s="11">
        <f t="shared" si="65"/>
        <v>12622.059980243854</v>
      </c>
      <c r="D1010" s="11">
        <f t="shared" si="62"/>
        <v>-1313.8961585672396</v>
      </c>
      <c r="E1010" s="11">
        <f t="shared" si="63"/>
        <v>-3642.2172773424509</v>
      </c>
      <c r="F1010" s="11">
        <f>Speed_Calc!B$5*E1010</f>
        <v>-3277.9955496082057</v>
      </c>
      <c r="G1010" s="14">
        <f>Speed_Calc!G$3+Speed_Calc!G$5*A1010^2</f>
        <v>58.041907599999995</v>
      </c>
      <c r="H1010" s="7">
        <f>(F1010-G1010)/Speed_Calc!G$2*9.806</f>
        <v>-24.231987633617525</v>
      </c>
      <c r="I1010" s="4">
        <f t="shared" si="64"/>
        <v>27.055555555555557</v>
      </c>
    </row>
    <row r="1011" spans="1:9" x14ac:dyDescent="0.2">
      <c r="A1011" s="11">
        <v>97.5</v>
      </c>
      <c r="B1011" s="14">
        <v>3.133</v>
      </c>
      <c r="C1011" s="11">
        <f t="shared" si="65"/>
        <v>12635.018974063403</v>
      </c>
      <c r="D1011" s="11">
        <f t="shared" si="62"/>
        <v>-1328.1458564197264</v>
      </c>
      <c r="E1011" s="11">
        <f t="shared" si="63"/>
        <v>-3677.942371623858</v>
      </c>
      <c r="F1011" s="11">
        <f>Speed_Calc!B$5*E1011</f>
        <v>-3310.1481344614722</v>
      </c>
      <c r="G1011" s="14">
        <f>Speed_Calc!G$3+Speed_Calc!G$5*A1011^2</f>
        <v>58.120062499999996</v>
      </c>
      <c r="H1011" s="7">
        <f>(F1011-G1011)/Speed_Calc!G$2*9.806</f>
        <v>-24.466102177336438</v>
      </c>
      <c r="I1011" s="4">
        <f t="shared" si="64"/>
        <v>27.083333333333332</v>
      </c>
    </row>
    <row r="1012" spans="1:9" x14ac:dyDescent="0.2">
      <c r="A1012" s="11">
        <v>97.6</v>
      </c>
      <c r="B1012" s="14">
        <v>3.133</v>
      </c>
      <c r="C1012" s="11">
        <f t="shared" si="65"/>
        <v>12647.977967882955</v>
      </c>
      <c r="D1012" s="11">
        <f t="shared" si="62"/>
        <v>-1342.491968403282</v>
      </c>
      <c r="E1012" s="11">
        <f t="shared" si="63"/>
        <v>-3713.8609781648188</v>
      </c>
      <c r="F1012" s="11">
        <f>Speed_Calc!B$5*E1012</f>
        <v>-3342.4748803483371</v>
      </c>
      <c r="G1012" s="14">
        <f>Speed_Calc!G$3+Speed_Calc!G$5*A1012^2</f>
        <v>58.198297599999989</v>
      </c>
      <c r="H1012" s="7">
        <f>(F1012-G1012)/Speed_Calc!G$2*9.806</f>
        <v>-24.701482357749178</v>
      </c>
      <c r="I1012" s="4">
        <f t="shared" si="64"/>
        <v>27.111111111111107</v>
      </c>
    </row>
    <row r="1013" spans="1:9" x14ac:dyDescent="0.2">
      <c r="A1013" s="11">
        <v>97.7</v>
      </c>
      <c r="B1013" s="14">
        <v>3.133</v>
      </c>
      <c r="C1013" s="11">
        <f t="shared" si="65"/>
        <v>12660.936961702511</v>
      </c>
      <c r="D1013" s="11">
        <f t="shared" si="62"/>
        <v>-1356.9349504270267</v>
      </c>
      <c r="E1013" s="11">
        <f t="shared" si="63"/>
        <v>-3749.9737626949554</v>
      </c>
      <c r="F1013" s="11">
        <f>Speed_Calc!B$5*E1013</f>
        <v>-3374.9763864254601</v>
      </c>
      <c r="G1013" s="14">
        <f>Speed_Calc!G$3+Speed_Calc!G$5*A1013^2</f>
        <v>58.276612900000003</v>
      </c>
      <c r="H1013" s="7">
        <f>(F1013-G1013)/Speed_Calc!G$2*9.806</f>
        <v>-24.938132526952192</v>
      </c>
      <c r="I1013" s="4">
        <f t="shared" si="64"/>
        <v>27.138888888888889</v>
      </c>
    </row>
    <row r="1014" spans="1:9" x14ac:dyDescent="0.2">
      <c r="A1014" s="11">
        <v>97.8</v>
      </c>
      <c r="B1014" s="14">
        <v>3.133</v>
      </c>
      <c r="C1014" s="11">
        <f t="shared" si="65"/>
        <v>12673.895955522064</v>
      </c>
      <c r="D1014" s="11">
        <f t="shared" si="62"/>
        <v>-1371.4752597884144</v>
      </c>
      <c r="E1014" s="11">
        <f t="shared" si="63"/>
        <v>-3786.2813920539038</v>
      </c>
      <c r="F1014" s="11">
        <f>Speed_Calc!B$5*E1014</f>
        <v>-3407.6532528485136</v>
      </c>
      <c r="G1014" s="14">
        <f>Speed_Calc!G$3+Speed_Calc!G$5*A1014^2</f>
        <v>58.355008399999996</v>
      </c>
      <c r="H1014" s="7">
        <f>(F1014-G1014)/Speed_Calc!G$2*9.806</f>
        <v>-25.17605704429846</v>
      </c>
      <c r="I1014" s="4">
        <f t="shared" si="64"/>
        <v>27.166666666666664</v>
      </c>
    </row>
    <row r="1015" spans="1:9" x14ac:dyDescent="0.2">
      <c r="A1015" s="11">
        <v>97.9</v>
      </c>
      <c r="B1015" s="14">
        <v>3.133</v>
      </c>
      <c r="C1015" s="11">
        <f t="shared" si="65"/>
        <v>12686.854949341614</v>
      </c>
      <c r="D1015" s="11">
        <f t="shared" si="62"/>
        <v>-1386.1133551752976</v>
      </c>
      <c r="E1015" s="11">
        <f t="shared" si="63"/>
        <v>-3822.7845341913207</v>
      </c>
      <c r="F1015" s="11">
        <f>Speed_Calc!B$5*E1015</f>
        <v>-3440.5060807721889</v>
      </c>
      <c r="G1015" s="14">
        <f>Speed_Calc!G$3+Speed_Calc!G$5*A1015^2</f>
        <v>58.433484100000001</v>
      </c>
      <c r="H1015" s="7">
        <f>(F1015-G1015)/Speed_Calc!G$2*9.806</f>
        <v>-25.415260276397543</v>
      </c>
      <c r="I1015" s="4">
        <f t="shared" si="64"/>
        <v>27.194444444444446</v>
      </c>
    </row>
    <row r="1016" spans="1:9" x14ac:dyDescent="0.2">
      <c r="A1016" s="11">
        <v>98</v>
      </c>
      <c r="B1016" s="14">
        <v>3.133</v>
      </c>
      <c r="C1016" s="11">
        <f t="shared" si="65"/>
        <v>12699.813943161167</v>
      </c>
      <c r="D1016" s="11">
        <f t="shared" si="62"/>
        <v>-1400.8496966679729</v>
      </c>
      <c r="E1016" s="11">
        <f t="shared" si="63"/>
        <v>-3859.4838581668637</v>
      </c>
      <c r="F1016" s="11">
        <f>Speed_Calc!B$5*E1016</f>
        <v>-3473.5354723501773</v>
      </c>
      <c r="G1016" s="14">
        <f>Speed_Calc!G$3+Speed_Calc!G$5*A1016^2</f>
        <v>58.512039999999999</v>
      </c>
      <c r="H1016" s="7">
        <f>(F1016-G1016)/Speed_Calc!G$2*9.806</f>
        <v>-25.655746597115435</v>
      </c>
      <c r="I1016" s="4">
        <f t="shared" si="64"/>
        <v>27.222222222222221</v>
      </c>
    </row>
    <row r="1017" spans="1:9" x14ac:dyDescent="0.2">
      <c r="A1017" s="11">
        <v>98.1</v>
      </c>
      <c r="B1017" s="14">
        <v>3.133</v>
      </c>
      <c r="C1017" s="11">
        <f t="shared" si="65"/>
        <v>12712.772936980717</v>
      </c>
      <c r="D1017" s="11">
        <f t="shared" si="62"/>
        <v>-1415.6847457412421</v>
      </c>
      <c r="E1017" s="11">
        <f t="shared" si="63"/>
        <v>-3896.3800341502083</v>
      </c>
      <c r="F1017" s="11">
        <f>Speed_Calc!B$5*E1017</f>
        <v>-3506.7420307351877</v>
      </c>
      <c r="G1017" s="14">
        <f>Speed_Calc!G$3+Speed_Calc!G$5*A1017^2</f>
        <v>58.590676099999989</v>
      </c>
      <c r="H1017" s="7">
        <f>(F1017-G1017)/Speed_Calc!G$2*9.806</f>
        <v>-25.897520387574705</v>
      </c>
      <c r="I1017" s="4">
        <f t="shared" si="64"/>
        <v>27.249999999999996</v>
      </c>
    </row>
    <row r="1018" spans="1:9" x14ac:dyDescent="0.2">
      <c r="A1018" s="11">
        <v>98.2</v>
      </c>
      <c r="B1018" s="14">
        <v>3.133</v>
      </c>
      <c r="C1018" s="11">
        <f t="shared" si="65"/>
        <v>12725.73193080027</v>
      </c>
      <c r="D1018" s="11">
        <f t="shared" si="62"/>
        <v>-1430.6189652664568</v>
      </c>
      <c r="E1018" s="11">
        <f t="shared" si="63"/>
        <v>-3933.4737334210117</v>
      </c>
      <c r="F1018" s="11">
        <f>Speed_Calc!B$5*E1018</f>
        <v>-3540.1263600789107</v>
      </c>
      <c r="G1018" s="14">
        <f>Speed_Calc!G$3+Speed_Calc!G$5*A1018^2</f>
        <v>58.669392399999992</v>
      </c>
      <c r="H1018" s="7">
        <f>(F1018-G1018)/Speed_Calc!G$2*9.806</f>
        <v>-26.140586036154222</v>
      </c>
      <c r="I1018" s="4">
        <f t="shared" si="64"/>
        <v>27.277777777777779</v>
      </c>
    </row>
    <row r="1019" spans="1:9" x14ac:dyDescent="0.2">
      <c r="A1019" s="11">
        <v>98.3</v>
      </c>
      <c r="B1019" s="14">
        <v>3.133</v>
      </c>
      <c r="C1019" s="11">
        <f t="shared" si="65"/>
        <v>12738.690924619825</v>
      </c>
      <c r="D1019" s="11">
        <f t="shared" si="62"/>
        <v>-1445.6528195136</v>
      </c>
      <c r="E1019" s="11">
        <f t="shared" si="63"/>
        <v>-3970.7656283689926</v>
      </c>
      <c r="F1019" s="11">
        <f>Speed_Calc!B$5*E1019</f>
        <v>-3573.6890655320935</v>
      </c>
      <c r="G1019" s="14">
        <f>Speed_Calc!G$3+Speed_Calc!G$5*A1019^2</f>
        <v>58.748188899999995</v>
      </c>
      <c r="H1019" s="7">
        <f>(F1019-G1019)/Speed_Calc!G$2*9.806</f>
        <v>-26.384947938489709</v>
      </c>
      <c r="I1019" s="4">
        <f t="shared" si="64"/>
        <v>27.305555555555554</v>
      </c>
    </row>
    <row r="1020" spans="1:9" x14ac:dyDescent="0.2">
      <c r="A1020" s="11">
        <v>98.4</v>
      </c>
      <c r="B1020" s="14">
        <v>3.133</v>
      </c>
      <c r="C1020" s="11">
        <f t="shared" si="65"/>
        <v>12751.649918439378</v>
      </c>
      <c r="D1020" s="11">
        <f t="shared" si="62"/>
        <v>-1460.7867741533016</v>
      </c>
      <c r="E1020" s="11">
        <f t="shared" si="63"/>
        <v>-4008.2563924938145</v>
      </c>
      <c r="F1020" s="11">
        <f>Speed_Calc!B$5*E1020</f>
        <v>-3607.4307532444332</v>
      </c>
      <c r="G1020" s="14">
        <f>Speed_Calc!G$3+Speed_Calc!G$5*A1020^2</f>
        <v>58.827065600000005</v>
      </c>
      <c r="H1020" s="7">
        <f>(F1020-G1020)/Speed_Calc!G$2*9.806</f>
        <v>-26.630610497472968</v>
      </c>
      <c r="I1020" s="4">
        <f t="shared" si="64"/>
        <v>27.333333333333336</v>
      </c>
    </row>
    <row r="1021" spans="1:9" x14ac:dyDescent="0.2">
      <c r="A1021" s="11">
        <v>98.5</v>
      </c>
      <c r="B1021" s="14">
        <v>3.133</v>
      </c>
      <c r="C1021" s="11">
        <f t="shared" si="65"/>
        <v>12764.608912258927</v>
      </c>
      <c r="D1021" s="11">
        <f t="shared" si="62"/>
        <v>-1476.0212962589244</v>
      </c>
      <c r="E1021" s="11">
        <f t="shared" si="63"/>
        <v>-4045.946700405173</v>
      </c>
      <c r="F1021" s="11">
        <f>Speed_Calc!B$5*E1021</f>
        <v>-3641.352030364656</v>
      </c>
      <c r="G1021" s="14">
        <f>Speed_Calc!G$3+Speed_Calc!G$5*A1021^2</f>
        <v>58.906022499999999</v>
      </c>
      <c r="H1021" s="7">
        <f>(F1021-G1021)/Speed_Calc!G$2*9.806</f>
        <v>-26.877578123252452</v>
      </c>
      <c r="I1021" s="4">
        <f t="shared" si="64"/>
        <v>27.361111111111111</v>
      </c>
    </row>
    <row r="1022" spans="1:9" x14ac:dyDescent="0.2">
      <c r="A1022" s="11">
        <v>98.6</v>
      </c>
      <c r="B1022" s="14">
        <v>3.133</v>
      </c>
      <c r="C1022" s="11">
        <f t="shared" si="65"/>
        <v>12777.567906078477</v>
      </c>
      <c r="D1022" s="11">
        <f t="shared" si="62"/>
        <v>-1491.3568543086208</v>
      </c>
      <c r="E1022" s="11">
        <f t="shared" si="63"/>
        <v>-4083.8372278227966</v>
      </c>
      <c r="F1022" s="11">
        <f>Speed_Calc!B$5*E1022</f>
        <v>-3675.453505040517</v>
      </c>
      <c r="G1022" s="14">
        <f>Speed_Calc!G$3+Speed_Calc!G$5*A1022^2</f>
        <v>58.985059599999992</v>
      </c>
      <c r="H1022" s="7">
        <f>(F1022-G1022)/Speed_Calc!G$2*9.806</f>
        <v>-27.125855233233267</v>
      </c>
      <c r="I1022" s="4">
        <f t="shared" si="64"/>
        <v>27.388888888888886</v>
      </c>
    </row>
    <row r="1023" spans="1:9" x14ac:dyDescent="0.2">
      <c r="A1023" s="11">
        <v>98.7</v>
      </c>
      <c r="B1023" s="14">
        <v>3.133</v>
      </c>
      <c r="C1023" s="11">
        <f t="shared" si="65"/>
        <v>12790.52689989803</v>
      </c>
      <c r="D1023" s="11">
        <f t="shared" si="62"/>
        <v>-1506.7939181873812</v>
      </c>
      <c r="E1023" s="11">
        <f t="shared" si="63"/>
        <v>-4121.9286515764243</v>
      </c>
      <c r="F1023" s="11">
        <f>Speed_Calc!B$5*E1023</f>
        <v>-3709.735786418782</v>
      </c>
      <c r="G1023" s="14">
        <f>Speed_Calc!G$3+Speed_Calc!G$5*A1023^2</f>
        <v>59.0641769</v>
      </c>
      <c r="H1023" s="7">
        <f>(F1023-G1023)/Speed_Calc!G$2*9.806</f>
        <v>-27.375446252077015</v>
      </c>
      <c r="I1023" s="4">
        <f t="shared" si="64"/>
        <v>27.416666666666668</v>
      </c>
    </row>
    <row r="1024" spans="1:9" x14ac:dyDescent="0.2">
      <c r="A1024" s="11">
        <v>98.8</v>
      </c>
      <c r="B1024" s="14">
        <v>3.133</v>
      </c>
      <c r="C1024" s="11">
        <f t="shared" si="65"/>
        <v>12803.485893717581</v>
      </c>
      <c r="D1024" s="11">
        <f t="shared" si="62"/>
        <v>-1522.3329591890683</v>
      </c>
      <c r="E1024" s="11">
        <f t="shared" si="63"/>
        <v>-4160.2216496057545</v>
      </c>
      <c r="F1024" s="11">
        <f>Speed_Calc!B$5*E1024</f>
        <v>-3744.1994846451789</v>
      </c>
      <c r="G1024" s="14">
        <f>Speed_Calc!G$3+Speed_Calc!G$5*A1024^2</f>
        <v>59.143374399999992</v>
      </c>
      <c r="H1024" s="7">
        <f>(F1024-G1024)/Speed_Calc!G$2*9.806</f>
        <v>-27.626355611701495</v>
      </c>
      <c r="I1024" s="4">
        <f t="shared" si="64"/>
        <v>27.444444444444443</v>
      </c>
    </row>
    <row r="1025" spans="1:9" x14ac:dyDescent="0.2">
      <c r="A1025" s="11">
        <v>98.9</v>
      </c>
      <c r="B1025" s="14">
        <v>3.133</v>
      </c>
      <c r="C1025" s="11">
        <f t="shared" si="65"/>
        <v>12816.444887537138</v>
      </c>
      <c r="D1025" s="11">
        <f t="shared" si="62"/>
        <v>-1537.9744500185138</v>
      </c>
      <c r="E1025" s="11">
        <f t="shared" si="63"/>
        <v>-4198.7169009605532</v>
      </c>
      <c r="F1025" s="11">
        <f>Speed_Calc!B$5*E1025</f>
        <v>-3778.8452108644979</v>
      </c>
      <c r="G1025" s="14">
        <f>Speed_Calc!G$3+Speed_Calc!G$5*A1025^2</f>
        <v>59.222652099999998</v>
      </c>
      <c r="H1025" s="7">
        <f>(F1025-G1025)/Speed_Calc!G$2*9.806</f>
        <v>-27.87858775128138</v>
      </c>
      <c r="I1025" s="4">
        <f t="shared" si="64"/>
        <v>27.472222222222221</v>
      </c>
    </row>
    <row r="1026" spans="1:9" x14ac:dyDescent="0.2">
      <c r="A1026" s="11">
        <v>99</v>
      </c>
      <c r="B1026" s="14">
        <v>3.133</v>
      </c>
      <c r="C1026" s="11">
        <f t="shared" si="65"/>
        <v>12829.403881356691</v>
      </c>
      <c r="D1026" s="11">
        <f t="shared" si="62"/>
        <v>-1553.7188647935286</v>
      </c>
      <c r="E1026" s="11">
        <f t="shared" si="63"/>
        <v>-4237.4150858005314</v>
      </c>
      <c r="F1026" s="11">
        <f>Speed_Calc!B$5*E1026</f>
        <v>-3813.6735772204784</v>
      </c>
      <c r="G1026" s="14">
        <f>Speed_Calc!G$3+Speed_Calc!G$5*A1026^2</f>
        <v>59.302009999999996</v>
      </c>
      <c r="H1026" s="7">
        <f>(F1026-G1026)/Speed_Calc!G$2*9.806</f>
        <v>-28.132147117247413</v>
      </c>
      <c r="I1026" s="4">
        <f t="shared" si="64"/>
        <v>27.5</v>
      </c>
    </row>
    <row r="1027" spans="1:9" x14ac:dyDescent="0.2">
      <c r="A1027" s="11">
        <v>99.1</v>
      </c>
      <c r="B1027" s="14">
        <v>3.133</v>
      </c>
      <c r="C1027" s="11">
        <f t="shared" si="65"/>
        <v>12842.362875176237</v>
      </c>
      <c r="D1027" s="11">
        <f t="shared" si="62"/>
        <v>-1569.5666790469941</v>
      </c>
      <c r="E1027" s="11">
        <f t="shared" si="63"/>
        <v>-4276.3168853954448</v>
      </c>
      <c r="F1027" s="11">
        <f>Speed_Calc!B$5*E1027</f>
        <v>-3848.6851968559004</v>
      </c>
      <c r="G1027" s="14">
        <f>Speed_Calc!G$3+Speed_Calc!G$5*A1027^2</f>
        <v>59.381448099999993</v>
      </c>
      <c r="H1027" s="7">
        <f>(F1027-G1027)/Speed_Calc!G$2*9.806</f>
        <v>-28.38703816328708</v>
      </c>
      <c r="I1027" s="4">
        <f t="shared" si="64"/>
        <v>27.527777777777775</v>
      </c>
    </row>
    <row r="1028" spans="1:9" x14ac:dyDescent="0.2">
      <c r="A1028" s="11">
        <v>99.2</v>
      </c>
      <c r="B1028" s="14">
        <v>3.133</v>
      </c>
      <c r="C1028" s="11">
        <f t="shared" si="65"/>
        <v>12855.321868995794</v>
      </c>
      <c r="D1028" s="11">
        <f t="shared" si="62"/>
        <v>-1585.5183697289299</v>
      </c>
      <c r="E1028" s="11">
        <f t="shared" si="63"/>
        <v>-4315.4229821251101</v>
      </c>
      <c r="F1028" s="11">
        <f>Speed_Calc!B$5*E1028</f>
        <v>-3883.8806839125991</v>
      </c>
      <c r="G1028" s="14">
        <f>Speed_Calc!G$3+Speed_Calc!G$5*A1028^2</f>
        <v>59.460966400000004</v>
      </c>
      <c r="H1028" s="7">
        <f>(F1028-G1028)/Speed_Calc!G$2*9.806</f>
        <v>-28.643265350344699</v>
      </c>
      <c r="I1028" s="4">
        <f t="shared" si="64"/>
        <v>27.555555555555557</v>
      </c>
    </row>
    <row r="1029" spans="1:9" x14ac:dyDescent="0.2">
      <c r="A1029" s="11">
        <v>99.3</v>
      </c>
      <c r="B1029" s="14">
        <v>3.133</v>
      </c>
      <c r="C1029" s="11">
        <f t="shared" si="65"/>
        <v>12868.280862815343</v>
      </c>
      <c r="D1029" s="11">
        <f t="shared" si="62"/>
        <v>-1601.5744152084733</v>
      </c>
      <c r="E1029" s="11">
        <f t="shared" si="63"/>
        <v>-4354.7340594792331</v>
      </c>
      <c r="F1029" s="11">
        <f>Speed_Calc!B$5*E1029</f>
        <v>-3919.2606535313098</v>
      </c>
      <c r="G1029" s="14">
        <f>Speed_Calc!G$3+Speed_Calc!G$5*A1029^2</f>
        <v>59.540564899999993</v>
      </c>
      <c r="H1029" s="7">
        <f>(F1029-G1029)/Speed_Calc!G$2*9.806</f>
        <v>-28.900833146620315</v>
      </c>
      <c r="I1029" s="4">
        <f t="shared" si="64"/>
        <v>27.583333333333332</v>
      </c>
    </row>
    <row r="1030" spans="1:9" x14ac:dyDescent="0.2">
      <c r="A1030" s="11">
        <v>99.4</v>
      </c>
      <c r="B1030" s="14">
        <v>3.133</v>
      </c>
      <c r="C1030" s="11">
        <f t="shared" si="65"/>
        <v>12881.239856634897</v>
      </c>
      <c r="D1030" s="11">
        <f t="shared" si="62"/>
        <v>-1617.7352952760309</v>
      </c>
      <c r="E1030" s="11">
        <f t="shared" si="63"/>
        <v>-4394.2508020576288</v>
      </c>
      <c r="F1030" s="11">
        <f>Speed_Calc!B$5*E1030</f>
        <v>-3954.8257218518661</v>
      </c>
      <c r="G1030" s="14">
        <f>Speed_Calc!G$3+Speed_Calc!G$5*A1030^2</f>
        <v>59.620243600000002</v>
      </c>
      <c r="H1030" s="7">
        <f>(F1030-G1030)/Speed_Calc!G$2*9.806</f>
        <v>-29.159746027571106</v>
      </c>
      <c r="I1030" s="4">
        <f t="shared" si="64"/>
        <v>27.611111111111111</v>
      </c>
    </row>
    <row r="1031" spans="1:9" x14ac:dyDescent="0.2">
      <c r="A1031" s="11">
        <v>99.5</v>
      </c>
      <c r="B1031" s="14">
        <v>3.133</v>
      </c>
      <c r="C1031" s="11">
        <f t="shared" si="65"/>
        <v>12894.198850454452</v>
      </c>
      <c r="D1031" s="11">
        <f t="shared" si="62"/>
        <v>-1634.0014911452774</v>
      </c>
      <c r="E1031" s="11">
        <f t="shared" si="63"/>
        <v>-4433.9738955700996</v>
      </c>
      <c r="F1031" s="11">
        <f>Speed_Calc!B$5*E1031</f>
        <v>-3990.5765060130898</v>
      </c>
      <c r="G1031" s="14">
        <f>Speed_Calc!G$3+Speed_Calc!G$5*A1031^2</f>
        <v>59.700002499999997</v>
      </c>
      <c r="H1031" s="7">
        <f>(F1031-G1031)/Speed_Calc!G$2*9.806</f>
        <v>-29.420008475910635</v>
      </c>
      <c r="I1031" s="4">
        <f t="shared" si="64"/>
        <v>27.638888888888889</v>
      </c>
    </row>
    <row r="1032" spans="1:9" x14ac:dyDescent="0.2">
      <c r="A1032" s="11">
        <v>99.6</v>
      </c>
      <c r="B1032" s="14">
        <v>3.133</v>
      </c>
      <c r="C1032" s="11">
        <f t="shared" si="65"/>
        <v>12907.157844274005</v>
      </c>
      <c r="D1032" s="11">
        <f t="shared" si="62"/>
        <v>-1650.3734854552083</v>
      </c>
      <c r="E1032" s="11">
        <f t="shared" si="63"/>
        <v>-4473.904026836407</v>
      </c>
      <c r="F1032" s="11">
        <f>Speed_Calc!B$5*E1032</f>
        <v>-4026.5136241527662</v>
      </c>
      <c r="G1032" s="14">
        <f>Speed_Calc!G$3+Speed_Calc!G$5*A1032^2</f>
        <v>59.77984159999999</v>
      </c>
      <c r="H1032" s="7">
        <f>(F1032-G1032)/Speed_Calc!G$2*9.806</f>
        <v>-29.681624981608607</v>
      </c>
      <c r="I1032" s="4">
        <f t="shared" si="64"/>
        <v>27.666666666666664</v>
      </c>
    </row>
    <row r="1033" spans="1:9" x14ac:dyDescent="0.2">
      <c r="A1033" s="11">
        <v>99.7</v>
      </c>
      <c r="B1033" s="14">
        <v>3.133</v>
      </c>
      <c r="C1033" s="11">
        <f t="shared" si="65"/>
        <v>12920.116838093554</v>
      </c>
      <c r="D1033" s="11">
        <f t="shared" si="62"/>
        <v>-1666.8517622722259</v>
      </c>
      <c r="E1033" s="11">
        <f t="shared" si="63"/>
        <v>-4514.041883786369</v>
      </c>
      <c r="F1033" s="11">
        <f>Speed_Calc!B$5*E1033</f>
        <v>-4062.6376954077323</v>
      </c>
      <c r="G1033" s="14">
        <f>Speed_Calc!G$3+Speed_Calc!G$5*A1033^2</f>
        <v>59.859760899999998</v>
      </c>
      <c r="H1033" s="7">
        <f>(F1033-G1033)/Speed_Calc!G$2*9.806</f>
        <v>-29.944600041891569</v>
      </c>
      <c r="I1033" s="4">
        <f t="shared" si="64"/>
        <v>27.694444444444443</v>
      </c>
    </row>
    <row r="1034" spans="1:9" x14ac:dyDescent="0.2">
      <c r="A1034" s="11">
        <v>99.8</v>
      </c>
      <c r="B1034" s="14">
        <v>3.133</v>
      </c>
      <c r="C1034" s="11">
        <f t="shared" si="65"/>
        <v>12933.075831913107</v>
      </c>
      <c r="D1034" s="11">
        <f t="shared" si="62"/>
        <v>-1683.4368070921862</v>
      </c>
      <c r="E1034" s="11">
        <f t="shared" si="63"/>
        <v>-4554.388155459822</v>
      </c>
      <c r="F1034" s="11">
        <f>Speed_Calc!B$5*E1034</f>
        <v>-4098.94933991384</v>
      </c>
      <c r="G1034" s="14">
        <f>Speed_Calc!G$3+Speed_Calc!G$5*A1034^2</f>
        <v>59.93976039999999</v>
      </c>
      <c r="H1034" s="7">
        <f>(F1034-G1034)/Speed_Calc!G$2*9.806</f>
        <v>-30.2089381612426</v>
      </c>
      <c r="I1034" s="4">
        <f t="shared" si="64"/>
        <v>27.722222222222221</v>
      </c>
    </row>
    <row r="1035" spans="1:9" x14ac:dyDescent="0.2">
      <c r="A1035" s="11">
        <v>99.9</v>
      </c>
      <c r="B1035" s="14">
        <v>3.133</v>
      </c>
      <c r="C1035" s="11">
        <f t="shared" si="65"/>
        <v>12946.034825732657</v>
      </c>
      <c r="D1035" s="11">
        <f t="shared" si="62"/>
        <v>-1700.1291068424298</v>
      </c>
      <c r="E1035" s="11">
        <f t="shared" si="63"/>
        <v>-4594.9435320065677</v>
      </c>
      <c r="F1035" s="11">
        <f>Speed_Calc!B$5*E1035</f>
        <v>-4135.4491788059113</v>
      </c>
      <c r="G1035" s="14">
        <f>Speed_Calc!G$3+Speed_Calc!G$5*A1035^2</f>
        <v>60.019840100000003</v>
      </c>
      <c r="H1035" s="7">
        <f>(F1035-G1035)/Speed_Calc!G$2*9.806</f>
        <v>-30.474643851401005</v>
      </c>
      <c r="I1035" s="4">
        <f t="shared" si="64"/>
        <v>27.75</v>
      </c>
    </row>
    <row r="1036" spans="1:9" x14ac:dyDescent="0.2">
      <c r="A1036" s="11">
        <v>100</v>
      </c>
      <c r="B1036" s="14">
        <v>3.133</v>
      </c>
      <c r="C1036" s="11">
        <f t="shared" si="65"/>
        <v>12958.993819552214</v>
      </c>
      <c r="D1036" s="11">
        <f t="shared" si="62"/>
        <v>-1716.9291498838747</v>
      </c>
      <c r="E1036" s="11">
        <f t="shared" si="63"/>
        <v>-4635.7087046864608</v>
      </c>
      <c r="F1036" s="11">
        <f>Speed_Calc!B$5*E1036</f>
        <v>-4172.137834217815</v>
      </c>
      <c r="G1036" s="14">
        <f>Speed_Calc!G$3+Speed_Calc!G$5*A1036^2</f>
        <v>60.099999999999994</v>
      </c>
      <c r="H1036" s="7">
        <f>(F1036-G1036)/Speed_Calc!G$2*9.806</f>
        <v>-30.741721631362886</v>
      </c>
      <c r="I1036" s="4">
        <f t="shared" si="64"/>
        <v>27.777777777777779</v>
      </c>
    </row>
    <row r="1037" spans="1:9" x14ac:dyDescent="0.2">
      <c r="A1037" s="11">
        <v>100.1</v>
      </c>
      <c r="B1037" s="14">
        <v>3.133</v>
      </c>
      <c r="C1037" s="11">
        <f t="shared" si="65"/>
        <v>12971.952813371765</v>
      </c>
      <c r="D1037" s="11">
        <f t="shared" si="62"/>
        <v>-1733.8374260130313</v>
      </c>
      <c r="E1037" s="11">
        <f t="shared" si="63"/>
        <v>-4676.6843658693142</v>
      </c>
      <c r="F1037" s="11">
        <f>Speed_Calc!B$5*E1037</f>
        <v>-4209.0159292823828</v>
      </c>
      <c r="G1037" s="14">
        <f>Speed_Calc!G$3+Speed_Calc!G$5*A1037^2</f>
        <v>60.180240099999992</v>
      </c>
      <c r="H1037" s="7">
        <f>(F1037-G1037)/Speed_Calc!G$2*9.806</f>
        <v>-31.010176027380481</v>
      </c>
      <c r="I1037" s="4">
        <f t="shared" si="64"/>
        <v>27.805555555555554</v>
      </c>
    </row>
    <row r="1038" spans="1:9" x14ac:dyDescent="0.2">
      <c r="A1038" s="11">
        <v>100.2</v>
      </c>
      <c r="B1038" s="14">
        <v>3.133</v>
      </c>
      <c r="C1038" s="11">
        <f t="shared" si="65"/>
        <v>12984.911807191318</v>
      </c>
      <c r="D1038" s="11">
        <f t="shared" si="62"/>
        <v>-1750.8544264641014</v>
      </c>
      <c r="E1038" s="11">
        <f t="shared" si="63"/>
        <v>-4717.8712090350036</v>
      </c>
      <c r="F1038" s="11">
        <f>Speed_Calc!B$5*E1038</f>
        <v>-4246.0840881315034</v>
      </c>
      <c r="G1038" s="14">
        <f>Speed_Calc!G$3+Speed_Calc!G$5*A1038^2</f>
        <v>60.260560400000003</v>
      </c>
      <c r="H1038" s="7">
        <f>(F1038-G1038)/Speed_Calc!G$2*9.806</f>
        <v>-31.280011572962902</v>
      </c>
      <c r="I1038" s="4">
        <f t="shared" si="64"/>
        <v>27.833333333333332</v>
      </c>
    </row>
    <row r="1039" spans="1:9" x14ac:dyDescent="0.2">
      <c r="A1039" s="11">
        <v>100.3</v>
      </c>
      <c r="B1039" s="14">
        <v>3.133</v>
      </c>
      <c r="C1039" s="11">
        <f t="shared" si="65"/>
        <v>12997.870801010868</v>
      </c>
      <c r="D1039" s="11">
        <f t="shared" si="62"/>
        <v>-1767.9806439109921</v>
      </c>
      <c r="E1039" s="11">
        <f t="shared" si="63"/>
        <v>-4759.2699287733585</v>
      </c>
      <c r="F1039" s="11">
        <f>Speed_Calc!B$5*E1039</f>
        <v>-4283.3429358960229</v>
      </c>
      <c r="G1039" s="14">
        <f>Speed_Calc!G$3+Speed_Calc!G$5*A1039^2</f>
        <v>60.340960899999999</v>
      </c>
      <c r="H1039" s="7">
        <f>(F1039-G1039)/Speed_Calc!G$2*9.806</f>
        <v>-31.551232808875405</v>
      </c>
      <c r="I1039" s="4">
        <f t="shared" si="64"/>
        <v>27.861111111111111</v>
      </c>
    </row>
    <row r="1040" spans="1:9" x14ac:dyDescent="0.2">
      <c r="A1040" s="11">
        <v>100.4</v>
      </c>
      <c r="B1040" s="14">
        <v>3.133</v>
      </c>
      <c r="C1040" s="11">
        <f t="shared" si="65"/>
        <v>13010.829794830421</v>
      </c>
      <c r="D1040" s="11">
        <f t="shared" si="62"/>
        <v>-1785.2165724694137</v>
      </c>
      <c r="E1040" s="11">
        <f t="shared" si="63"/>
        <v>-4800.8812207842793</v>
      </c>
      <c r="F1040" s="11">
        <f>Speed_Calc!B$5*E1040</f>
        <v>-4320.7930987058517</v>
      </c>
      <c r="G1040" s="14">
        <f>Speed_Calc!G$3+Speed_Calc!G$5*A1040^2</f>
        <v>60.421441600000001</v>
      </c>
      <c r="H1040" s="7">
        <f>(F1040-G1040)/Speed_Calc!G$2*9.806</f>
        <v>-31.823844283140133</v>
      </c>
      <c r="I1040" s="4">
        <f t="shared" si="64"/>
        <v>27.888888888888889</v>
      </c>
    </row>
    <row r="1041" spans="1:9" x14ac:dyDescent="0.2">
      <c r="A1041" s="11">
        <v>100.5</v>
      </c>
      <c r="B1041" s="14">
        <v>3.133</v>
      </c>
      <c r="C1041" s="11">
        <f t="shared" si="65"/>
        <v>13023.78878864997</v>
      </c>
      <c r="D1041" s="11">
        <f t="shared" si="62"/>
        <v>-1802.562707698894</v>
      </c>
      <c r="E1041" s="11">
        <f t="shared" si="63"/>
        <v>-4842.7057818776266</v>
      </c>
      <c r="F1041" s="11">
        <f>Speed_Calc!B$5*E1041</f>
        <v>-4358.4352036898645</v>
      </c>
      <c r="G1041" s="14">
        <f>Speed_Calc!G$3+Speed_Calc!G$5*A1041^2</f>
        <v>60.502002499999996</v>
      </c>
      <c r="H1041" s="7">
        <f>(F1041-G1041)/Speed_Calc!G$2*9.806</f>
        <v>-32.097850551035414</v>
      </c>
      <c r="I1041" s="4">
        <f t="shared" si="64"/>
        <v>27.916666666666664</v>
      </c>
    </row>
    <row r="1042" spans="1:9" x14ac:dyDescent="0.2">
      <c r="A1042" s="11">
        <v>100.6</v>
      </c>
      <c r="B1042" s="14">
        <v>3.133</v>
      </c>
      <c r="C1042" s="11">
        <f t="shared" si="65"/>
        <v>13036.747782469523</v>
      </c>
      <c r="D1042" s="11">
        <f t="shared" si="62"/>
        <v>-1820.0195466048576</v>
      </c>
      <c r="E1042" s="11">
        <f t="shared" si="63"/>
        <v>-4884.7443099732764</v>
      </c>
      <c r="F1042" s="11">
        <f>Speed_Calc!B$5*E1042</f>
        <v>-4396.2698789759488</v>
      </c>
      <c r="G1042" s="14">
        <f>Speed_Calc!G$3+Speed_Calc!G$5*A1042^2</f>
        <v>60.58264359999999</v>
      </c>
      <c r="H1042" s="7">
        <f>(F1042-G1042)/Speed_Calc!G$2*9.806</f>
        <v>-32.37325617509611</v>
      </c>
      <c r="I1042" s="4">
        <f t="shared" si="64"/>
        <v>27.944444444444443</v>
      </c>
    </row>
    <row r="1043" spans="1:9" x14ac:dyDescent="0.2">
      <c r="A1043" s="11">
        <v>100.7</v>
      </c>
      <c r="B1043" s="14">
        <v>3.133</v>
      </c>
      <c r="C1043" s="11">
        <f t="shared" si="65"/>
        <v>13049.706776289078</v>
      </c>
      <c r="D1043" s="11">
        <f t="shared" si="62"/>
        <v>-1837.5875876406892</v>
      </c>
      <c r="E1043" s="11">
        <f t="shared" si="63"/>
        <v>-4926.9975041011521</v>
      </c>
      <c r="F1043" s="11">
        <f>Speed_Calc!B$5*E1043</f>
        <v>-4434.2977536910366</v>
      </c>
      <c r="G1043" s="14">
        <f>Speed_Calc!G$3+Speed_Calc!G$5*A1043^2</f>
        <v>60.663364899999998</v>
      </c>
      <c r="H1043" s="7">
        <f>(F1043-G1043)/Speed_Calc!G$2*9.806</f>
        <v>-32.650065725113848</v>
      </c>
      <c r="I1043" s="4">
        <f t="shared" si="64"/>
        <v>27.972222222222221</v>
      </c>
    </row>
    <row r="1044" spans="1:9" x14ac:dyDescent="0.2">
      <c r="A1044" s="11">
        <v>100.8</v>
      </c>
      <c r="B1044" s="14">
        <v>3.133</v>
      </c>
      <c r="C1044" s="11">
        <f t="shared" si="65"/>
        <v>13062.665770108628</v>
      </c>
      <c r="D1044" s="11">
        <f t="shared" si="62"/>
        <v>-1855.2673307097464</v>
      </c>
      <c r="E1044" s="11">
        <f t="shared" si="63"/>
        <v>-4969.4660644011065</v>
      </c>
      <c r="F1044" s="11">
        <f>Speed_Calc!B$5*E1044</f>
        <v>-4472.5194579609961</v>
      </c>
      <c r="G1044" s="14">
        <f>Speed_Calc!G$3+Speed_Calc!G$5*A1044^2</f>
        <v>60.744166399999997</v>
      </c>
      <c r="H1044" s="7">
        <f>(F1044-G1044)/Speed_Calc!G$2*9.806</f>
        <v>-32.92828377813624</v>
      </c>
      <c r="I1044" s="4">
        <f t="shared" si="64"/>
        <v>28</v>
      </c>
    </row>
    <row r="1045" spans="1:9" x14ac:dyDescent="0.2">
      <c r="A1045" s="11">
        <v>100.9</v>
      </c>
      <c r="B1045" s="14">
        <v>3.133</v>
      </c>
      <c r="C1045" s="11">
        <f t="shared" si="65"/>
        <v>13075.624763928181</v>
      </c>
      <c r="D1045" s="11">
        <f t="shared" si="62"/>
        <v>-1873.0592771674876</v>
      </c>
      <c r="E1045" s="11">
        <f t="shared" si="63"/>
        <v>-5012.1506921231085</v>
      </c>
      <c r="F1045" s="11">
        <f>Speed_Calc!B$5*E1045</f>
        <v>-4510.935622910798</v>
      </c>
      <c r="G1045" s="14">
        <f>Speed_Calc!G$3+Speed_Calc!G$5*A1045^2</f>
        <v>60.825048100000004</v>
      </c>
      <c r="H1045" s="7">
        <f>(F1045-G1045)/Speed_Calc!G$2*9.806</f>
        <v>-33.207914918468056</v>
      </c>
      <c r="I1045" s="4">
        <f t="shared" si="64"/>
        <v>28.027777777777779</v>
      </c>
    </row>
    <row r="1046" spans="1:9" x14ac:dyDescent="0.2">
      <c r="A1046" s="11">
        <v>101</v>
      </c>
      <c r="B1046" s="14">
        <v>3.133</v>
      </c>
      <c r="C1046" s="11">
        <f t="shared" si="65"/>
        <v>13088.58375774773</v>
      </c>
      <c r="D1046" s="11">
        <f t="shared" si="62"/>
        <v>-1890.9639298234376</v>
      </c>
      <c r="E1046" s="11">
        <f t="shared" si="63"/>
        <v>-5055.0520896270118</v>
      </c>
      <c r="F1046" s="11">
        <f>Speed_Calc!B$5*E1046</f>
        <v>-4549.5468806643112</v>
      </c>
      <c r="G1046" s="14">
        <f>Speed_Calc!G$3+Speed_Calc!G$5*A1046^2</f>
        <v>60.906009999999995</v>
      </c>
      <c r="H1046" s="7">
        <f>(F1046-G1046)/Speed_Calc!G$2*9.806</f>
        <v>-33.488963737669799</v>
      </c>
      <c r="I1046" s="4">
        <f t="shared" si="64"/>
        <v>28.055555555555554</v>
      </c>
    </row>
    <row r="1047" spans="1:9" x14ac:dyDescent="0.2">
      <c r="A1047" s="11">
        <v>101.1</v>
      </c>
      <c r="B1047" s="14">
        <v>3.133</v>
      </c>
      <c r="C1047" s="11">
        <f t="shared" si="65"/>
        <v>13101.542751567284</v>
      </c>
      <c r="D1047" s="11">
        <f t="shared" si="62"/>
        <v>-1908.9817929433432</v>
      </c>
      <c r="E1047" s="11">
        <f t="shared" si="63"/>
        <v>-5098.1709603828176</v>
      </c>
      <c r="F1047" s="11">
        <f>Speed_Calc!B$5*E1047</f>
        <v>-4588.3538643445363</v>
      </c>
      <c r="G1047" s="14">
        <f>Speed_Calc!G$3+Speed_Calc!G$5*A1047^2</f>
        <v>60.987052099999993</v>
      </c>
      <c r="H1047" s="7">
        <f>(F1047-G1047)/Speed_Calc!G$2*9.806</f>
        <v>-33.771434834559351</v>
      </c>
      <c r="I1047" s="4">
        <f t="shared" si="64"/>
        <v>28.083333333333332</v>
      </c>
    </row>
    <row r="1048" spans="1:9" x14ac:dyDescent="0.2">
      <c r="A1048" s="11">
        <v>101.2</v>
      </c>
      <c r="B1048" s="14">
        <v>3.133</v>
      </c>
      <c r="C1048" s="11">
        <f t="shared" si="65"/>
        <v>13114.501745386839</v>
      </c>
      <c r="D1048" s="11">
        <f t="shared" si="62"/>
        <v>-1927.1133722511411</v>
      </c>
      <c r="E1048" s="11">
        <f t="shared" si="63"/>
        <v>-5141.5080089704352</v>
      </c>
      <c r="F1048" s="11">
        <f>Speed_Calc!B$5*E1048</f>
        <v>-4627.357208073392</v>
      </c>
      <c r="G1048" s="14">
        <f>Speed_Calc!G$3+Speed_Calc!G$5*A1048^2</f>
        <v>61.068174399999997</v>
      </c>
      <c r="H1048" s="7">
        <f>(F1048-G1048)/Speed_Calc!G$2*9.806</f>
        <v>-34.055332815210427</v>
      </c>
      <c r="I1048" s="4">
        <f t="shared" si="64"/>
        <v>28.111111111111111</v>
      </c>
    </row>
    <row r="1049" spans="1:9" x14ac:dyDescent="0.2">
      <c r="A1049" s="11">
        <v>101.3</v>
      </c>
      <c r="B1049" s="14">
        <v>3.133</v>
      </c>
      <c r="C1049" s="11">
        <f t="shared" si="65"/>
        <v>13127.460739206388</v>
      </c>
      <c r="D1049" s="11">
        <f t="shared" si="62"/>
        <v>-1945.3591749310349</v>
      </c>
      <c r="E1049" s="11">
        <f t="shared" si="63"/>
        <v>-5185.0639410797585</v>
      </c>
      <c r="F1049" s="11">
        <f>Speed_Calc!B$5*E1049</f>
        <v>-4666.5575469717824</v>
      </c>
      <c r="G1049" s="14">
        <f>Speed_Calc!G$3+Speed_Calc!G$5*A1049^2</f>
        <v>61.149376899999993</v>
      </c>
      <c r="H1049" s="7">
        <f>(F1049-G1049)/Speed_Calc!G$2*9.806</f>
        <v>-34.340662292953105</v>
      </c>
      <c r="I1049" s="4">
        <f t="shared" si="64"/>
        <v>28.138888888888886</v>
      </c>
    </row>
    <row r="1050" spans="1:9" x14ac:dyDescent="0.2">
      <c r="A1050" s="11">
        <v>101.4</v>
      </c>
      <c r="B1050" s="14">
        <v>3.133</v>
      </c>
      <c r="C1050" s="11">
        <f t="shared" si="65"/>
        <v>13140.419733025941</v>
      </c>
      <c r="D1050" s="11">
        <f t="shared" si="62"/>
        <v>-1963.7197096296186</v>
      </c>
      <c r="E1050" s="11">
        <f t="shared" si="63"/>
        <v>-5228.8394635108198</v>
      </c>
      <c r="F1050" s="11">
        <f>Speed_Calc!B$5*E1050</f>
        <v>-4705.9555171597376</v>
      </c>
      <c r="G1050" s="14">
        <f>Speed_Calc!G$3+Speed_Calc!G$5*A1050^2</f>
        <v>61.230659600000003</v>
      </c>
      <c r="H1050" s="7">
        <f>(F1050-G1050)/Speed_Calc!G$2*9.806</f>
        <v>-34.627427888374804</v>
      </c>
      <c r="I1050" s="4">
        <f t="shared" si="64"/>
        <v>28.166666666666668</v>
      </c>
    </row>
    <row r="1051" spans="1:9" x14ac:dyDescent="0.2">
      <c r="A1051" s="11">
        <v>101.5</v>
      </c>
      <c r="B1051" s="14">
        <v>3.133</v>
      </c>
      <c r="C1051" s="11">
        <f t="shared" si="65"/>
        <v>13153.378726845493</v>
      </c>
      <c r="D1051" s="11">
        <f t="shared" si="62"/>
        <v>-1982.1954864578238</v>
      </c>
      <c r="E1051" s="11">
        <f t="shared" si="63"/>
        <v>-5272.8352841735223</v>
      </c>
      <c r="F1051" s="11">
        <f>Speed_Calc!B$5*E1051</f>
        <v>-4745.5517557561698</v>
      </c>
      <c r="G1051" s="14">
        <f>Speed_Calc!G$3+Speed_Calc!G$5*A1051^2</f>
        <v>61.312022499999998</v>
      </c>
      <c r="H1051" s="7">
        <f>(F1051-G1051)/Speed_Calc!G$2*9.806</f>
        <v>-34.91563422931852</v>
      </c>
      <c r="I1051" s="4">
        <f t="shared" si="64"/>
        <v>28.194444444444443</v>
      </c>
    </row>
    <row r="1052" spans="1:9" x14ac:dyDescent="0.2">
      <c r="A1052" s="11">
        <v>101.6</v>
      </c>
      <c r="B1052" s="14">
        <v>3.133</v>
      </c>
      <c r="C1052" s="11">
        <f t="shared" si="65"/>
        <v>13166.337720665048</v>
      </c>
      <c r="D1052" s="11">
        <f t="shared" si="62"/>
        <v>-2000.7870169930698</v>
      </c>
      <c r="E1052" s="11">
        <f t="shared" si="63"/>
        <v>-5317.0521120878821</v>
      </c>
      <c r="F1052" s="11">
        <f>Speed_Calc!B$5*E1052</f>
        <v>-4785.3469008790944</v>
      </c>
      <c r="G1052" s="14">
        <f>Speed_Calc!G$3+Speed_Calc!G$5*A1052^2</f>
        <v>61.393465599999992</v>
      </c>
      <c r="H1052" s="7">
        <f>(F1052-G1052)/Speed_Calc!G$2*9.806</f>
        <v>-35.205285950884445</v>
      </c>
      <c r="I1052" s="4">
        <f t="shared" si="64"/>
        <v>28.222222222222221</v>
      </c>
    </row>
    <row r="1053" spans="1:9" x14ac:dyDescent="0.2">
      <c r="A1053" s="11">
        <v>101.7</v>
      </c>
      <c r="B1053" s="14">
        <v>3.133</v>
      </c>
      <c r="C1053" s="11">
        <f t="shared" si="65"/>
        <v>13179.296714484597</v>
      </c>
      <c r="D1053" s="11">
        <f t="shared" si="62"/>
        <v>-2019.4948142812527</v>
      </c>
      <c r="E1053" s="11">
        <f t="shared" si="63"/>
        <v>-5361.4906573838589</v>
      </c>
      <c r="F1053" s="11">
        <f>Speed_Calc!B$5*E1053</f>
        <v>-4825.3415916454733</v>
      </c>
      <c r="G1053" s="14">
        <f>Speed_Calc!G$3+Speed_Calc!G$5*A1053^2</f>
        <v>61.4749889</v>
      </c>
      <c r="H1053" s="7">
        <f>(F1053-G1053)/Speed_Calc!G$2*9.806</f>
        <v>-35.496387695428822</v>
      </c>
      <c r="I1053" s="4">
        <f t="shared" si="64"/>
        <v>28.25</v>
      </c>
    </row>
    <row r="1054" spans="1:9" x14ac:dyDescent="0.2">
      <c r="A1054" s="11">
        <v>101.8</v>
      </c>
      <c r="B1054" s="14">
        <v>3.133</v>
      </c>
      <c r="C1054" s="11">
        <f t="shared" si="65"/>
        <v>13192.25570830415</v>
      </c>
      <c r="D1054" s="11">
        <f t="shared" si="62"/>
        <v>-2038.3193928388323</v>
      </c>
      <c r="E1054" s="11">
        <f t="shared" si="63"/>
        <v>-5406.1516313014217</v>
      </c>
      <c r="F1054" s="11">
        <f>Speed_Calc!B$5*E1054</f>
        <v>-4865.5364681712799</v>
      </c>
      <c r="G1054" s="14">
        <f>Speed_Calc!G$3+Speed_Calc!G$5*A1054^2</f>
        <v>61.556592399999992</v>
      </c>
      <c r="H1054" s="7">
        <f>(F1054-G1054)/Speed_Calc!G$2*9.806</f>
        <v>-35.788944112564423</v>
      </c>
      <c r="I1054" s="4">
        <f t="shared" si="64"/>
        <v>28.277777777777775</v>
      </c>
    </row>
    <row r="1055" spans="1:9" x14ac:dyDescent="0.2">
      <c r="A1055" s="11">
        <v>101.9</v>
      </c>
      <c r="B1055" s="14">
        <v>3.133</v>
      </c>
      <c r="C1055" s="11">
        <f t="shared" si="65"/>
        <v>13205.214702123705</v>
      </c>
      <c r="D1055" s="11">
        <f t="shared" si="62"/>
        <v>-2057.2612686549037</v>
      </c>
      <c r="E1055" s="11">
        <f t="shared" si="63"/>
        <v>-5451.0357461906196</v>
      </c>
      <c r="F1055" s="11">
        <f>Speed_Calc!B$5*E1055</f>
        <v>-4905.9321715715578</v>
      </c>
      <c r="G1055" s="14">
        <f>Speed_Calc!G$3+Speed_Calc!G$5*A1055^2</f>
        <v>61.638276099999999</v>
      </c>
      <c r="H1055" s="7">
        <f>(F1055-G1055)/Speed_Calc!G$2*9.806</f>
        <v>-36.082959859160958</v>
      </c>
      <c r="I1055" s="4">
        <f t="shared" si="64"/>
        <v>28.305555555555557</v>
      </c>
    </row>
    <row r="1056" spans="1:9" x14ac:dyDescent="0.2">
      <c r="A1056" s="11">
        <v>102</v>
      </c>
      <c r="B1056" s="14">
        <v>3.133</v>
      </c>
      <c r="C1056" s="11">
        <f t="shared" si="65"/>
        <v>13218.173695943253</v>
      </c>
      <c r="D1056" s="11">
        <f t="shared" si="62"/>
        <v>-2076.320959193195</v>
      </c>
      <c r="E1056" s="11">
        <f t="shared" si="63"/>
        <v>-5496.1437155114008</v>
      </c>
      <c r="F1056" s="11">
        <f>Speed_Calc!B$5*E1056</f>
        <v>-4946.529343960261</v>
      </c>
      <c r="G1056" s="14">
        <f>Speed_Calc!G$3+Speed_Calc!G$5*A1056^2</f>
        <v>61.720039999999997</v>
      </c>
      <c r="H1056" s="7">
        <f>(F1056-G1056)/Speed_Calc!G$2*9.806</f>
        <v>-36.378439599343935</v>
      </c>
      <c r="I1056" s="4">
        <f t="shared" si="64"/>
        <v>28.333333333333332</v>
      </c>
    </row>
    <row r="1057" spans="1:9" x14ac:dyDescent="0.2">
      <c r="A1057" s="11">
        <v>102.1</v>
      </c>
      <c r="B1057" s="14">
        <v>3.133</v>
      </c>
      <c r="C1057" s="11">
        <f t="shared" si="65"/>
        <v>13231.132689762806</v>
      </c>
      <c r="D1057" s="11">
        <f t="shared" si="62"/>
        <v>-2095.4989833941895</v>
      </c>
      <c r="E1057" s="11">
        <f t="shared" si="63"/>
        <v>-5541.4762538338036</v>
      </c>
      <c r="F1057" s="11">
        <f>Speed_Calc!B$5*E1057</f>
        <v>-4987.3286284504238</v>
      </c>
      <c r="G1057" s="14">
        <f>Speed_Calc!G$3+Speed_Calc!G$5*A1057^2</f>
        <v>61.801884099999988</v>
      </c>
      <c r="H1057" s="7">
        <f>(F1057-G1057)/Speed_Calc!G$2*9.806</f>
        <v>-36.675388004495893</v>
      </c>
      <c r="I1057" s="4">
        <f t="shared" si="64"/>
        <v>28.361111111111107</v>
      </c>
    </row>
    <row r="1058" spans="1:9" x14ac:dyDescent="0.2">
      <c r="A1058" s="11">
        <v>102.2</v>
      </c>
      <c r="B1058" s="14">
        <v>3.133</v>
      </c>
      <c r="C1058" s="11">
        <f t="shared" si="65"/>
        <v>13244.091683582361</v>
      </c>
      <c r="D1058" s="11">
        <f t="shared" si="62"/>
        <v>-2114.7958616771566</v>
      </c>
      <c r="E1058" s="11">
        <f t="shared" si="63"/>
        <v>-5587.0340768378883</v>
      </c>
      <c r="F1058" s="11">
        <f>Speed_Calc!B$5*E1058</f>
        <v>-5028.3306691540993</v>
      </c>
      <c r="G1058" s="14">
        <f>Speed_Calc!G$3+Speed_Calc!G$5*A1058^2</f>
        <v>61.883808399999999</v>
      </c>
      <c r="H1058" s="7">
        <f>(F1058-G1058)/Speed_Calc!G$2*9.806</f>
        <v>-36.973809753255921</v>
      </c>
      <c r="I1058" s="4">
        <f t="shared" si="64"/>
        <v>28.388888888888889</v>
      </c>
    </row>
    <row r="1059" spans="1:9" x14ac:dyDescent="0.2">
      <c r="A1059" s="11">
        <v>102.3</v>
      </c>
      <c r="B1059" s="14">
        <v>3.133</v>
      </c>
      <c r="C1059" s="11">
        <f t="shared" si="65"/>
        <v>13257.05067740191</v>
      </c>
      <c r="D1059" s="11">
        <f t="shared" si="62"/>
        <v>-2134.2121159421649</v>
      </c>
      <c r="E1059" s="11">
        <f t="shared" si="63"/>
        <v>-5632.8179013136323</v>
      </c>
      <c r="F1059" s="11">
        <f>Speed_Calc!B$5*E1059</f>
        <v>-5069.5361111822695</v>
      </c>
      <c r="G1059" s="14">
        <f>Speed_Calc!G$3+Speed_Calc!G$5*A1059^2</f>
        <v>61.965812899999996</v>
      </c>
      <c r="H1059" s="7">
        <f>(F1059-G1059)/Speed_Calc!G$2*9.806</f>
        <v>-37.27370953151906</v>
      </c>
      <c r="I1059" s="4">
        <f t="shared" si="64"/>
        <v>28.416666666666664</v>
      </c>
    </row>
    <row r="1060" spans="1:9" x14ac:dyDescent="0.2">
      <c r="A1060" s="11">
        <v>102.4</v>
      </c>
      <c r="B1060" s="14">
        <v>3.133</v>
      </c>
      <c r="C1060" s="11">
        <f t="shared" si="65"/>
        <v>13270.009671221465</v>
      </c>
      <c r="D1060" s="11">
        <f t="shared" si="62"/>
        <v>-2153.7482695722124</v>
      </c>
      <c r="E1060" s="11">
        <f t="shared" si="63"/>
        <v>-5678.8284451611062</v>
      </c>
      <c r="F1060" s="11">
        <f>Speed_Calc!B$5*E1060</f>
        <v>-5110.9456006449955</v>
      </c>
      <c r="G1060" s="14">
        <f>Speed_Calc!G$3+Speed_Calc!G$5*A1060^2</f>
        <v>62.047897600000006</v>
      </c>
      <c r="H1060" s="7">
        <f>(F1060-G1060)/Speed_Calc!G$2*9.806</f>
        <v>-37.575092032437354</v>
      </c>
      <c r="I1060" s="4">
        <f t="shared" si="64"/>
        <v>28.444444444444446</v>
      </c>
    </row>
    <row r="1061" spans="1:9" x14ac:dyDescent="0.2">
      <c r="A1061" s="11">
        <v>102.5</v>
      </c>
      <c r="B1061" s="14">
        <v>3.133</v>
      </c>
      <c r="C1061" s="11">
        <f t="shared" si="65"/>
        <v>13282.968665041019</v>
      </c>
      <c r="D1061" s="11">
        <f t="shared" ref="D1061:D1102" si="66">-4.687*10^(-17)*C1061^5+9.129*10^(-13)*C1061^4-6.175*10^(-9)*C1061^3+1.799*10^(-5)*C1061^2+6.502*10^(-3)*C1061</f>
        <v>-2173.4048474352276</v>
      </c>
      <c r="E1061" s="11">
        <f t="shared" si="63"/>
        <v>-5725.0664273903549</v>
      </c>
      <c r="F1061" s="11">
        <f>Speed_Calc!B$5*E1061</f>
        <v>-5152.5597846513192</v>
      </c>
      <c r="G1061" s="14">
        <f>Speed_Calc!G$3+Speed_Calc!G$5*A1061^2</f>
        <v>62.130062499999994</v>
      </c>
      <c r="H1061" s="7">
        <f>(F1061-G1061)/Speed_Calc!G$2*9.806</f>
        <v>-37.877961956419135</v>
      </c>
      <c r="I1061" s="4">
        <f t="shared" si="64"/>
        <v>28.472222222222221</v>
      </c>
    </row>
    <row r="1062" spans="1:9" x14ac:dyDescent="0.2">
      <c r="A1062" s="11">
        <v>102.6</v>
      </c>
      <c r="B1062" s="14">
        <v>3.133</v>
      </c>
      <c r="C1062" s="11">
        <f t="shared" si="65"/>
        <v>13295.927658860568</v>
      </c>
      <c r="D1062" s="11">
        <f t="shared" si="66"/>
        <v>-2193.1823758861369</v>
      </c>
      <c r="E1062" s="11">
        <f t="shared" ref="E1062:E1102" si="67">D1062*75*B1062*B$31*B$32/B$23/C1062/2/PI()*60</f>
        <v>-5771.5325681214135</v>
      </c>
      <c r="F1062" s="11">
        <f>Speed_Calc!B$5*E1062</f>
        <v>-5194.3793113092725</v>
      </c>
      <c r="G1062" s="14">
        <f>Speed_Calc!G$3+Speed_Calc!G$5*A1062^2</f>
        <v>62.212307599999988</v>
      </c>
      <c r="H1062" s="7">
        <f>(F1062-G1062)/Speed_Calc!G$2*9.806</f>
        <v>-38.182324011129126</v>
      </c>
      <c r="I1062" s="4">
        <f t="shared" ref="I1062:I1102" si="68">A1062/3.6</f>
        <v>28.499999999999996</v>
      </c>
    </row>
    <row r="1063" spans="1:9" x14ac:dyDescent="0.2">
      <c r="A1063" s="11">
        <v>102.7</v>
      </c>
      <c r="B1063" s="14">
        <v>3.133</v>
      </c>
      <c r="C1063" s="11">
        <f t="shared" si="65"/>
        <v>13308.886652680121</v>
      </c>
      <c r="D1063" s="11">
        <f t="shared" si="66"/>
        <v>-2213.0813827689462</v>
      </c>
      <c r="E1063" s="11">
        <f t="shared" si="67"/>
        <v>-5818.2275885843765</v>
      </c>
      <c r="F1063" s="11">
        <f>Speed_Calc!B$5*E1063</f>
        <v>-5236.4048297259387</v>
      </c>
      <c r="G1063" s="14">
        <f>Speed_Calc!G$3+Speed_Calc!G$5*A1063^2</f>
        <v>62.294632900000003</v>
      </c>
      <c r="H1063" s="7">
        <f>(F1063-G1063)/Speed_Calc!G$2*9.806</f>
        <v>-38.488182911488849</v>
      </c>
      <c r="I1063" s="4">
        <f t="shared" si="68"/>
        <v>28.527777777777779</v>
      </c>
    </row>
    <row r="1064" spans="1:9" x14ac:dyDescent="0.2">
      <c r="A1064" s="11">
        <v>102.8</v>
      </c>
      <c r="B1064" s="14">
        <v>3.133</v>
      </c>
      <c r="C1064" s="11">
        <f t="shared" si="65"/>
        <v>13321.845646499673</v>
      </c>
      <c r="D1064" s="11">
        <f t="shared" si="66"/>
        <v>-2233.1023974187651</v>
      </c>
      <c r="E1064" s="11">
        <f t="shared" si="67"/>
        <v>-5865.1522111193235</v>
      </c>
      <c r="F1064" s="11">
        <f>Speed_Calc!B$5*E1064</f>
        <v>-5278.6369900073914</v>
      </c>
      <c r="G1064" s="14">
        <f>Speed_Calc!G$3+Speed_Calc!G$5*A1064^2</f>
        <v>62.377038399999996</v>
      </c>
      <c r="H1064" s="7">
        <f>(F1064-G1064)/Speed_Calc!G$2*9.806</f>
        <v>-38.795543379676204</v>
      </c>
      <c r="I1064" s="4">
        <f t="shared" si="68"/>
        <v>28.555555555555554</v>
      </c>
    </row>
    <row r="1065" spans="1:9" x14ac:dyDescent="0.2">
      <c r="A1065" s="11">
        <v>102.9</v>
      </c>
      <c r="B1065" s="14">
        <v>3.133</v>
      </c>
      <c r="C1065" s="11">
        <f t="shared" si="65"/>
        <v>13334.804640319227</v>
      </c>
      <c r="D1065" s="11">
        <f t="shared" si="66"/>
        <v>-2253.2459506638661</v>
      </c>
      <c r="E1065" s="11">
        <f t="shared" si="67"/>
        <v>-5912.3071591763228</v>
      </c>
      <c r="F1065" s="11">
        <f>Speed_Calc!B$5*E1065</f>
        <v>-5321.0764432586902</v>
      </c>
      <c r="G1065" s="14">
        <f>Speed_Calc!G$3+Speed_Calc!G$5*A1065^2</f>
        <v>62.459524100000003</v>
      </c>
      <c r="H1065" s="7">
        <f>(F1065-G1065)/Speed_Calc!G$2*9.806</f>
        <v>-39.104410145125414</v>
      </c>
      <c r="I1065" s="4">
        <f t="shared" si="68"/>
        <v>28.583333333333336</v>
      </c>
    </row>
    <row r="1066" spans="1:9" x14ac:dyDescent="0.2">
      <c r="A1066" s="11">
        <v>103</v>
      </c>
      <c r="B1066" s="14">
        <v>3.133</v>
      </c>
      <c r="C1066" s="11">
        <f t="shared" si="65"/>
        <v>13347.763634138777</v>
      </c>
      <c r="D1066" s="11">
        <f t="shared" si="66"/>
        <v>-2273.5125748277565</v>
      </c>
      <c r="E1066" s="11">
        <f t="shared" si="67"/>
        <v>-5959.6931573154789</v>
      </c>
      <c r="F1066" s="11">
        <f>Speed_Calc!B$5*E1066</f>
        <v>-5363.7238415839311</v>
      </c>
      <c r="G1066" s="14">
        <f>Speed_Calc!G$3+Speed_Calc!G$5*A1066^2</f>
        <v>62.542089999999995</v>
      </c>
      <c r="H1066" s="7">
        <f>(F1066-G1066)/Speed_Calc!G$2*9.806</f>
        <v>-39.414787944527426</v>
      </c>
      <c r="I1066" s="4">
        <f t="shared" si="68"/>
        <v>28.611111111111111</v>
      </c>
    </row>
    <row r="1067" spans="1:9" x14ac:dyDescent="0.2">
      <c r="A1067" s="11">
        <v>103.1</v>
      </c>
      <c r="B1067" s="14">
        <v>3.133</v>
      </c>
      <c r="C1067" s="11">
        <f t="shared" ref="C1067:C1102" si="69">A1067/3.6/B$23/2/PI()*B$32*B$31*B1067*60</f>
        <v>13360.72262795833</v>
      </c>
      <c r="D1067" s="11">
        <f t="shared" si="66"/>
        <v>-2293.902803731221</v>
      </c>
      <c r="E1067" s="11">
        <f t="shared" si="67"/>
        <v>-6007.3109312068837</v>
      </c>
      <c r="F1067" s="11">
        <f>Speed_Calc!B$5*E1067</f>
        <v>-5406.5798380861952</v>
      </c>
      <c r="G1067" s="14">
        <f>Speed_Calc!G$3+Speed_Calc!G$5*A1067^2</f>
        <v>62.624736099999993</v>
      </c>
      <c r="H1067" s="7">
        <f>(F1067-G1067)/Speed_Calc!G$2*9.806</f>
        <v>-39.726681521829498</v>
      </c>
      <c r="I1067" s="4">
        <f t="shared" si="68"/>
        <v>28.638888888888886</v>
      </c>
    </row>
    <row r="1068" spans="1:9" x14ac:dyDescent="0.2">
      <c r="A1068" s="11">
        <v>103.2</v>
      </c>
      <c r="B1068" s="14">
        <v>3.133</v>
      </c>
      <c r="C1068" s="11">
        <f t="shared" si="69"/>
        <v>13373.681621777881</v>
      </c>
      <c r="D1068" s="11">
        <f t="shared" si="66"/>
        <v>-2314.4171726943732</v>
      </c>
      <c r="E1068" s="11">
        <f t="shared" si="67"/>
        <v>-6055.1612076306283</v>
      </c>
      <c r="F1068" s="11">
        <f>Speed_Calc!B$5*E1068</f>
        <v>-5449.6450868675656</v>
      </c>
      <c r="G1068" s="14">
        <f>Speed_Calc!G$3+Speed_Calc!G$5*A1068^2</f>
        <v>62.707462399999997</v>
      </c>
      <c r="H1068" s="7">
        <f>(F1068-G1068)/Speed_Calc!G$2*9.806</f>
        <v>-40.040095628235363</v>
      </c>
      <c r="I1068" s="4">
        <f t="shared" si="68"/>
        <v>28.666666666666668</v>
      </c>
    </row>
    <row r="1069" spans="1:9" x14ac:dyDescent="0.2">
      <c r="A1069" s="11">
        <v>103.3</v>
      </c>
      <c r="B1069" s="14">
        <v>3.133</v>
      </c>
      <c r="C1069" s="11">
        <f t="shared" si="69"/>
        <v>13386.640615597433</v>
      </c>
      <c r="D1069" s="11">
        <f t="shared" si="66"/>
        <v>-2335.0562185387416</v>
      </c>
      <c r="E1069" s="11">
        <f t="shared" si="67"/>
        <v>-6103.2447144768648</v>
      </c>
      <c r="F1069" s="11">
        <f>Speed_Calc!B$5*E1069</f>
        <v>-5492.9202430291789</v>
      </c>
      <c r="G1069" s="14">
        <f>Speed_Calc!G$3+Speed_Calc!G$5*A1069^2</f>
        <v>62.790268899999994</v>
      </c>
      <c r="H1069" s="7">
        <f>(F1069-G1069)/Speed_Calc!G$2*9.806</f>
        <v>-40.35503502220557</v>
      </c>
      <c r="I1069" s="4">
        <f t="shared" si="68"/>
        <v>28.694444444444443</v>
      </c>
    </row>
    <row r="1070" spans="1:9" x14ac:dyDescent="0.2">
      <c r="A1070" s="11">
        <v>103.4</v>
      </c>
      <c r="B1070" s="14">
        <v>3.133</v>
      </c>
      <c r="C1070" s="11">
        <f t="shared" si="69"/>
        <v>13399.599609416986</v>
      </c>
      <c r="D1070" s="11">
        <f t="shared" si="66"/>
        <v>-2355.8204795892912</v>
      </c>
      <c r="E1070" s="11">
        <f t="shared" si="67"/>
        <v>-6151.5621807457319</v>
      </c>
      <c r="F1070" s="11">
        <f>Speed_Calc!B$5*E1070</f>
        <v>-5536.4059626711587</v>
      </c>
      <c r="G1070" s="14">
        <f>Speed_Calc!G$3+Speed_Calc!G$5*A1070^2</f>
        <v>62.873155600000004</v>
      </c>
      <c r="H1070" s="7">
        <f>(F1070-G1070)/Speed_Calc!G$2*9.806</f>
        <v>-40.671504469457027</v>
      </c>
      <c r="I1070" s="4">
        <f t="shared" si="68"/>
        <v>28.722222222222221</v>
      </c>
    </row>
    <row r="1071" spans="1:9" x14ac:dyDescent="0.2">
      <c r="A1071" s="11">
        <v>103.5</v>
      </c>
      <c r="B1071" s="14">
        <v>3.133</v>
      </c>
      <c r="C1071" s="11">
        <f t="shared" si="69"/>
        <v>13412.558603236537</v>
      </c>
      <c r="D1071" s="11">
        <f t="shared" si="66"/>
        <v>-2376.7104956764733</v>
      </c>
      <c r="E1071" s="11">
        <f t="shared" si="67"/>
        <v>-6200.1143365473226</v>
      </c>
      <c r="F1071" s="11">
        <f>Speed_Calc!B$5*E1071</f>
        <v>-5580.1029028925905</v>
      </c>
      <c r="G1071" s="14">
        <f>Speed_Calc!G$3+Speed_Calc!G$5*A1071^2</f>
        <v>62.956122499999999</v>
      </c>
      <c r="H1071" s="7">
        <f>(F1071-G1071)/Speed_Calc!G$2*9.806</f>
        <v>-40.989508742962762</v>
      </c>
      <c r="I1071" s="4">
        <f t="shared" si="68"/>
        <v>28.75</v>
      </c>
    </row>
    <row r="1072" spans="1:9" x14ac:dyDescent="0.2">
      <c r="A1072" s="11">
        <v>103.6</v>
      </c>
      <c r="B1072" s="14">
        <v>3.133</v>
      </c>
      <c r="C1072" s="11">
        <f t="shared" si="69"/>
        <v>13425.51759705609</v>
      </c>
      <c r="D1072" s="11">
        <f t="shared" si="66"/>
        <v>-2397.7268081383268</v>
      </c>
      <c r="E1072" s="11">
        <f t="shared" si="67"/>
        <v>-6248.9019131018176</v>
      </c>
      <c r="F1072" s="11">
        <f>Speed_Calc!B$5*E1072</f>
        <v>-5624.0117217916359</v>
      </c>
      <c r="G1072" s="14">
        <f>Speed_Calc!G$3+Speed_Calc!G$5*A1072^2</f>
        <v>63.039169599999994</v>
      </c>
      <c r="H1072" s="7">
        <f>(F1072-G1072)/Speed_Calc!G$2*9.806</f>
        <v>-41.309052622952869</v>
      </c>
      <c r="I1072" s="4">
        <f t="shared" si="68"/>
        <v>28.777777777777775</v>
      </c>
    </row>
    <row r="1073" spans="1:9" x14ac:dyDescent="0.2">
      <c r="A1073" s="11">
        <v>103.7</v>
      </c>
      <c r="B1073" s="14">
        <v>3.133</v>
      </c>
      <c r="C1073" s="11">
        <f t="shared" si="69"/>
        <v>13438.476590875645</v>
      </c>
      <c r="D1073" s="11">
        <f t="shared" si="66"/>
        <v>-2418.8699598224835</v>
      </c>
      <c r="E1073" s="11">
        <f t="shared" si="67"/>
        <v>-6297.9256427393475</v>
      </c>
      <c r="F1073" s="11">
        <f>Speed_Calc!B$5*E1073</f>
        <v>-5668.1330784654128</v>
      </c>
      <c r="G1073" s="14">
        <f>Speed_Calc!G$3+Speed_Calc!G$5*A1073^2</f>
        <v>63.122296900000002</v>
      </c>
      <c r="H1073" s="7">
        <f>(F1073-G1073)/Speed_Calc!G$2*9.806</f>
        <v>-41.63014089691351</v>
      </c>
      <c r="I1073" s="4">
        <f t="shared" si="68"/>
        <v>28.805555555555557</v>
      </c>
    </row>
    <row r="1074" spans="1:9" x14ac:dyDescent="0.2">
      <c r="A1074" s="11">
        <v>103.8</v>
      </c>
      <c r="B1074" s="14">
        <v>3.133</v>
      </c>
      <c r="C1074" s="11">
        <f t="shared" si="69"/>
        <v>13451.435584695193</v>
      </c>
      <c r="D1074" s="11">
        <f t="shared" si="66"/>
        <v>-2440.1404950882516</v>
      </c>
      <c r="E1074" s="11">
        <f t="shared" si="67"/>
        <v>-6347.1862589000775</v>
      </c>
      <c r="F1074" s="11">
        <f>Speed_Calc!B$5*E1074</f>
        <v>-5712.4676330100701</v>
      </c>
      <c r="G1074" s="14">
        <f>Speed_Calc!G$3+Speed_Calc!G$5*A1074^2</f>
        <v>63.205504399999988</v>
      </c>
      <c r="H1074" s="7">
        <f>(F1074-G1074)/Speed_Calc!G$2*9.806</f>
        <v>-41.952778359587512</v>
      </c>
      <c r="I1074" s="4">
        <f t="shared" si="68"/>
        <v>28.833333333333332</v>
      </c>
    </row>
    <row r="1075" spans="1:9" x14ac:dyDescent="0.2">
      <c r="A1075" s="11">
        <v>103.9</v>
      </c>
      <c r="B1075" s="14">
        <v>3.133</v>
      </c>
      <c r="C1075" s="11">
        <f t="shared" si="69"/>
        <v>13464.394578514746</v>
      </c>
      <c r="D1075" s="11">
        <f t="shared" si="66"/>
        <v>-2461.5389598086763</v>
      </c>
      <c r="E1075" s="11">
        <f t="shared" si="67"/>
        <v>-6396.6844961341931</v>
      </c>
      <c r="F1075" s="11">
        <f>Speed_Calc!B$5*E1075</f>
        <v>-5757.0160465207737</v>
      </c>
      <c r="G1075" s="14">
        <f>Speed_Calc!G$3+Speed_Calc!G$5*A1075^2</f>
        <v>63.288792100000002</v>
      </c>
      <c r="H1075" s="7">
        <f>(F1075-G1075)/Speed_Calc!G$2*9.806</f>
        <v>-42.276969812974301</v>
      </c>
      <c r="I1075" s="4">
        <f t="shared" si="68"/>
        <v>28.861111111111111</v>
      </c>
    </row>
    <row r="1076" spans="1:9" x14ac:dyDescent="0.2">
      <c r="A1076" s="11">
        <v>104</v>
      </c>
      <c r="B1076" s="14">
        <v>3.133</v>
      </c>
      <c r="C1076" s="11">
        <f t="shared" si="69"/>
        <v>13477.353572334301</v>
      </c>
      <c r="D1076" s="11">
        <f t="shared" si="66"/>
        <v>-2483.0659013725781</v>
      </c>
      <c r="E1076" s="11">
        <f t="shared" si="67"/>
        <v>-6446.4210901018851</v>
      </c>
      <c r="F1076" s="11">
        <f>Speed_Calc!B$5*E1076</f>
        <v>-5801.7789810916966</v>
      </c>
      <c r="G1076" s="14">
        <f>Speed_Calc!G$3+Speed_Calc!G$5*A1076^2</f>
        <v>63.372159999999994</v>
      </c>
      <c r="H1076" s="7">
        <f>(F1076-G1076)/Speed_Calc!G$2*9.806</f>
        <v>-42.602720066329759</v>
      </c>
      <c r="I1076" s="4">
        <f t="shared" si="68"/>
        <v>28.888888888888889</v>
      </c>
    </row>
    <row r="1077" spans="1:9" x14ac:dyDescent="0.2">
      <c r="A1077" s="11">
        <v>104.1</v>
      </c>
      <c r="B1077" s="14">
        <v>3.133</v>
      </c>
      <c r="C1077" s="11">
        <f t="shared" si="69"/>
        <v>13490.312566153851</v>
      </c>
      <c r="D1077" s="11">
        <f t="shared" si="66"/>
        <v>-2504.7218686865913</v>
      </c>
      <c r="E1077" s="11">
        <f t="shared" si="67"/>
        <v>-6496.3967775732926</v>
      </c>
      <c r="F1077" s="11">
        <f>Speed_Calc!B$5*E1077</f>
        <v>-5846.7570998159636</v>
      </c>
      <c r="G1077" s="14">
        <f>Speed_Calc!G$3+Speed_Calc!G$5*A1077^2</f>
        <v>63.455608099999992</v>
      </c>
      <c r="H1077" s="7">
        <f>(F1077-G1077)/Speed_Calc!G$2*9.806</f>
        <v>-42.930033936165877</v>
      </c>
      <c r="I1077" s="4">
        <f t="shared" si="68"/>
        <v>28.916666666666664</v>
      </c>
    </row>
    <row r="1078" spans="1:9" x14ac:dyDescent="0.2">
      <c r="A1078" s="11">
        <v>104.2</v>
      </c>
      <c r="B1078" s="14">
        <v>3.133</v>
      </c>
      <c r="C1078" s="11">
        <f t="shared" si="69"/>
        <v>13503.271559973404</v>
      </c>
      <c r="D1078" s="11">
        <f t="shared" si="66"/>
        <v>-2526.5074121772859</v>
      </c>
      <c r="E1078" s="11">
        <f t="shared" si="67"/>
        <v>-6546.6122964286687</v>
      </c>
      <c r="F1078" s="11">
        <f>Speed_Calc!B$5*E1078</f>
        <v>-5891.9510667858021</v>
      </c>
      <c r="G1078" s="14">
        <f>Speed_Calc!G$3+Speed_Calc!G$5*A1078^2</f>
        <v>63.539136400000004</v>
      </c>
      <c r="H1078" s="7">
        <f>(F1078-G1078)/Speed_Calc!G$2*9.806</f>
        <v>-43.258916246251829</v>
      </c>
      <c r="I1078" s="4">
        <f t="shared" si="68"/>
        <v>28.944444444444443</v>
      </c>
    </row>
    <row r="1079" spans="1:9" x14ac:dyDescent="0.2">
      <c r="A1079" s="11">
        <v>104.3</v>
      </c>
      <c r="B1079" s="14">
        <v>3.133</v>
      </c>
      <c r="C1079" s="11">
        <f t="shared" si="69"/>
        <v>13516.230553792957</v>
      </c>
      <c r="D1079" s="11">
        <f t="shared" si="66"/>
        <v>-2548.4230837931391</v>
      </c>
      <c r="E1079" s="11">
        <f t="shared" si="67"/>
        <v>-6597.0683856581727</v>
      </c>
      <c r="F1079" s="11">
        <f>Speed_Calc!B$5*E1079</f>
        <v>-5937.361547092356</v>
      </c>
      <c r="G1079" s="14">
        <f>Speed_Calc!G$3+Speed_Calc!G$5*A1079^2</f>
        <v>63.622744899999994</v>
      </c>
      <c r="H1079" s="7">
        <f>(F1079-G1079)/Speed_Calc!G$2*9.806</f>
        <v>-43.589371827612617</v>
      </c>
      <c r="I1079" s="4">
        <f t="shared" si="68"/>
        <v>28.972222222222221</v>
      </c>
    </row>
    <row r="1080" spans="1:9" x14ac:dyDescent="0.2">
      <c r="A1080" s="11">
        <v>104.4</v>
      </c>
      <c r="B1080" s="14">
        <v>3.133</v>
      </c>
      <c r="C1080" s="11">
        <f t="shared" si="69"/>
        <v>13529.189547612506</v>
      </c>
      <c r="D1080" s="11">
        <f t="shared" si="66"/>
        <v>-2570.4694370066545</v>
      </c>
      <c r="E1080" s="11">
        <f t="shared" si="67"/>
        <v>-6647.7657853620394</v>
      </c>
      <c r="F1080" s="11">
        <f>Speed_Calc!B$5*E1080</f>
        <v>-5982.9892068258359</v>
      </c>
      <c r="G1080" s="14">
        <f>Speed_Calc!G$3+Speed_Calc!G$5*A1080^2</f>
        <v>63.706433599999997</v>
      </c>
      <c r="H1080" s="7">
        <f>(F1080-G1080)/Speed_Calc!G$2*9.806</f>
        <v>-43.921405518530186</v>
      </c>
      <c r="I1080" s="4">
        <f t="shared" si="68"/>
        <v>29</v>
      </c>
    </row>
    <row r="1081" spans="1:9" x14ac:dyDescent="0.2">
      <c r="A1081" s="11">
        <v>104.5</v>
      </c>
      <c r="B1081" s="14">
        <v>3.133</v>
      </c>
      <c r="C1081" s="11">
        <f t="shared" si="69"/>
        <v>13542.148541432061</v>
      </c>
      <c r="D1081" s="11">
        <f t="shared" si="66"/>
        <v>-2592.6470268164089</v>
      </c>
      <c r="E1081" s="11">
        <f t="shared" si="67"/>
        <v>-6698.7052367505303</v>
      </c>
      <c r="F1081" s="11">
        <f>Speed_Calc!B$5*E1081</f>
        <v>-6028.8347130754773</v>
      </c>
      <c r="G1081" s="14">
        <f>Speed_Calc!G$3+Speed_Calc!G$5*A1081^2</f>
        <v>63.790202499999999</v>
      </c>
      <c r="H1081" s="7">
        <f>(F1081-G1081)/Speed_Calc!G$2*9.806</f>
        <v>-44.255022164543057</v>
      </c>
      <c r="I1081" s="4">
        <f t="shared" si="68"/>
        <v>29.027777777777779</v>
      </c>
    </row>
    <row r="1082" spans="1:9" x14ac:dyDescent="0.2">
      <c r="A1082" s="11">
        <v>104.6</v>
      </c>
      <c r="B1082" s="14">
        <v>3.133</v>
      </c>
      <c r="C1082" s="11">
        <f t="shared" si="69"/>
        <v>13555.107535251613</v>
      </c>
      <c r="D1082" s="11">
        <f t="shared" si="66"/>
        <v>-2614.956409749042</v>
      </c>
      <c r="E1082" s="11">
        <f t="shared" si="67"/>
        <v>-6749.8874821438003</v>
      </c>
      <c r="F1082" s="11">
        <f>Speed_Calc!B$5*E1082</f>
        <v>-6074.8987339294208</v>
      </c>
      <c r="G1082" s="14">
        <f>Speed_Calc!G$3+Speed_Calc!G$5*A1082^2</f>
        <v>63.874051599999987</v>
      </c>
      <c r="H1082" s="7">
        <f>(F1082-G1082)/Speed_Calc!G$2*9.806</f>
        <v>-44.590226618445548</v>
      </c>
      <c r="I1082" s="4">
        <f t="shared" si="68"/>
        <v>29.055555555555554</v>
      </c>
    </row>
    <row r="1083" spans="1:9" x14ac:dyDescent="0.2">
      <c r="A1083" s="11">
        <v>104.7</v>
      </c>
      <c r="B1083" s="14">
        <v>3.133</v>
      </c>
      <c r="C1083" s="11">
        <f t="shared" si="69"/>
        <v>13568.066529071162</v>
      </c>
      <c r="D1083" s="11">
        <f t="shared" si="66"/>
        <v>-2637.398143861411</v>
      </c>
      <c r="E1083" s="11">
        <f t="shared" si="67"/>
        <v>-6801.313264972121</v>
      </c>
      <c r="F1083" s="11">
        <f>Speed_Calc!B$5*E1083</f>
        <v>-6121.1819384749087</v>
      </c>
      <c r="G1083" s="14">
        <f>Speed_Calc!G$3+Speed_Calc!G$5*A1083^2</f>
        <v>63.957980899999995</v>
      </c>
      <c r="H1083" s="7">
        <f>(F1083-G1083)/Speed_Calc!G$2*9.806</f>
        <v>-44.927023740289144</v>
      </c>
      <c r="I1083" s="4">
        <f t="shared" si="68"/>
        <v>29.083333333333332</v>
      </c>
    </row>
    <row r="1084" spans="1:9" x14ac:dyDescent="0.2">
      <c r="A1084" s="11">
        <v>104.8</v>
      </c>
      <c r="B1084" s="14">
        <v>3.133</v>
      </c>
      <c r="C1084" s="11">
        <f t="shared" si="69"/>
        <v>13581.025522890719</v>
      </c>
      <c r="D1084" s="11">
        <f t="shared" si="66"/>
        <v>-2659.9727887426034</v>
      </c>
      <c r="E1084" s="11">
        <f t="shared" si="67"/>
        <v>-6852.9833297757896</v>
      </c>
      <c r="F1084" s="11">
        <f>Speed_Calc!B$5*E1084</f>
        <v>-6167.6849967982107</v>
      </c>
      <c r="G1084" s="14">
        <f>Speed_Calc!G$3+Speed_Calc!G$5*A1084^2</f>
        <v>64.041990400000003</v>
      </c>
      <c r="H1084" s="7">
        <f>(F1084-G1084)/Speed_Calc!G$2*9.806</f>
        <v>-45.265418397381957</v>
      </c>
      <c r="I1084" s="4">
        <f t="shared" si="68"/>
        <v>29.111111111111111</v>
      </c>
    </row>
    <row r="1085" spans="1:9" x14ac:dyDescent="0.2">
      <c r="A1085" s="11">
        <v>104.9</v>
      </c>
      <c r="B1085" s="14">
        <v>3.133</v>
      </c>
      <c r="C1085" s="11">
        <f t="shared" si="69"/>
        <v>13593.984516710272</v>
      </c>
      <c r="D1085" s="11">
        <f t="shared" si="66"/>
        <v>-2682.6809055159447</v>
      </c>
      <c r="E1085" s="11">
        <f t="shared" si="67"/>
        <v>-6904.8984222050049</v>
      </c>
      <c r="F1085" s="11">
        <f>Speed_Calc!B$5*E1085</f>
        <v>-6214.4085799845043</v>
      </c>
      <c r="G1085" s="14">
        <f>Speed_Calc!G$3+Speed_Calc!G$5*A1085^2</f>
        <v>64.126080099999996</v>
      </c>
      <c r="H1085" s="7">
        <f>(F1085-G1085)/Speed_Calc!G$2*9.806</f>
        <v>-45.605415464287887</v>
      </c>
      <c r="I1085" s="4">
        <f t="shared" si="68"/>
        <v>29.138888888888889</v>
      </c>
    </row>
    <row r="1086" spans="1:9" x14ac:dyDescent="0.2">
      <c r="A1086" s="11">
        <v>105</v>
      </c>
      <c r="B1086" s="14">
        <v>3.133</v>
      </c>
      <c r="C1086" s="11">
        <f t="shared" si="69"/>
        <v>13606.94351052982</v>
      </c>
      <c r="D1086" s="11">
        <f t="shared" si="66"/>
        <v>-2705.5230568411216</v>
      </c>
      <c r="E1086" s="11">
        <f t="shared" si="67"/>
        <v>-6957.0592890200278</v>
      </c>
      <c r="F1086" s="11">
        <f>Speed_Calc!B$5*E1086</f>
        <v>-6261.3533601180252</v>
      </c>
      <c r="G1086" s="14">
        <f>Speed_Calc!G$3+Speed_Calc!G$5*A1086^2</f>
        <v>64.210250000000002</v>
      </c>
      <c r="H1086" s="7">
        <f>(F1086-G1086)/Speed_Calc!G$2*9.806</f>
        <v>-45.94701982282767</v>
      </c>
      <c r="I1086" s="4">
        <f t="shared" si="68"/>
        <v>29.166666666666664</v>
      </c>
    </row>
    <row r="1087" spans="1:9" x14ac:dyDescent="0.2">
      <c r="A1087" s="11">
        <v>105.1</v>
      </c>
      <c r="B1087" s="14">
        <v>3.133</v>
      </c>
      <c r="C1087" s="11">
        <f t="shared" si="69"/>
        <v>13619.902504349373</v>
      </c>
      <c r="D1087" s="11">
        <f t="shared" si="66"/>
        <v>-2728.4998069162352</v>
      </c>
      <c r="E1087" s="11">
        <f t="shared" si="67"/>
        <v>-7009.4666780911848</v>
      </c>
      <c r="F1087" s="11">
        <f>Speed_Calc!B$5*E1087</f>
        <v>-6308.5200102820663</v>
      </c>
      <c r="G1087" s="14">
        <f>Speed_Calc!G$3+Speed_Calc!G$5*A1087^2</f>
        <v>64.294500099999993</v>
      </c>
      <c r="H1087" s="7">
        <f>(F1087-G1087)/Speed_Calc!G$2*9.806</f>
        <v>-46.290236362078915</v>
      </c>
      <c r="I1087" s="4">
        <f t="shared" si="68"/>
        <v>29.194444444444443</v>
      </c>
    </row>
    <row r="1088" spans="1:9" x14ac:dyDescent="0.2">
      <c r="A1088" s="11">
        <v>105.2</v>
      </c>
      <c r="B1088" s="14">
        <v>3.133</v>
      </c>
      <c r="C1088" s="11">
        <f t="shared" si="69"/>
        <v>13632.861498168926</v>
      </c>
      <c r="D1088" s="11">
        <f t="shared" si="66"/>
        <v>-2751.6117214798019</v>
      </c>
      <c r="E1088" s="11">
        <f t="shared" si="67"/>
        <v>-7062.1213383987315</v>
      </c>
      <c r="F1088" s="11">
        <f>Speed_Calc!B$5*E1088</f>
        <v>-6355.9092045588586</v>
      </c>
      <c r="G1088" s="14">
        <f>Speed_Calc!G$3+Speed_Calc!G$5*A1088^2</f>
        <v>64.378830399999998</v>
      </c>
      <c r="H1088" s="7">
        <f>(F1088-G1088)/Speed_Calc!G$2*9.806</f>
        <v>-46.635069978375228</v>
      </c>
      <c r="I1088" s="4">
        <f t="shared" si="68"/>
        <v>29.222222222222221</v>
      </c>
    </row>
    <row r="1089" spans="1:9" x14ac:dyDescent="0.2">
      <c r="A1089" s="11">
        <v>105.3</v>
      </c>
      <c r="B1089" s="14">
        <v>3.133</v>
      </c>
      <c r="C1089" s="11">
        <f t="shared" si="69"/>
        <v>13645.820491988477</v>
      </c>
      <c r="D1089" s="11">
        <f t="shared" si="66"/>
        <v>-2774.8593678128527</v>
      </c>
      <c r="E1089" s="11">
        <f t="shared" si="67"/>
        <v>-7115.0240200329554</v>
      </c>
      <c r="F1089" s="11">
        <f>Speed_Calc!B$5*E1089</f>
        <v>-6403.5216180296602</v>
      </c>
      <c r="G1089" s="14">
        <f>Speed_Calc!G$3+Speed_Calc!G$5*A1089^2</f>
        <v>64.463240899999988</v>
      </c>
      <c r="H1089" s="7">
        <f>(F1089-G1089)/Speed_Calc!G$2*9.806</f>
        <v>-46.981525575306847</v>
      </c>
      <c r="I1089" s="4">
        <f t="shared" si="68"/>
        <v>29.25</v>
      </c>
    </row>
    <row r="1090" spans="1:9" x14ac:dyDescent="0.2">
      <c r="A1090" s="11">
        <v>105.4</v>
      </c>
      <c r="B1090" s="14">
        <v>3.133</v>
      </c>
      <c r="C1090" s="11">
        <f t="shared" si="69"/>
        <v>13658.779485808031</v>
      </c>
      <c r="D1090" s="11">
        <f t="shared" si="66"/>
        <v>-2798.2433147409897</v>
      </c>
      <c r="E1090" s="11">
        <f t="shared" si="67"/>
        <v>-7168.1754741941868</v>
      </c>
      <c r="F1090" s="11">
        <f>Speed_Calc!B$5*E1090</f>
        <v>-6451.3579267747682</v>
      </c>
      <c r="G1090" s="14">
        <f>Speed_Calc!G$3+Speed_Calc!G$5*A1090^2</f>
        <v>64.547731600000006</v>
      </c>
      <c r="H1090" s="7">
        <f>(F1090-G1090)/Speed_Calc!G$2*9.806</f>
        <v>-47.32960806372072</v>
      </c>
      <c r="I1090" s="4">
        <f t="shared" si="68"/>
        <v>29.277777777777779</v>
      </c>
    </row>
    <row r="1091" spans="1:9" x14ac:dyDescent="0.2">
      <c r="A1091" s="11">
        <v>105.5</v>
      </c>
      <c r="B1091" s="14">
        <v>3.133</v>
      </c>
      <c r="C1091" s="11">
        <f t="shared" si="69"/>
        <v>13671.738479627584</v>
      </c>
      <c r="D1091" s="11">
        <f t="shared" si="66"/>
        <v>-2821.7641326364028</v>
      </c>
      <c r="E1091" s="11">
        <f t="shared" si="67"/>
        <v>-7221.5764531926898</v>
      </c>
      <c r="F1091" s="11">
        <f>Speed_Calc!B$5*E1091</f>
        <v>-6499.4188078734205</v>
      </c>
      <c r="G1091" s="14">
        <f>Speed_Calc!G$3+Speed_Calc!G$5*A1091^2</f>
        <v>64.632302499999994</v>
      </c>
      <c r="H1091" s="7">
        <f>(F1091-G1091)/Speed_Calc!G$2*9.806</f>
        <v>-47.679322361719819</v>
      </c>
      <c r="I1091" s="4">
        <f t="shared" si="68"/>
        <v>29.305555555555554</v>
      </c>
    </row>
    <row r="1092" spans="1:9" x14ac:dyDescent="0.2">
      <c r="A1092" s="11">
        <v>105.6</v>
      </c>
      <c r="B1092" s="14">
        <v>3.133</v>
      </c>
      <c r="C1092" s="11">
        <f t="shared" si="69"/>
        <v>13684.697473447133</v>
      </c>
      <c r="D1092" s="11">
        <f t="shared" si="66"/>
        <v>-2845.4223934199758</v>
      </c>
      <c r="E1092" s="11">
        <f t="shared" si="67"/>
        <v>-7275.2277104488021</v>
      </c>
      <c r="F1092" s="11">
        <f>Speed_Calc!B$5*E1092</f>
        <v>-6547.7049394039223</v>
      </c>
      <c r="G1092" s="14">
        <f>Speed_Calc!G$3+Speed_Calc!G$5*A1092^2</f>
        <v>64.716953599999982</v>
      </c>
      <c r="H1092" s="7">
        <f>(F1092-G1092)/Speed_Calc!G$2*9.806</f>
        <v>-48.030673394664042</v>
      </c>
      <c r="I1092" s="4">
        <f t="shared" si="68"/>
        <v>29.333333333333332</v>
      </c>
    </row>
    <row r="1093" spans="1:9" x14ac:dyDescent="0.2">
      <c r="A1093" s="11">
        <v>105.7</v>
      </c>
      <c r="B1093" s="14">
        <v>3.133</v>
      </c>
      <c r="C1093" s="11">
        <f t="shared" si="69"/>
        <v>13697.656467266686</v>
      </c>
      <c r="D1093" s="11">
        <f t="shared" si="66"/>
        <v>-2869.2186705633198</v>
      </c>
      <c r="E1093" s="11">
        <f t="shared" si="67"/>
        <v>-7329.1300004928707</v>
      </c>
      <c r="F1093" s="11">
        <f>Speed_Calc!B$5*E1093</f>
        <v>-6596.2170004435839</v>
      </c>
      <c r="G1093" s="14">
        <f>Speed_Calc!G$3+Speed_Calc!G$5*A1093^2</f>
        <v>64.801684899999998</v>
      </c>
      <c r="H1093" s="7">
        <f>(F1093-G1093)/Speed_Calc!G$2*9.806</f>
        <v>-48.383666095169751</v>
      </c>
      <c r="I1093" s="4">
        <f t="shared" si="68"/>
        <v>29.361111111111111</v>
      </c>
    </row>
    <row r="1094" spans="1:9" x14ac:dyDescent="0.2">
      <c r="A1094" s="11">
        <v>105.8</v>
      </c>
      <c r="B1094" s="14">
        <v>3.133</v>
      </c>
      <c r="C1094" s="11">
        <f t="shared" si="69"/>
        <v>13710.615461086236</v>
      </c>
      <c r="D1094" s="11">
        <f t="shared" si="66"/>
        <v>-2893.1535390908052</v>
      </c>
      <c r="E1094" s="11">
        <f t="shared" si="67"/>
        <v>-7383.2840789651946</v>
      </c>
      <c r="F1094" s="11">
        <f>Speed_Calc!B$5*E1094</f>
        <v>-6644.9556710686757</v>
      </c>
      <c r="G1094" s="14">
        <f>Speed_Calc!G$3+Speed_Calc!G$5*A1094^2</f>
        <v>64.886496399999999</v>
      </c>
      <c r="H1094" s="7">
        <f>(F1094-G1094)/Speed_Calc!G$2*9.806</f>
        <v>-48.738305403109507</v>
      </c>
      <c r="I1094" s="4">
        <f t="shared" si="68"/>
        <v>29.388888888888886</v>
      </c>
    </row>
    <row r="1095" spans="1:9" x14ac:dyDescent="0.2">
      <c r="A1095" s="11">
        <v>105.9</v>
      </c>
      <c r="B1095" s="14">
        <v>3.133</v>
      </c>
      <c r="C1095" s="11">
        <f t="shared" si="69"/>
        <v>13723.574454905793</v>
      </c>
      <c r="D1095" s="11">
        <f t="shared" si="66"/>
        <v>-2917.2275755816795</v>
      </c>
      <c r="E1095" s="11">
        <f t="shared" si="67"/>
        <v>-7437.6907026161798</v>
      </c>
      <c r="F1095" s="11">
        <f>Speed_Calc!B$5*E1095</f>
        <v>-6693.9216323545616</v>
      </c>
      <c r="G1095" s="14">
        <f>Speed_Calc!G$3+Speed_Calc!G$5*A1095^2</f>
        <v>64.971388099999999</v>
      </c>
      <c r="H1095" s="7">
        <f>(F1095-G1095)/Speed_Calc!G$2*9.806</f>
        <v>-49.094596265612907</v>
      </c>
      <c r="I1095" s="4">
        <f t="shared" si="68"/>
        <v>29.416666666666668</v>
      </c>
    </row>
    <row r="1096" spans="1:9" x14ac:dyDescent="0.2">
      <c r="A1096" s="11">
        <v>106</v>
      </c>
      <c r="B1096" s="14">
        <v>3.133</v>
      </c>
      <c r="C1096" s="11">
        <f t="shared" si="69"/>
        <v>13736.533448725344</v>
      </c>
      <c r="D1096" s="11">
        <f t="shared" si="66"/>
        <v>-2941.4413581720291</v>
      </c>
      <c r="E1096" s="11">
        <f t="shared" si="67"/>
        <v>-7492.3506293061109</v>
      </c>
      <c r="F1096" s="11">
        <f>Speed_Calc!B$5*E1096</f>
        <v>-6743.1155663754998</v>
      </c>
      <c r="G1096" s="14">
        <f>Speed_Calc!G$3+Speed_Calc!G$5*A1096^2</f>
        <v>65.056359999999998</v>
      </c>
      <c r="H1096" s="7">
        <f>(F1096-G1096)/Speed_Calc!G$2*9.806</f>
        <v>-49.45254363706529</v>
      </c>
      <c r="I1096" s="4">
        <f t="shared" si="68"/>
        <v>29.444444444444443</v>
      </c>
    </row>
    <row r="1097" spans="1:9" x14ac:dyDescent="0.2">
      <c r="A1097" s="11">
        <v>106.1</v>
      </c>
      <c r="B1097" s="14">
        <v>3.133</v>
      </c>
      <c r="C1097" s="11">
        <f t="shared" si="69"/>
        <v>13749.492442544897</v>
      </c>
      <c r="D1097" s="11">
        <f t="shared" si="66"/>
        <v>-2965.7954665569296</v>
      </c>
      <c r="E1097" s="11">
        <f t="shared" si="67"/>
        <v>-7547.2646180053825</v>
      </c>
      <c r="F1097" s="11">
        <f>Speed_Calc!B$5*E1097</f>
        <v>-6792.5381562048442</v>
      </c>
      <c r="G1097" s="14">
        <f>Speed_Calc!G$3+Speed_Calc!G$5*A1097^2</f>
        <v>65.141412099999997</v>
      </c>
      <c r="H1097" s="7">
        <f>(F1097-G1097)/Speed_Calc!G$2*9.806</f>
        <v>-49.812152479109102</v>
      </c>
      <c r="I1097" s="4">
        <f t="shared" si="68"/>
        <v>29.472222222222221</v>
      </c>
    </row>
    <row r="1098" spans="1:9" x14ac:dyDescent="0.2">
      <c r="A1098" s="11">
        <v>106.2</v>
      </c>
      <c r="B1098" s="14">
        <v>3.133</v>
      </c>
      <c r="C1098" s="11">
        <f t="shared" si="69"/>
        <v>13762.451436364447</v>
      </c>
      <c r="D1098" s="11">
        <f t="shared" si="66"/>
        <v>-2990.2904819924433</v>
      </c>
      <c r="E1098" s="11">
        <f t="shared" si="67"/>
        <v>-7602.4334287943484</v>
      </c>
      <c r="F1098" s="11">
        <f>Speed_Calc!B$5*E1098</f>
        <v>-6842.1900859149137</v>
      </c>
      <c r="G1098" s="14">
        <f>Speed_Calc!G$3+Speed_Calc!G$5*A1098^2</f>
        <v>65.226544399999995</v>
      </c>
      <c r="H1098" s="7">
        <f>(F1098-G1098)/Speed_Calc!G$2*9.806</f>
        <v>-50.173427760642994</v>
      </c>
      <c r="I1098" s="4">
        <f t="shared" si="68"/>
        <v>29.5</v>
      </c>
    </row>
    <row r="1099" spans="1:9" x14ac:dyDescent="0.2">
      <c r="A1099" s="11">
        <v>106.3</v>
      </c>
      <c r="B1099" s="14">
        <v>3.133</v>
      </c>
      <c r="C1099" s="11">
        <f t="shared" si="69"/>
        <v>13775.410430184</v>
      </c>
      <c r="D1099" s="11">
        <f t="shared" si="66"/>
        <v>-3014.9269872977065</v>
      </c>
      <c r="E1099" s="11">
        <f t="shared" si="67"/>
        <v>-7657.8578228634115</v>
      </c>
      <c r="F1099" s="11">
        <f>Speed_Calc!B$5*E1099</f>
        <v>-6892.0720405770708</v>
      </c>
      <c r="G1099" s="14">
        <f>Speed_Calc!G$3+Speed_Calc!G$5*A1099^2</f>
        <v>65.311756899999992</v>
      </c>
      <c r="H1099" s="7">
        <f>(F1099-G1099)/Speed_Calc!G$2*9.806</f>
        <v>-50.536374457822333</v>
      </c>
      <c r="I1099" s="4">
        <f t="shared" si="68"/>
        <v>29.527777777777775</v>
      </c>
    </row>
    <row r="1100" spans="1:9" x14ac:dyDescent="0.2">
      <c r="A1100" s="11">
        <v>106.4</v>
      </c>
      <c r="B1100" s="14">
        <v>3.133</v>
      </c>
      <c r="C1100" s="11">
        <f t="shared" si="69"/>
        <v>13788.369424003555</v>
      </c>
      <c r="D1100" s="11">
        <f t="shared" si="66"/>
        <v>-3039.7055668569687</v>
      </c>
      <c r="E1100" s="11">
        <f t="shared" si="67"/>
        <v>-7713.5385625129838</v>
      </c>
      <c r="F1100" s="11">
        <f>Speed_Calc!B$5*E1100</f>
        <v>-6942.1847062616853</v>
      </c>
      <c r="G1100" s="14">
        <f>Speed_Calc!G$3+Speed_Calc!G$5*A1100^2</f>
        <v>65.397049600000003</v>
      </c>
      <c r="H1100" s="7">
        <f>(F1100-G1100)/Speed_Calc!G$2*9.806</f>
        <v>-50.900997554059025</v>
      </c>
      <c r="I1100" s="4">
        <f t="shared" si="68"/>
        <v>29.555555555555557</v>
      </c>
    </row>
    <row r="1101" spans="1:9" x14ac:dyDescent="0.2">
      <c r="A1101" s="11">
        <v>106.5</v>
      </c>
      <c r="B1101" s="14">
        <v>3.133</v>
      </c>
      <c r="C1101" s="11">
        <f t="shared" si="69"/>
        <v>13801.328417823106</v>
      </c>
      <c r="D1101" s="11">
        <f t="shared" si="66"/>
        <v>-3064.626806621613</v>
      </c>
      <c r="E1101" s="11">
        <f t="shared" si="67"/>
        <v>-7769.4764111533832</v>
      </c>
      <c r="F1101" s="11">
        <f>Speed_Calc!B$5*E1101</f>
        <v>-6992.528770038045</v>
      </c>
      <c r="G1101" s="14">
        <f>Speed_Calc!G$3+Speed_Calc!G$5*A1101^2</f>
        <v>65.482422499999998</v>
      </c>
      <c r="H1101" s="7">
        <f>(F1101-G1101)/Speed_Calc!G$2*9.806</f>
        <v>-51.267302040020795</v>
      </c>
      <c r="I1101" s="4">
        <f t="shared" si="68"/>
        <v>29.583333333333332</v>
      </c>
    </row>
    <row r="1102" spans="1:9" x14ac:dyDescent="0.2">
      <c r="A1102" s="11">
        <v>106.6</v>
      </c>
      <c r="B1102" s="14">
        <v>3.133</v>
      </c>
      <c r="C1102" s="11">
        <f t="shared" si="69"/>
        <v>13814.287411642657</v>
      </c>
      <c r="D1102" s="11">
        <f t="shared" si="66"/>
        <v>-3089.6912941122978</v>
      </c>
      <c r="E1102" s="11">
        <f t="shared" si="67"/>
        <v>-7825.67213330507</v>
      </c>
      <c r="F1102" s="11">
        <f>Speed_Calc!B$5*E1102</f>
        <v>-7043.104919974563</v>
      </c>
      <c r="G1102" s="14">
        <f>Speed_Calc!G$3+Speed_Calc!G$5*A1102^2</f>
        <v>65.567875599999994</v>
      </c>
      <c r="H1102" s="7">
        <f>(F1102-G1102)/Speed_Calc!G$2*9.806</f>
        <v>-51.635292913632711</v>
      </c>
      <c r="I1102" s="4">
        <f t="shared" si="68"/>
        <v>29.611111111111107</v>
      </c>
    </row>
    <row r="1103" spans="1:9" x14ac:dyDescent="0.2">
      <c r="A1103" s="11">
        <v>106.7</v>
      </c>
      <c r="B1103" s="15">
        <v>3.133</v>
      </c>
      <c r="C1103" s="11">
        <f t="shared" ref="C1103:C1166" si="70">A1103/3.6/B$23/2/PI()*B$32*B$31*B1103*60</f>
        <v>13827.246405462211</v>
      </c>
      <c r="D1103" s="11">
        <f t="shared" ref="D1103:D1166" si="71">-4.687*10^(-17)*C1103^5+9.129*10^(-13)*C1103^4-6.175*10^(-9)*C1103^3+1.799*10^(-5)*C1103^2+6.502*10^(-3)*C1103</f>
        <v>-3114.8996184209436</v>
      </c>
      <c r="E1103" s="11">
        <f t="shared" ref="E1103:E1166" si="72">D1103*75*B1103*B$31*B$32/B$23/C1103/2/PI()*60</f>
        <v>-7882.1264945984503</v>
      </c>
      <c r="F1103" s="11">
        <f>Speed_Calc!B$5*E1103</f>
        <v>-7093.9138451386052</v>
      </c>
      <c r="G1103" s="15">
        <f>Speed_Calc!G$3+Speed_Calc!G$5*A1103^2</f>
        <v>65.653408900000002</v>
      </c>
      <c r="H1103" s="7">
        <f>(F1103-G1103)/Speed_Calc!G$2*9.806</f>
        <v>-52.004975180075967</v>
      </c>
      <c r="I1103" s="4">
        <f t="shared" ref="I1103:I1166" si="73">A1103/3.6</f>
        <v>29.638888888888889</v>
      </c>
    </row>
    <row r="1104" spans="1:9" x14ac:dyDescent="0.2">
      <c r="A1104" s="11">
        <v>106.8</v>
      </c>
      <c r="B1104" s="15">
        <v>3.133</v>
      </c>
      <c r="C1104" s="11">
        <f t="shared" si="70"/>
        <v>13840.20539928176</v>
      </c>
      <c r="D1104" s="11">
        <f t="shared" si="71"/>
        <v>-3140.2523702128015</v>
      </c>
      <c r="E1104" s="11">
        <f t="shared" si="72"/>
        <v>-7938.8402617739384</v>
      </c>
      <c r="F1104" s="11">
        <f>Speed_Calc!B$5*E1104</f>
        <v>-7144.9562355965445</v>
      </c>
      <c r="G1104" s="15">
        <f>Speed_Calc!G$3+Speed_Calc!G$5*A1104^2</f>
        <v>65.739022399999996</v>
      </c>
      <c r="H1104" s="7">
        <f>(F1104-G1104)/Speed_Calc!G$2*9.806</f>
        <v>-52.376353851788224</v>
      </c>
      <c r="I1104" s="4">
        <f t="shared" si="73"/>
        <v>29.666666666666664</v>
      </c>
    </row>
    <row r="1105" spans="1:9" x14ac:dyDescent="0.2">
      <c r="A1105" s="11">
        <v>106.9</v>
      </c>
      <c r="B1105" s="15">
        <v>3.133</v>
      </c>
      <c r="C1105" s="11">
        <f t="shared" si="70"/>
        <v>13853.164393101315</v>
      </c>
      <c r="D1105" s="11">
        <f t="shared" si="71"/>
        <v>-3165.750141728538</v>
      </c>
      <c r="E1105" s="11">
        <f t="shared" si="72"/>
        <v>-7995.8142026819933</v>
      </c>
      <c r="F1105" s="11">
        <f>Speed_Calc!B$5*E1105</f>
        <v>-7196.2327824137938</v>
      </c>
      <c r="G1105" s="15">
        <f>Speed_Calc!G$3+Speed_Calc!G$5*A1105^2</f>
        <v>65.824716099999989</v>
      </c>
      <c r="H1105" s="7">
        <f>(F1105-G1105)/Speed_Calc!G$2*9.806</f>
        <v>-52.749433948463896</v>
      </c>
      <c r="I1105" s="4">
        <f t="shared" si="73"/>
        <v>29.694444444444446</v>
      </c>
    </row>
    <row r="1106" spans="1:9" x14ac:dyDescent="0.2">
      <c r="A1106" s="11">
        <v>107</v>
      </c>
      <c r="B1106" s="15">
        <v>3.133</v>
      </c>
      <c r="C1106" s="11">
        <f t="shared" si="70"/>
        <v>13866.123386920866</v>
      </c>
      <c r="D1106" s="11">
        <f t="shared" si="71"/>
        <v>-3191.3935267862266</v>
      </c>
      <c r="E1106" s="11">
        <f t="shared" si="72"/>
        <v>-8053.049086283002</v>
      </c>
      <c r="F1106" s="11">
        <f>Speed_Calc!B$5*E1106</f>
        <v>-7247.7441776547021</v>
      </c>
      <c r="G1106" s="15">
        <f>Speed_Calc!G$3+Speed_Calc!G$5*A1106^2</f>
        <v>65.910489999999996</v>
      </c>
      <c r="H1106" s="7">
        <f>(F1106-G1106)/Speed_Calc!G$2*9.806</f>
        <v>-53.124220497053336</v>
      </c>
      <c r="I1106" s="4">
        <f t="shared" si="73"/>
        <v>29.722222222222221</v>
      </c>
    </row>
    <row r="1107" spans="1:9" x14ac:dyDescent="0.2">
      <c r="A1107" s="11">
        <v>107.1</v>
      </c>
      <c r="B1107" s="15">
        <v>3.133</v>
      </c>
      <c r="C1107" s="11">
        <f t="shared" si="70"/>
        <v>13879.082380740416</v>
      </c>
      <c r="D1107" s="11">
        <f t="shared" si="71"/>
        <v>-3217.183120783483</v>
      </c>
      <c r="E1107" s="11">
        <f t="shared" si="72"/>
        <v>-8110.5456826474374</v>
      </c>
      <c r="F1107" s="11">
        <f>Speed_Calc!B$5*E1107</f>
        <v>-7299.4911143826939</v>
      </c>
      <c r="G1107" s="15">
        <f>Speed_Calc!G$3+Speed_Calc!G$5*A1107^2</f>
        <v>65.996344099999988</v>
      </c>
      <c r="H1107" s="7">
        <f>(F1107-G1107)/Speed_Calc!G$2*9.806</f>
        <v>-53.500718531763916</v>
      </c>
      <c r="I1107" s="4">
        <f t="shared" si="73"/>
        <v>29.749999999999996</v>
      </c>
    </row>
    <row r="1108" spans="1:9" x14ac:dyDescent="0.2">
      <c r="A1108" s="11">
        <v>107.2</v>
      </c>
      <c r="B1108" s="15">
        <v>3.133</v>
      </c>
      <c r="C1108" s="11">
        <f t="shared" si="70"/>
        <v>13892.041374559973</v>
      </c>
      <c r="D1108" s="11">
        <f t="shared" si="71"/>
        <v>-3243.1195206994998</v>
      </c>
      <c r="E1108" s="11">
        <f t="shared" si="72"/>
        <v>-8168.3047629558296</v>
      </c>
      <c r="F1108" s="11">
        <f>Speed_Calc!B$5*E1108</f>
        <v>-7351.4742866602464</v>
      </c>
      <c r="G1108" s="15">
        <f>Speed_Calc!G$3+Speed_Calc!G$5*A1108^2</f>
        <v>66.082278400000007</v>
      </c>
      <c r="H1108" s="7">
        <f>(F1108-G1108)/Speed_Calc!G$2*9.806</f>
        <v>-53.878933094059825</v>
      </c>
      <c r="I1108" s="4">
        <f t="shared" si="73"/>
        <v>29.777777777777779</v>
      </c>
    </row>
    <row r="1109" spans="1:9" x14ac:dyDescent="0.2">
      <c r="A1109" s="11">
        <v>107.3</v>
      </c>
      <c r="B1109" s="15">
        <v>3.133</v>
      </c>
      <c r="C1109" s="11">
        <f t="shared" si="70"/>
        <v>13905.000368379524</v>
      </c>
      <c r="D1109" s="11">
        <f t="shared" si="71"/>
        <v>-3269.2033250970067</v>
      </c>
      <c r="E1109" s="11">
        <f t="shared" si="72"/>
        <v>-8226.3270994985251</v>
      </c>
      <c r="F1109" s="11">
        <f>Speed_Calc!B$5*E1109</f>
        <v>-7403.6943895486729</v>
      </c>
      <c r="G1109" s="15">
        <f>Speed_Calc!G$3+Speed_Calc!G$5*A1109^2</f>
        <v>66.168292899999983</v>
      </c>
      <c r="H1109" s="7">
        <f>(F1109-G1109)/Speed_Calc!G$2*9.806</f>
        <v>-54.258869232660501</v>
      </c>
      <c r="I1109" s="4">
        <f t="shared" si="73"/>
        <v>29.805555555555554</v>
      </c>
    </row>
    <row r="1110" spans="1:9" x14ac:dyDescent="0.2">
      <c r="A1110" s="11">
        <v>107.4</v>
      </c>
      <c r="B1110" s="15">
        <v>3.133</v>
      </c>
      <c r="C1110" s="11">
        <f t="shared" si="70"/>
        <v>13917.959362199077</v>
      </c>
      <c r="D1110" s="11">
        <f t="shared" si="71"/>
        <v>-3295.4351341244733</v>
      </c>
      <c r="E1110" s="11">
        <f t="shared" si="72"/>
        <v>-8284.6134656760496</v>
      </c>
      <c r="F1110" s="11">
        <f>Speed_Calc!B$5*E1110</f>
        <v>-7456.1521191084448</v>
      </c>
      <c r="G1110" s="15">
        <f>Speed_Calc!G$3+Speed_Calc!G$5*A1110^2</f>
        <v>66.254387600000001</v>
      </c>
      <c r="H1110" s="7">
        <f>(F1110-G1110)/Speed_Calc!G$2*9.806</f>
        <v>-54.640532003542965</v>
      </c>
      <c r="I1110" s="4">
        <f t="shared" si="73"/>
        <v>29.833333333333336</v>
      </c>
    </row>
    <row r="1111" spans="1:9" x14ac:dyDescent="0.2">
      <c r="A1111" s="11">
        <v>107.5</v>
      </c>
      <c r="B1111" s="15">
        <v>3.133</v>
      </c>
      <c r="C1111" s="11">
        <f t="shared" si="70"/>
        <v>13930.918356018627</v>
      </c>
      <c r="D1111" s="11">
        <f t="shared" si="71"/>
        <v>-3321.8155495180722</v>
      </c>
      <c r="E1111" s="11">
        <f t="shared" si="72"/>
        <v>-8343.164635998879</v>
      </c>
      <c r="F1111" s="11">
        <f>Speed_Calc!B$5*E1111</f>
        <v>-7508.8481723989917</v>
      </c>
      <c r="G1111" s="15">
        <f>Speed_Calc!G$3+Speed_Calc!G$5*A1111^2</f>
        <v>66.340562500000004</v>
      </c>
      <c r="H1111" s="7">
        <f>(F1111-G1111)/Speed_Calc!G$2*9.806</f>
        <v>-55.023926469940371</v>
      </c>
      <c r="I1111" s="4">
        <f t="shared" si="73"/>
        <v>29.861111111111111</v>
      </c>
    </row>
    <row r="1112" spans="1:9" x14ac:dyDescent="0.2">
      <c r="A1112" s="11">
        <v>107.6</v>
      </c>
      <c r="B1112" s="15">
        <v>3.133</v>
      </c>
      <c r="C1112" s="11">
        <f t="shared" si="70"/>
        <v>13943.87734983818</v>
      </c>
      <c r="D1112" s="11">
        <f t="shared" si="71"/>
        <v>-3348.3451746037713</v>
      </c>
      <c r="E1112" s="11">
        <f t="shared" si="72"/>
        <v>-8401.9813860875292</v>
      </c>
      <c r="F1112" s="11">
        <f>Speed_Calc!B$5*E1112</f>
        <v>-7561.7832474787765</v>
      </c>
      <c r="G1112" s="15">
        <f>Speed_Calc!G$3+Speed_Calc!G$5*A1112^2</f>
        <v>66.426817599999993</v>
      </c>
      <c r="H1112" s="7">
        <f>(F1112-G1112)/Speed_Calc!G$2*9.806</f>
        <v>-55.409057702342565</v>
      </c>
      <c r="I1112" s="4">
        <f t="shared" si="73"/>
        <v>29.888888888888886</v>
      </c>
    </row>
    <row r="1113" spans="1:9" x14ac:dyDescent="0.2">
      <c r="A1113" s="11">
        <v>107.7</v>
      </c>
      <c r="B1113" s="15">
        <v>3.133</v>
      </c>
      <c r="C1113" s="11">
        <f t="shared" si="70"/>
        <v>13956.836343657729</v>
      </c>
      <c r="D1113" s="11">
        <f t="shared" si="71"/>
        <v>-3375.0246142993606</v>
      </c>
      <c r="E1113" s="11">
        <f t="shared" si="72"/>
        <v>-8461.0644926724945</v>
      </c>
      <c r="F1113" s="11">
        <f>Speed_Calc!B$5*E1113</f>
        <v>-7614.958043405245</v>
      </c>
      <c r="G1113" s="15">
        <f>Speed_Calc!G$3+Speed_Calc!G$5*A1113^2</f>
        <v>66.513152899999994</v>
      </c>
      <c r="H1113" s="7">
        <f>(F1113-G1113)/Speed_Calc!G$2*9.806</f>
        <v>-55.79593077849573</v>
      </c>
      <c r="I1113" s="4">
        <f t="shared" si="73"/>
        <v>29.916666666666668</v>
      </c>
    </row>
    <row r="1114" spans="1:9" x14ac:dyDescent="0.2">
      <c r="A1114" s="11">
        <v>107.8</v>
      </c>
      <c r="B1114" s="15">
        <v>3.133</v>
      </c>
      <c r="C1114" s="11">
        <f t="shared" si="70"/>
        <v>13969.795337477281</v>
      </c>
      <c r="D1114" s="11">
        <f t="shared" si="71"/>
        <v>-3401.85447511653</v>
      </c>
      <c r="E1114" s="11">
        <f t="shared" si="72"/>
        <v>-8520.4147335942798</v>
      </c>
      <c r="F1114" s="11">
        <f>Speed_Calc!B$5*E1114</f>
        <v>-7668.3732602348518</v>
      </c>
      <c r="G1114" s="15">
        <f>Speed_Calc!G$3+Speed_Calc!G$5*A1114^2</f>
        <v>66.599568399999995</v>
      </c>
      <c r="H1114" s="7">
        <f>(F1114-G1114)/Speed_Calc!G$2*9.806</f>
        <v>-56.184550783402486</v>
      </c>
      <c r="I1114" s="4">
        <f t="shared" si="73"/>
        <v>29.944444444444443</v>
      </c>
    </row>
    <row r="1115" spans="1:9" x14ac:dyDescent="0.2">
      <c r="A1115" s="11">
        <v>107.9</v>
      </c>
      <c r="B1115" s="15">
        <v>3.133</v>
      </c>
      <c r="C1115" s="11">
        <f t="shared" si="70"/>
        <v>13982.754331296837</v>
      </c>
      <c r="D1115" s="11">
        <f t="shared" si="71"/>
        <v>-3428.8353651629213</v>
      </c>
      <c r="E1115" s="11">
        <f t="shared" si="72"/>
        <v>-8580.0328878034161</v>
      </c>
      <c r="F1115" s="11">
        <f>Speed_Calc!B$5*E1115</f>
        <v>-7722.0295990230743</v>
      </c>
      <c r="G1115" s="15">
        <f>Speed_Calc!G$3+Speed_Calc!G$5*A1115^2</f>
        <v>66.68606410000001</v>
      </c>
      <c r="H1115" s="7">
        <f>(F1115-G1115)/Speed_Calc!G$2*9.806</f>
        <v>-56.574922809322118</v>
      </c>
      <c r="I1115" s="4">
        <f t="shared" si="73"/>
        <v>29.972222222222221</v>
      </c>
    </row>
    <row r="1116" spans="1:9" x14ac:dyDescent="0.2">
      <c r="A1116" s="11">
        <v>108</v>
      </c>
      <c r="B1116" s="15">
        <v>3.133</v>
      </c>
      <c r="C1116" s="11">
        <f t="shared" si="70"/>
        <v>13995.71332511639</v>
      </c>
      <c r="D1116" s="11">
        <f t="shared" si="71"/>
        <v>-3455.9678941441571</v>
      </c>
      <c r="E1116" s="11">
        <f t="shared" si="72"/>
        <v>-8639.9197353603904</v>
      </c>
      <c r="F1116" s="11">
        <f>Speed_Calc!B$5*E1116</f>
        <v>-7775.9277618243514</v>
      </c>
      <c r="G1116" s="15">
        <f>Speed_Calc!G$3+Speed_Calc!G$5*A1116^2</f>
        <v>66.772639999999996</v>
      </c>
      <c r="H1116" s="7">
        <f>(F1116-G1116)/Speed_Calc!G$2*9.806</f>
        <v>-56.96705195577006</v>
      </c>
      <c r="I1116" s="4">
        <f t="shared" si="73"/>
        <v>30</v>
      </c>
    </row>
    <row r="1117" spans="1:9" x14ac:dyDescent="0.2">
      <c r="A1117" s="11">
        <v>108.1</v>
      </c>
      <c r="B1117" s="15">
        <v>3.133</v>
      </c>
      <c r="C1117" s="11">
        <f t="shared" si="70"/>
        <v>14008.67231893594</v>
      </c>
      <c r="D1117" s="11">
        <f t="shared" si="71"/>
        <v>-3483.2526733659502</v>
      </c>
      <c r="E1117" s="11">
        <f t="shared" si="72"/>
        <v>-8700.0760574357701</v>
      </c>
      <c r="F1117" s="11">
        <f>Speed_Calc!B$5*E1117</f>
        <v>-7830.0684516921929</v>
      </c>
      <c r="G1117" s="15">
        <f>Speed_Calc!G$3+Speed_Calc!G$5*A1117^2</f>
        <v>66.859296099999995</v>
      </c>
      <c r="H1117" s="7">
        <f>(F1117-G1117)/Speed_Calc!G$2*9.806</f>
        <v>-57.360943329518697</v>
      </c>
      <c r="I1117" s="4">
        <f t="shared" si="73"/>
        <v>30.027777777777775</v>
      </c>
    </row>
    <row r="1118" spans="1:9" x14ac:dyDescent="0.2">
      <c r="A1118" s="11">
        <v>108.2</v>
      </c>
      <c r="B1118" s="15">
        <v>3.133</v>
      </c>
      <c r="C1118" s="11">
        <f t="shared" si="70"/>
        <v>14021.631312755493</v>
      </c>
      <c r="D1118" s="11">
        <f t="shared" si="71"/>
        <v>-3510.6903157361216</v>
      </c>
      <c r="E1118" s="11">
        <f t="shared" si="72"/>
        <v>-8760.5026363101006</v>
      </c>
      <c r="F1118" s="11">
        <f>Speed_Calc!B$5*E1118</f>
        <v>-7884.4523726790903</v>
      </c>
      <c r="G1118" s="15">
        <f>Speed_Calc!G$3+Speed_Calc!G$5*A1118^2</f>
        <v>66.946032399999993</v>
      </c>
      <c r="H1118" s="7">
        <f>(F1118-G1118)/Speed_Calc!G$2*9.806</f>
        <v>-57.756602044596704</v>
      </c>
      <c r="I1118" s="4">
        <f t="shared" si="73"/>
        <v>30.055555555555557</v>
      </c>
    </row>
    <row r="1119" spans="1:9" x14ac:dyDescent="0.2">
      <c r="A1119" s="11">
        <v>108.3</v>
      </c>
      <c r="B1119" s="15">
        <v>3.133</v>
      </c>
      <c r="C1119" s="11">
        <f t="shared" si="70"/>
        <v>14034.590306575043</v>
      </c>
      <c r="D1119" s="11">
        <f t="shared" si="71"/>
        <v>-3538.2814357666334</v>
      </c>
      <c r="E1119" s="11">
        <f t="shared" si="72"/>
        <v>-8821.2002553738821</v>
      </c>
      <c r="F1119" s="11">
        <f>Speed_Calc!B$5*E1119</f>
        <v>-7939.0802298364943</v>
      </c>
      <c r="G1119" s="15">
        <f>Speed_Calc!G$3+Speed_Calc!G$5*A1119^2</f>
        <v>67.032848899999991</v>
      </c>
      <c r="H1119" s="7">
        <f>(F1119-G1119)/Speed_Calc!G$2*9.806</f>
        <v>-58.15403322228893</v>
      </c>
      <c r="I1119" s="4">
        <f t="shared" si="73"/>
        <v>30.083333333333332</v>
      </c>
    </row>
    <row r="1120" spans="1:9" x14ac:dyDescent="0.2">
      <c r="A1120" s="11">
        <v>108.4</v>
      </c>
      <c r="B1120" s="15">
        <v>3.133</v>
      </c>
      <c r="C1120" s="11">
        <f t="shared" si="70"/>
        <v>14047.549300394598</v>
      </c>
      <c r="D1120" s="11">
        <f t="shared" si="71"/>
        <v>-3566.0266495757387</v>
      </c>
      <c r="E1120" s="11">
        <f t="shared" si="72"/>
        <v>-8882.1696991277622</v>
      </c>
      <c r="F1120" s="11">
        <f>Speed_Calc!B$5*E1120</f>
        <v>-7993.952729214986</v>
      </c>
      <c r="G1120" s="15">
        <f>Speed_Calc!G$3+Speed_Calc!G$5*A1120^2</f>
        <v>67.119745600000002</v>
      </c>
      <c r="H1120" s="7">
        <f>(F1120-G1120)/Speed_Calc!G$2*9.806</f>
        <v>-58.55324199113759</v>
      </c>
      <c r="I1120" s="4">
        <f t="shared" si="73"/>
        <v>30.111111111111111</v>
      </c>
    </row>
    <row r="1121" spans="1:9" x14ac:dyDescent="0.2">
      <c r="A1121" s="11">
        <v>108.5</v>
      </c>
      <c r="B1121" s="15">
        <v>3.133</v>
      </c>
      <c r="C1121" s="11">
        <f t="shared" si="70"/>
        <v>14060.508294214151</v>
      </c>
      <c r="D1121" s="11">
        <f t="shared" si="71"/>
        <v>-3593.9265748899106</v>
      </c>
      <c r="E1121" s="11">
        <f t="shared" si="72"/>
        <v>-8943.4117531822631</v>
      </c>
      <c r="F1121" s="11">
        <f>Speed_Calc!B$5*E1121</f>
        <v>-8049.0705778640367</v>
      </c>
      <c r="G1121" s="15">
        <f>Speed_Calc!G$3+Speed_Calc!G$5*A1121^2</f>
        <v>67.206722499999998</v>
      </c>
      <c r="H1121" s="7">
        <f>(F1121-G1121)/Speed_Calc!G$2*9.806</f>
        <v>-58.954233486940545</v>
      </c>
      <c r="I1121" s="4">
        <f t="shared" si="73"/>
        <v>30.138888888888889</v>
      </c>
    </row>
    <row r="1122" spans="1:9" x14ac:dyDescent="0.2">
      <c r="A1122" s="11">
        <v>108.6</v>
      </c>
      <c r="B1122" s="15">
        <v>3.133</v>
      </c>
      <c r="C1122" s="11">
        <f t="shared" si="70"/>
        <v>14073.4672880337</v>
      </c>
      <c r="D1122" s="11">
        <f t="shared" si="71"/>
        <v>-3621.9818310459782</v>
      </c>
      <c r="E1122" s="11">
        <f t="shared" si="72"/>
        <v>-9004.927204257956</v>
      </c>
      <c r="F1122" s="11">
        <f>Speed_Calc!B$5*E1122</f>
        <v>-8104.4344838321604</v>
      </c>
      <c r="G1122" s="15">
        <f>Speed_Calc!G$3+Speed_Calc!G$5*A1122^2</f>
        <v>67.293779599999993</v>
      </c>
      <c r="H1122" s="7">
        <f>(F1122-G1122)/Speed_Calc!G$2*9.806</f>
        <v>-59.357012852752405</v>
      </c>
      <c r="I1122" s="4">
        <f t="shared" si="73"/>
        <v>30.166666666666664</v>
      </c>
    </row>
    <row r="1123" spans="1:9" x14ac:dyDescent="0.2">
      <c r="A1123" s="11">
        <v>108.7</v>
      </c>
      <c r="B1123" s="15">
        <v>3.133</v>
      </c>
      <c r="C1123" s="11">
        <f t="shared" si="70"/>
        <v>14086.426281853253</v>
      </c>
      <c r="D1123" s="11">
        <f t="shared" si="71"/>
        <v>-3650.1930389931799</v>
      </c>
      <c r="E1123" s="11">
        <f t="shared" si="72"/>
        <v>-9066.7168401854506</v>
      </c>
      <c r="F1123" s="11">
        <f>Speed_Calc!B$5*E1123</f>
        <v>-8160.0451561669061</v>
      </c>
      <c r="G1123" s="15">
        <f>Speed_Calc!G$3+Speed_Calc!G$5*A1123^2</f>
        <v>67.380916899999988</v>
      </c>
      <c r="H1123" s="7">
        <f>(F1123-G1123)/Speed_Calc!G$2*9.806</f>
        <v>-59.761585238884507</v>
      </c>
      <c r="I1123" s="4">
        <f t="shared" si="73"/>
        <v>30.194444444444443</v>
      </c>
    </row>
    <row r="1124" spans="1:9" x14ac:dyDescent="0.2">
      <c r="A1124" s="11">
        <v>108.8</v>
      </c>
      <c r="B1124" s="15">
        <v>3.133</v>
      </c>
      <c r="C1124" s="11">
        <f t="shared" si="70"/>
        <v>14099.385275672803</v>
      </c>
      <c r="D1124" s="11">
        <f t="shared" si="71"/>
        <v>-3678.5608212951797</v>
      </c>
      <c r="E1124" s="11">
        <f t="shared" si="72"/>
        <v>-9128.7814499053184</v>
      </c>
      <c r="F1124" s="11">
        <f>Speed_Calc!B$5*E1124</f>
        <v>-8215.9033049147874</v>
      </c>
      <c r="G1124" s="15">
        <f>Speed_Calc!G$3+Speed_Calc!G$5*A1124^2</f>
        <v>67.468134399999997</v>
      </c>
      <c r="H1124" s="7">
        <f>(F1124-G1124)/Speed_Calc!G$2*9.806</f>
        <v>-60.167955802904302</v>
      </c>
      <c r="I1124" s="4">
        <f t="shared" si="73"/>
        <v>30.222222222222221</v>
      </c>
    </row>
    <row r="1125" spans="1:9" x14ac:dyDescent="0.2">
      <c r="A1125" s="11">
        <v>108.9</v>
      </c>
      <c r="B1125" s="15">
        <v>3.133</v>
      </c>
      <c r="C1125" s="11">
        <f t="shared" si="70"/>
        <v>14112.344269492356</v>
      </c>
      <c r="D1125" s="11">
        <f t="shared" si="71"/>
        <v>-3707.0858021321751</v>
      </c>
      <c r="E1125" s="11">
        <f t="shared" si="72"/>
        <v>-9191.1218234682055</v>
      </c>
      <c r="F1125" s="11">
        <f>Speed_Calc!B$5*E1125</f>
        <v>-8272.0096411213854</v>
      </c>
      <c r="G1125" s="15">
        <f>Speed_Calc!G$3+Speed_Calc!G$5*A1125^2</f>
        <v>67.55543209999999</v>
      </c>
      <c r="H1125" s="7">
        <f>(F1125-G1125)/Speed_Calc!G$2*9.806</f>
        <v>-60.57612970963622</v>
      </c>
      <c r="I1125" s="4">
        <f t="shared" si="73"/>
        <v>30.25</v>
      </c>
    </row>
    <row r="1126" spans="1:9" x14ac:dyDescent="0.2">
      <c r="A1126" s="11">
        <v>109</v>
      </c>
      <c r="B1126" s="15">
        <v>3.133</v>
      </c>
      <c r="C1126" s="11">
        <f t="shared" si="70"/>
        <v>14125.303263311911</v>
      </c>
      <c r="D1126" s="11">
        <f t="shared" si="71"/>
        <v>-3735.768607302889</v>
      </c>
      <c r="E1126" s="11">
        <f t="shared" si="72"/>
        <v>-9253.7387520346765</v>
      </c>
      <c r="F1126" s="11">
        <f>Speed_Calc!B$5*E1126</f>
        <v>-8328.3648768312087</v>
      </c>
      <c r="G1126" s="15">
        <f>Speed_Calc!G$3+Speed_Calc!G$5*A1126^2</f>
        <v>67.642809999999997</v>
      </c>
      <c r="H1126" s="7">
        <f>(F1126-G1126)/Speed_Calc!G$2*9.806</f>
        <v>-60.98611213116061</v>
      </c>
      <c r="I1126" s="4">
        <f t="shared" si="73"/>
        <v>30.277777777777779</v>
      </c>
    </row>
    <row r="1127" spans="1:9" x14ac:dyDescent="0.2">
      <c r="A1127" s="11">
        <v>109.1</v>
      </c>
      <c r="B1127" s="15">
        <v>3.133</v>
      </c>
      <c r="C1127" s="11">
        <f t="shared" si="70"/>
        <v>14138.262257131464</v>
      </c>
      <c r="D1127" s="11">
        <f t="shared" si="71"/>
        <v>-3764.6098642266925</v>
      </c>
      <c r="E1127" s="11">
        <f t="shared" si="72"/>
        <v>-9316.6330278754067</v>
      </c>
      <c r="F1127" s="11">
        <f>Speed_Calc!B$5*E1127</f>
        <v>-8384.9697250878671</v>
      </c>
      <c r="G1127" s="15">
        <f>Speed_Calc!G$3+Speed_Calc!G$5*A1127^2</f>
        <v>67.730268099999989</v>
      </c>
      <c r="H1127" s="7">
        <f>(F1127-G1127)/Speed_Calc!G$2*9.806</f>
        <v>-61.397908246814978</v>
      </c>
      <c r="I1127" s="4">
        <f t="shared" si="73"/>
        <v>30.305555555555554</v>
      </c>
    </row>
    <row r="1128" spans="1:9" x14ac:dyDescent="0.2">
      <c r="A1128" s="11">
        <v>109.2</v>
      </c>
      <c r="B1128" s="15">
        <v>3.133</v>
      </c>
      <c r="C1128" s="11">
        <f t="shared" si="70"/>
        <v>14151.221250951014</v>
      </c>
      <c r="D1128" s="11">
        <f t="shared" si="71"/>
        <v>-3793.6102019455957</v>
      </c>
      <c r="E1128" s="11">
        <f t="shared" si="72"/>
        <v>-9379.8054443709789</v>
      </c>
      <c r="F1128" s="11">
        <f>Speed_Calc!B$5*E1128</f>
        <v>-8441.8248999338812</v>
      </c>
      <c r="G1128" s="15">
        <f>Speed_Calc!G$3+Speed_Calc!G$5*A1128^2</f>
        <v>67.817806399999995</v>
      </c>
      <c r="H1128" s="7">
        <f>(F1128-G1128)/Speed_Calc!G$2*9.806</f>
        <v>-61.811523243192617</v>
      </c>
      <c r="I1128" s="4">
        <f t="shared" si="73"/>
        <v>30.333333333333332</v>
      </c>
    </row>
    <row r="1129" spans="1:9" x14ac:dyDescent="0.2">
      <c r="A1129" s="11">
        <v>109.3</v>
      </c>
      <c r="B1129" s="15">
        <v>3.133</v>
      </c>
      <c r="C1129" s="11">
        <f t="shared" si="70"/>
        <v>14164.180244770567</v>
      </c>
      <c r="D1129" s="11">
        <f t="shared" si="71"/>
        <v>-3822.7702511263628</v>
      </c>
      <c r="E1129" s="11">
        <f t="shared" si="72"/>
        <v>-9443.2567960120614</v>
      </c>
      <c r="F1129" s="11">
        <f>Speed_Calc!B$5*E1129</f>
        <v>-8498.9311164108549</v>
      </c>
      <c r="G1129" s="15">
        <f>Speed_Calc!G$3+Speed_Calc!G$5*A1129^2</f>
        <v>67.905424899999986</v>
      </c>
      <c r="H1129" s="7">
        <f>(F1129-G1129)/Speed_Calc!G$2*9.806</f>
        <v>-62.226962314143876</v>
      </c>
      <c r="I1129" s="4">
        <f t="shared" si="73"/>
        <v>30.361111111111111</v>
      </c>
    </row>
    <row r="1130" spans="1:9" x14ac:dyDescent="0.2">
      <c r="A1130" s="11">
        <v>109.4</v>
      </c>
      <c r="B1130" s="15">
        <v>3.133</v>
      </c>
      <c r="C1130" s="11">
        <f t="shared" si="70"/>
        <v>14177.139238590116</v>
      </c>
      <c r="D1130" s="11">
        <f t="shared" si="71"/>
        <v>-3852.090644062509</v>
      </c>
      <c r="E1130" s="11">
        <f t="shared" si="72"/>
        <v>-9506.9878783992463</v>
      </c>
      <c r="F1130" s="11">
        <f>Speed_Calc!B$5*E1130</f>
        <v>-8556.2890905593213</v>
      </c>
      <c r="G1130" s="15">
        <f>Speed_Calc!G$3+Speed_Calc!G$5*A1130^2</f>
        <v>67.99312359999999</v>
      </c>
      <c r="H1130" s="7">
        <f>(F1130-G1130)/Speed_Calc!G$2*9.806</f>
        <v>-62.64423066077503</v>
      </c>
      <c r="I1130" s="4">
        <f t="shared" si="73"/>
        <v>30.388888888888889</v>
      </c>
    </row>
    <row r="1131" spans="1:9" x14ac:dyDescent="0.2">
      <c r="A1131" s="11">
        <v>109.5</v>
      </c>
      <c r="B1131" s="15">
        <v>3.133</v>
      </c>
      <c r="C1131" s="11">
        <f t="shared" si="70"/>
        <v>14190.098232409669</v>
      </c>
      <c r="D1131" s="11">
        <f t="shared" si="71"/>
        <v>-3881.5720146764397</v>
      </c>
      <c r="E1131" s="11">
        <f t="shared" si="72"/>
        <v>-9570.9994882432784</v>
      </c>
      <c r="F1131" s="11">
        <f>Speed_Calc!B$5*E1131</f>
        <v>-8613.8995394189515</v>
      </c>
      <c r="G1131" s="15">
        <f>Speed_Calc!G$3+Speed_Calc!G$5*A1131^2</f>
        <v>68.080902499999993</v>
      </c>
      <c r="H1131" s="7">
        <f>(F1131-G1131)/Speed_Calc!G$2*9.806</f>
        <v>-63.063333491449796</v>
      </c>
      <c r="I1131" s="4">
        <f t="shared" si="73"/>
        <v>30.416666666666664</v>
      </c>
    </row>
    <row r="1132" spans="1:9" x14ac:dyDescent="0.2">
      <c r="A1132" s="11">
        <v>109.6</v>
      </c>
      <c r="B1132" s="15">
        <v>3.133</v>
      </c>
      <c r="C1132" s="11">
        <f t="shared" si="70"/>
        <v>14203.057226229221</v>
      </c>
      <c r="D1132" s="11">
        <f t="shared" si="71"/>
        <v>-3911.2149985214041</v>
      </c>
      <c r="E1132" s="11">
        <f t="shared" si="72"/>
        <v>-9635.2924233647755</v>
      </c>
      <c r="F1132" s="11">
        <f>Speed_Calc!B$5*E1132</f>
        <v>-8671.7631810282983</v>
      </c>
      <c r="G1132" s="15">
        <f>Speed_Calc!G$3+Speed_Calc!G$5*A1132^2</f>
        <v>68.168761599999982</v>
      </c>
      <c r="H1132" s="7">
        <f>(F1132-G1132)/Speed_Calc!G$2*9.806</f>
        <v>-63.484276021787466</v>
      </c>
      <c r="I1132" s="4">
        <f t="shared" si="73"/>
        <v>30.444444444444443</v>
      </c>
    </row>
    <row r="1133" spans="1:9" x14ac:dyDescent="0.2">
      <c r="A1133" s="11">
        <v>109.7</v>
      </c>
      <c r="B1133" s="15">
        <v>3.133</v>
      </c>
      <c r="C1133" s="11">
        <f t="shared" si="70"/>
        <v>14216.016220048778</v>
      </c>
      <c r="D1133" s="11">
        <f t="shared" si="71"/>
        <v>-3941.0202327836305</v>
      </c>
      <c r="E1133" s="11">
        <f t="shared" si="72"/>
        <v>-9699.8674826944407</v>
      </c>
      <c r="F1133" s="11">
        <f>Speed_Calc!B$5*E1133</f>
        <v>-8729.8807344249963</v>
      </c>
      <c r="G1133" s="15">
        <f>Speed_Calc!G$3+Speed_Calc!G$5*A1133^2</f>
        <v>68.256700899999998</v>
      </c>
      <c r="H1133" s="7">
        <f>(F1133-G1133)/Speed_Calc!G$2*9.806</f>
        <v>-63.907063474664369</v>
      </c>
      <c r="I1133" s="4">
        <f t="shared" si="73"/>
        <v>30.472222222222221</v>
      </c>
    </row>
    <row r="1134" spans="1:9" x14ac:dyDescent="0.2">
      <c r="A1134" s="11">
        <v>109.8</v>
      </c>
      <c r="B1134" s="15">
        <v>3.133</v>
      </c>
      <c r="C1134" s="11">
        <f t="shared" si="70"/>
        <v>14228.975213868327</v>
      </c>
      <c r="D1134" s="11">
        <f t="shared" si="71"/>
        <v>-3970.9883562843061</v>
      </c>
      <c r="E1134" s="11">
        <f t="shared" si="72"/>
        <v>-9764.7254662728828</v>
      </c>
      <c r="F1134" s="11">
        <f>Speed_Calc!B$5*E1134</f>
        <v>-8788.2529196455944</v>
      </c>
      <c r="G1134" s="15">
        <f>Speed_Calc!G$3+Speed_Calc!G$5*A1134^2</f>
        <v>68.3447204</v>
      </c>
      <c r="H1134" s="7">
        <f>(F1134-G1134)/Speed_Calc!G$2*9.806</f>
        <v>-64.331701080212667</v>
      </c>
      <c r="I1134" s="4">
        <f t="shared" si="73"/>
        <v>30.5</v>
      </c>
    </row>
    <row r="1135" spans="1:9" x14ac:dyDescent="0.2">
      <c r="A1135" s="11">
        <v>109.9</v>
      </c>
      <c r="B1135" s="15">
        <v>3.133</v>
      </c>
      <c r="C1135" s="11">
        <f t="shared" si="70"/>
        <v>14241.93420768788</v>
      </c>
      <c r="D1135" s="11">
        <f t="shared" si="71"/>
        <v>-4001.1200094817541</v>
      </c>
      <c r="E1135" s="11">
        <f t="shared" si="72"/>
        <v>-9829.8671752508981</v>
      </c>
      <c r="F1135" s="11">
        <f>Speed_Calc!B$5*E1135</f>
        <v>-8846.8804577258088</v>
      </c>
      <c r="G1135" s="15">
        <f>Speed_Calc!G$3+Speed_Calc!G$5*A1135^2</f>
        <v>68.432820100000001</v>
      </c>
      <c r="H1135" s="7">
        <f>(F1135-G1135)/Speed_Calc!G$2*9.806</f>
        <v>-64.758194075822132</v>
      </c>
      <c r="I1135" s="4">
        <f t="shared" si="73"/>
        <v>30.527777777777779</v>
      </c>
    </row>
    <row r="1136" spans="1:9" x14ac:dyDescent="0.2">
      <c r="A1136" s="11">
        <v>110</v>
      </c>
      <c r="B1136" s="15">
        <v>3.133</v>
      </c>
      <c r="C1136" s="11">
        <f t="shared" si="70"/>
        <v>14254.89320150743</v>
      </c>
      <c r="D1136" s="11">
        <f t="shared" si="71"/>
        <v>-4031.4158344733264</v>
      </c>
      <c r="E1136" s="11">
        <f t="shared" si="72"/>
        <v>-9895.2934118890753</v>
      </c>
      <c r="F1136" s="11">
        <f>Speed_Calc!B$5*E1136</f>
        <v>-8905.7640707001683</v>
      </c>
      <c r="G1136" s="15">
        <f>Speed_Calc!G$3+Speed_Calc!G$5*A1136^2</f>
        <v>68.520999999999987</v>
      </c>
      <c r="H1136" s="7">
        <f>(F1136-G1136)/Speed_Calc!G$2*9.806</f>
        <v>-65.186547706137659</v>
      </c>
      <c r="I1136" s="4">
        <f t="shared" si="73"/>
        <v>30.555555555555554</v>
      </c>
    </row>
    <row r="1137" spans="1:9" x14ac:dyDescent="0.2">
      <c r="A1137" s="11">
        <v>110.1</v>
      </c>
      <c r="B1137" s="15">
        <v>3.133</v>
      </c>
      <c r="C1137" s="11">
        <f t="shared" si="70"/>
        <v>14267.852195326983</v>
      </c>
      <c r="D1137" s="11">
        <f t="shared" si="71"/>
        <v>-4061.8764749976199</v>
      </c>
      <c r="E1137" s="11">
        <f t="shared" si="72"/>
        <v>-9961.0049795581999</v>
      </c>
      <c r="F1137" s="11">
        <f>Speed_Calc!B$5*E1137</f>
        <v>-8964.9044816023797</v>
      </c>
      <c r="G1137" s="15">
        <f>Speed_Calc!G$3+Speed_Calc!G$5*A1137^2</f>
        <v>68.6092601</v>
      </c>
      <c r="H1137" s="7">
        <f>(F1137-G1137)/Speed_Calc!G$2*9.806</f>
        <v>-65.616767223061871</v>
      </c>
      <c r="I1137" s="4">
        <f t="shared" si="73"/>
        <v>30.583333333333332</v>
      </c>
    </row>
    <row r="1138" spans="1:9" x14ac:dyDescent="0.2">
      <c r="A1138" s="11">
        <v>110.2</v>
      </c>
      <c r="B1138" s="15">
        <v>3.133</v>
      </c>
      <c r="C1138" s="11">
        <f t="shared" si="70"/>
        <v>14280.811189146538</v>
      </c>
      <c r="D1138" s="11">
        <f t="shared" si="71"/>
        <v>-4092.502576436445</v>
      </c>
      <c r="E1138" s="11">
        <f t="shared" si="72"/>
        <v>-10027.002682739019</v>
      </c>
      <c r="F1138" s="11">
        <f>Speed_Calc!B$5*E1138</f>
        <v>-9024.3024144651172</v>
      </c>
      <c r="G1138" s="15">
        <f>Speed_Calc!G$3+Speed_Calc!G$5*A1138^2</f>
        <v>68.697600399999999</v>
      </c>
      <c r="H1138" s="7">
        <f>(F1138-G1138)/Speed_Calc!G$2*9.806</f>
        <v>-66.048857885753591</v>
      </c>
      <c r="I1138" s="4">
        <f t="shared" si="73"/>
        <v>30.611111111111111</v>
      </c>
    </row>
    <row r="1139" spans="1:9" x14ac:dyDescent="0.2">
      <c r="A1139" s="11">
        <v>110.3</v>
      </c>
      <c r="B1139" s="15">
        <v>3.133</v>
      </c>
      <c r="C1139" s="11">
        <f t="shared" si="70"/>
        <v>14293.770182966087</v>
      </c>
      <c r="D1139" s="11">
        <f t="shared" si="71"/>
        <v>-4123.29478581682</v>
      </c>
      <c r="E1139" s="11">
        <f t="shared" si="72"/>
        <v>-10093.287327022135</v>
      </c>
      <c r="F1139" s="11">
        <f>Speed_Calc!B$5*E1139</f>
        <v>-9083.9585943199218</v>
      </c>
      <c r="G1139" s="15">
        <f>Speed_Calc!G$3+Speed_Calc!G$5*A1139^2</f>
        <v>68.786020899999997</v>
      </c>
      <c r="H1139" s="7">
        <f>(F1139-G1139)/Speed_Calc!G$2*9.806</f>
        <v>-66.48282496062707</v>
      </c>
      <c r="I1139" s="4">
        <f t="shared" si="73"/>
        <v>30.638888888888886</v>
      </c>
    </row>
    <row r="1140" spans="1:9" x14ac:dyDescent="0.2">
      <c r="A1140" s="11">
        <v>110.4</v>
      </c>
      <c r="B1140" s="15">
        <v>3.133</v>
      </c>
      <c r="C1140" s="11">
        <f t="shared" si="70"/>
        <v>14306.729176785644</v>
      </c>
      <c r="D1140" s="11">
        <f t="shared" si="71"/>
        <v>-4154.2537518132231</v>
      </c>
      <c r="E1140" s="11">
        <f t="shared" si="72"/>
        <v>-10159.859719108425</v>
      </c>
      <c r="F1140" s="11">
        <f>Speed_Calc!B$5*E1140</f>
        <v>-9143.8737471975819</v>
      </c>
      <c r="G1140" s="15">
        <f>Speed_Calc!G$3+Speed_Calc!G$5*A1140^2</f>
        <v>68.874521600000008</v>
      </c>
      <c r="H1140" s="7">
        <f>(F1140-G1140)/Speed_Calc!G$2*9.806</f>
        <v>-66.918673721354878</v>
      </c>
      <c r="I1140" s="4">
        <f t="shared" si="73"/>
        <v>30.666666666666668</v>
      </c>
    </row>
    <row r="1141" spans="1:9" x14ac:dyDescent="0.2">
      <c r="A1141" s="11">
        <v>110.5</v>
      </c>
      <c r="B1141" s="15">
        <v>3.133</v>
      </c>
      <c r="C1141" s="11">
        <f t="shared" si="70"/>
        <v>14319.688170605194</v>
      </c>
      <c r="D1141" s="11">
        <f t="shared" si="71"/>
        <v>-4185.3801247494193</v>
      </c>
      <c r="E1141" s="11">
        <f t="shared" si="72"/>
        <v>-10226.720666808536</v>
      </c>
      <c r="F1141" s="11">
        <f>Speed_Calc!B$5*E1141</f>
        <v>-9204.0486001276822</v>
      </c>
      <c r="G1141" s="15">
        <f>Speed_Calc!G$3+Speed_Calc!G$5*A1141^2</f>
        <v>68.963102499999991</v>
      </c>
      <c r="H1141" s="7">
        <f>(F1141-G1141)/Speed_Calc!G$2*9.806</f>
        <v>-67.356409448864468</v>
      </c>
      <c r="I1141" s="4">
        <f t="shared" si="73"/>
        <v>30.694444444444443</v>
      </c>
    </row>
    <row r="1142" spans="1:9" x14ac:dyDescent="0.2">
      <c r="A1142" s="11">
        <v>110.6</v>
      </c>
      <c r="B1142" s="15">
        <v>3.133</v>
      </c>
      <c r="C1142" s="11">
        <f t="shared" si="70"/>
        <v>14332.647164424743</v>
      </c>
      <c r="D1142" s="11">
        <f t="shared" si="71"/>
        <v>-4216.6745566006684</v>
      </c>
      <c r="E1142" s="11">
        <f t="shared" si="72"/>
        <v>-10293.870979043224</v>
      </c>
      <c r="F1142" s="11">
        <f>Speed_Calc!B$5*E1142</f>
        <v>-9264.4838811389018</v>
      </c>
      <c r="G1142" s="15">
        <f>Speed_Calc!G$3+Speed_Calc!G$5*A1142^2</f>
        <v>69.051763599999987</v>
      </c>
      <c r="H1142" s="7">
        <f>(F1142-G1142)/Speed_Calc!G$2*9.806</f>
        <v>-67.796037431340494</v>
      </c>
      <c r="I1142" s="4">
        <f t="shared" si="73"/>
        <v>30.722222222222221</v>
      </c>
    </row>
    <row r="1143" spans="1:9" x14ac:dyDescent="0.2">
      <c r="A1143" s="11">
        <v>110.7</v>
      </c>
      <c r="B1143" s="15">
        <v>3.133</v>
      </c>
      <c r="C1143" s="11">
        <f t="shared" si="70"/>
        <v>14345.606158244296</v>
      </c>
      <c r="D1143" s="11">
        <f t="shared" si="71"/>
        <v>-4248.1377009957614</v>
      </c>
      <c r="E1143" s="11">
        <f t="shared" si="72"/>
        <v>-10361.311465843322</v>
      </c>
      <c r="F1143" s="11">
        <f>Speed_Calc!B$5*E1143</f>
        <v>-9325.1803192589905</v>
      </c>
      <c r="G1143" s="15">
        <f>Speed_Calc!G$3+Speed_Calc!G$5*A1143^2</f>
        <v>69.140504899999996</v>
      </c>
      <c r="H1143" s="7">
        <f>(F1143-G1143)/Speed_Calc!G$2*9.806</f>
        <v>-68.237562964224495</v>
      </c>
      <c r="I1143" s="4">
        <f t="shared" si="73"/>
        <v>30.75</v>
      </c>
    </row>
    <row r="1144" spans="1:9" x14ac:dyDescent="0.2">
      <c r="A1144" s="11">
        <v>110.8</v>
      </c>
      <c r="B1144" s="15">
        <v>3.133</v>
      </c>
      <c r="C1144" s="11">
        <f t="shared" si="70"/>
        <v>14358.565152063848</v>
      </c>
      <c r="D1144" s="11">
        <f t="shared" si="71"/>
        <v>-4279.7702132189988</v>
      </c>
      <c r="E1144" s="11">
        <f t="shared" si="72"/>
        <v>-10429.042938349547</v>
      </c>
      <c r="F1144" s="11">
        <f>Speed_Calc!B$5*E1144</f>
        <v>-9386.1386445145927</v>
      </c>
      <c r="G1144" s="15">
        <f>Speed_Calc!G$3+Speed_Calc!G$5*A1144^2</f>
        <v>69.229326399999991</v>
      </c>
      <c r="H1144" s="7">
        <f>(F1144-G1144)/Speed_Calc!G$2*9.806</f>
        <v>-68.680991350213688</v>
      </c>
      <c r="I1144" s="4">
        <f t="shared" si="73"/>
        <v>30.777777777777775</v>
      </c>
    </row>
    <row r="1145" spans="1:9" x14ac:dyDescent="0.2">
      <c r="A1145" s="11">
        <v>110.9</v>
      </c>
      <c r="B1145" s="15">
        <v>3.133</v>
      </c>
      <c r="C1145" s="11">
        <f t="shared" si="70"/>
        <v>14371.524145883401</v>
      </c>
      <c r="D1145" s="11">
        <f t="shared" si="71"/>
        <v>-4311.5727502123118</v>
      </c>
      <c r="E1145" s="11">
        <f t="shared" si="72"/>
        <v>-10497.066208812663</v>
      </c>
      <c r="F1145" s="11">
        <f>Speed_Calc!B$5*E1145</f>
        <v>-9447.3595879313962</v>
      </c>
      <c r="G1145" s="15">
        <f>Speed_Calc!G$3+Speed_Calc!G$5*A1145^2</f>
        <v>69.318228099999999</v>
      </c>
      <c r="H1145" s="7">
        <f>(F1145-G1145)/Speed_Calc!G$2*9.806</f>
        <v>-69.126327899262122</v>
      </c>
      <c r="I1145" s="4">
        <f t="shared" si="73"/>
        <v>30.805555555555557</v>
      </c>
    </row>
    <row r="1146" spans="1:9" x14ac:dyDescent="0.2">
      <c r="A1146" s="11">
        <v>111</v>
      </c>
      <c r="B1146" s="15">
        <v>3.133</v>
      </c>
      <c r="C1146" s="11">
        <f t="shared" si="70"/>
        <v>14384.483139702952</v>
      </c>
      <c r="D1146" s="11">
        <f t="shared" si="71"/>
        <v>-4343.5459705773155</v>
      </c>
      <c r="E1146" s="11">
        <f t="shared" si="72"/>
        <v>-10565.382090593474</v>
      </c>
      <c r="F1146" s="11">
        <f>Speed_Calc!B$5*E1146</f>
        <v>-9508.8438815341269</v>
      </c>
      <c r="G1146" s="15">
        <f>Speed_Calc!G$3+Speed_Calc!G$5*A1146^2</f>
        <v>69.407209999999992</v>
      </c>
      <c r="H1146" s="7">
        <f>(F1146-G1146)/Speed_Calc!G$2*9.806</f>
        <v>-69.573577928580463</v>
      </c>
      <c r="I1146" s="4">
        <f t="shared" si="73"/>
        <v>30.833333333333332</v>
      </c>
    </row>
    <row r="1147" spans="1:9" x14ac:dyDescent="0.2">
      <c r="A1147" s="11">
        <v>111.1</v>
      </c>
      <c r="B1147" s="15">
        <v>3.133</v>
      </c>
      <c r="C1147" s="11">
        <f t="shared" si="70"/>
        <v>14397.442133522503</v>
      </c>
      <c r="D1147" s="11">
        <f t="shared" si="71"/>
        <v>-4375.6905345773657</v>
      </c>
      <c r="E1147" s="11">
        <f t="shared" si="72"/>
        <v>-10633.991398162818</v>
      </c>
      <c r="F1147" s="11">
        <f>Speed_Calc!B$5*E1147</f>
        <v>-9570.5922583465363</v>
      </c>
      <c r="G1147" s="15">
        <f>Speed_Calc!G$3+Speed_Calc!G$5*A1147^2</f>
        <v>69.496272099999999</v>
      </c>
      <c r="H1147" s="7">
        <f>(F1147-G1147)/Speed_Calc!G$2*9.806</f>
        <v>-70.022746762636089</v>
      </c>
      <c r="I1147" s="4">
        <f t="shared" si="73"/>
        <v>30.861111111111107</v>
      </c>
    </row>
    <row r="1148" spans="1:9" x14ac:dyDescent="0.2">
      <c r="A1148" s="11">
        <v>111.2</v>
      </c>
      <c r="B1148" s="15">
        <v>3.133</v>
      </c>
      <c r="C1148" s="11">
        <f t="shared" si="70"/>
        <v>14410.401127342055</v>
      </c>
      <c r="D1148" s="11">
        <f t="shared" si="71"/>
        <v>-4408.0071041395468</v>
      </c>
      <c r="E1148" s="11">
        <f t="shared" si="72"/>
        <v>-10702.89494710142</v>
      </c>
      <c r="F1148" s="11">
        <f>Speed_Calc!B$5*E1148</f>
        <v>-9632.605452391279</v>
      </c>
      <c r="G1148" s="15">
        <f>Speed_Calc!G$3+Speed_Calc!G$5*A1148^2</f>
        <v>69.585414399999991</v>
      </c>
      <c r="H1148" s="7">
        <f>(F1148-G1148)/Speed_Calc!G$2*9.806</f>
        <v>-70.473839733152062</v>
      </c>
      <c r="I1148" s="4">
        <f t="shared" si="73"/>
        <v>30.888888888888889</v>
      </c>
    </row>
    <row r="1149" spans="1:9" x14ac:dyDescent="0.2">
      <c r="A1149" s="11">
        <v>111.3</v>
      </c>
      <c r="B1149" s="15">
        <v>3.133</v>
      </c>
      <c r="C1149" s="11">
        <f t="shared" si="70"/>
        <v>14423.36012116161</v>
      </c>
      <c r="D1149" s="11">
        <f t="shared" si="71"/>
        <v>-4440.4963428568499</v>
      </c>
      <c r="E1149" s="11">
        <f t="shared" si="72"/>
        <v>-10772.093554100176</v>
      </c>
      <c r="F1149" s="11">
        <f>Speed_Calc!B$5*E1149</f>
        <v>-9694.8841986901589</v>
      </c>
      <c r="G1149" s="15">
        <f>Speed_Calc!G$3+Speed_Calc!G$5*A1149^2</f>
        <v>69.674636899999996</v>
      </c>
      <c r="H1149" s="7">
        <f>(F1149-G1149)/Speed_Calc!G$2*9.806</f>
        <v>-70.926862179108952</v>
      </c>
      <c r="I1149" s="4">
        <f t="shared" si="73"/>
        <v>30.916666666666664</v>
      </c>
    </row>
    <row r="1150" spans="1:9" x14ac:dyDescent="0.2">
      <c r="A1150" s="11">
        <v>111.4</v>
      </c>
      <c r="B1150" s="15">
        <v>3.133</v>
      </c>
      <c r="C1150" s="11">
        <f t="shared" si="70"/>
        <v>14436.319114981166</v>
      </c>
      <c r="D1150" s="11">
        <f t="shared" si="71"/>
        <v>-4473.1589159901105</v>
      </c>
      <c r="E1150" s="11">
        <f t="shared" si="72"/>
        <v>-10841.588036959869</v>
      </c>
      <c r="F1150" s="11">
        <f>Speed_Calc!B$5*E1150</f>
        <v>-9757.4292332638815</v>
      </c>
      <c r="G1150" s="15">
        <f>Speed_Calc!G$3+Speed_Calc!G$5*A1150^2</f>
        <v>69.7639396</v>
      </c>
      <c r="H1150" s="7">
        <f>(F1150-G1150)/Speed_Calc!G$2*9.806</f>
        <v>-71.381819446743123</v>
      </c>
      <c r="I1150" s="4">
        <f t="shared" si="73"/>
        <v>30.944444444444446</v>
      </c>
    </row>
    <row r="1151" spans="1:9" x14ac:dyDescent="0.2">
      <c r="A1151" s="11">
        <v>111.5</v>
      </c>
      <c r="B1151" s="15">
        <v>3.133</v>
      </c>
      <c r="C1151" s="11">
        <f t="shared" si="70"/>
        <v>14449.278108800714</v>
      </c>
      <c r="D1151" s="11">
        <f t="shared" si="71"/>
        <v>-4505.9954904701008</v>
      </c>
      <c r="E1151" s="11">
        <f t="shared" si="72"/>
        <v>-10911.379214591278</v>
      </c>
      <c r="F1151" s="11">
        <f>Speed_Calc!B$5*E1151</f>
        <v>-9820.2412931321505</v>
      </c>
      <c r="G1151" s="15">
        <f>Speed_Calc!G$3+Speed_Calc!G$5*A1151^2</f>
        <v>69.85332249999999</v>
      </c>
      <c r="H1151" s="7">
        <f>(F1151-G1151)/Speed_Calc!G$2*9.806</f>
        <v>-71.8387168895473</v>
      </c>
      <c r="I1151" s="4">
        <f t="shared" si="73"/>
        <v>30.972222222222221</v>
      </c>
    </row>
    <row r="1152" spans="1:9" x14ac:dyDescent="0.2">
      <c r="A1152" s="11">
        <v>111.6</v>
      </c>
      <c r="B1152" s="15">
        <v>3.133</v>
      </c>
      <c r="C1152" s="11">
        <f t="shared" si="70"/>
        <v>14462.237102620267</v>
      </c>
      <c r="D1152" s="11">
        <f t="shared" si="71"/>
        <v>-4539.0067348996699</v>
      </c>
      <c r="E1152" s="11">
        <f t="shared" si="72"/>
        <v>-10981.467907015332</v>
      </c>
      <c r="F1152" s="11">
        <f>Speed_Calc!B$5*E1152</f>
        <v>-9883.3211163138003</v>
      </c>
      <c r="G1152" s="15">
        <f>Speed_Calc!G$3+Speed_Calc!G$5*A1152^2</f>
        <v>69.942785599999993</v>
      </c>
      <c r="H1152" s="7">
        <f>(F1152-G1152)/Speed_Calc!G$2*9.806</f>
        <v>-72.297559868271648</v>
      </c>
      <c r="I1152" s="4">
        <f t="shared" si="73"/>
        <v>30.999999999999996</v>
      </c>
    </row>
    <row r="1153" spans="1:9" x14ac:dyDescent="0.2">
      <c r="A1153" s="11">
        <v>111.7</v>
      </c>
      <c r="B1153" s="15">
        <v>3.133</v>
      </c>
      <c r="C1153" s="11">
        <f t="shared" si="70"/>
        <v>14475.19609643982</v>
      </c>
      <c r="D1153" s="11">
        <f t="shared" si="71"/>
        <v>-4572.1933195556539</v>
      </c>
      <c r="E1153" s="11">
        <f t="shared" si="72"/>
        <v>-11051.854935362813</v>
      </c>
      <c r="F1153" s="11">
        <f>Speed_Calc!B$5*E1153</f>
        <v>-9946.6694418265324</v>
      </c>
      <c r="G1153" s="15">
        <f>Speed_Calc!G$3+Speed_Calc!G$5*A1153^2</f>
        <v>70.03232890000001</v>
      </c>
      <c r="H1153" s="7">
        <f>(F1153-G1153)/Speed_Calc!G$2*9.806</f>
        <v>-72.758353750921756</v>
      </c>
      <c r="I1153" s="4">
        <f t="shared" si="73"/>
        <v>31.027777777777779</v>
      </c>
    </row>
    <row r="1154" spans="1:9" x14ac:dyDescent="0.2">
      <c r="A1154" s="11">
        <v>111.8</v>
      </c>
      <c r="B1154" s="15">
        <v>3.133</v>
      </c>
      <c r="C1154" s="11">
        <f t="shared" si="70"/>
        <v>14488.15509025937</v>
      </c>
      <c r="D1154" s="11">
        <f t="shared" si="71"/>
        <v>-4605.5559163910439</v>
      </c>
      <c r="E1154" s="11">
        <f t="shared" si="72"/>
        <v>-11122.541121874614</v>
      </c>
      <c r="F1154" s="11">
        <f>Speed_Calc!B$5*E1154</f>
        <v>-10010.287009687152</v>
      </c>
      <c r="G1154" s="15">
        <f>Speed_Calc!G$3+Speed_Calc!G$5*A1154^2</f>
        <v>70.121952399999998</v>
      </c>
      <c r="H1154" s="7">
        <f>(F1154-G1154)/Speed_Calc!G$2*9.806</f>
        <v>-73.221103912760455</v>
      </c>
      <c r="I1154" s="4">
        <f t="shared" si="73"/>
        <v>31.055555555555554</v>
      </c>
    </row>
    <row r="1155" spans="1:9" x14ac:dyDescent="0.2">
      <c r="A1155" s="11">
        <v>111.9</v>
      </c>
      <c r="B1155" s="15">
        <v>3.133</v>
      </c>
      <c r="C1155" s="11">
        <f t="shared" si="70"/>
        <v>14501.114084078923</v>
      </c>
      <c r="D1155" s="11">
        <f t="shared" si="71"/>
        <v>-4639.0951990369922</v>
      </c>
      <c r="E1155" s="11">
        <f t="shared" si="72"/>
        <v>-11193.527289901591</v>
      </c>
      <c r="F1155" s="11">
        <f>Speed_Calc!B$5*E1155</f>
        <v>-10074.174560911431</v>
      </c>
      <c r="G1155" s="15">
        <f>Speed_Calc!G$3+Speed_Calc!G$5*A1155^2</f>
        <v>70.211656099999999</v>
      </c>
      <c r="H1155" s="7">
        <f>(F1155-G1155)/Speed_Calc!G$2*9.806</f>
        <v>-73.685815736306736</v>
      </c>
      <c r="I1155" s="4">
        <f t="shared" si="73"/>
        <v>31.083333333333336</v>
      </c>
    </row>
    <row r="1156" spans="1:9" x14ac:dyDescent="0.2">
      <c r="A1156" s="11">
        <v>112</v>
      </c>
      <c r="B1156" s="15">
        <v>3.133</v>
      </c>
      <c r="C1156" s="11">
        <f t="shared" si="70"/>
        <v>14514.073077898476</v>
      </c>
      <c r="D1156" s="11">
        <f t="shared" si="71"/>
        <v>-4672.8118428048811</v>
      </c>
      <c r="E1156" s="11">
        <f t="shared" si="72"/>
        <v>-11264.814263904624</v>
      </c>
      <c r="F1156" s="11">
        <f>Speed_Calc!B$5*E1156</f>
        <v>-10138.332837514161</v>
      </c>
      <c r="G1156" s="15">
        <f>Speed_Calc!G$3+Speed_Calc!G$5*A1156^2</f>
        <v>70.301439999999999</v>
      </c>
      <c r="H1156" s="7">
        <f>(F1156-G1156)/Speed_Calc!G$2*9.806</f>
        <v>-74.152494611336181</v>
      </c>
      <c r="I1156" s="4">
        <f t="shared" si="73"/>
        <v>31.111111111111111</v>
      </c>
    </row>
    <row r="1157" spans="1:9" x14ac:dyDescent="0.2">
      <c r="A1157" s="11">
        <v>112.1</v>
      </c>
      <c r="B1157" s="15">
        <v>3.133</v>
      </c>
      <c r="C1157" s="11">
        <f t="shared" si="70"/>
        <v>14527.032071718028</v>
      </c>
      <c r="D1157" s="11">
        <f t="shared" si="71"/>
        <v>-4706.7065246883622</v>
      </c>
      <c r="E1157" s="11">
        <f t="shared" si="72"/>
        <v>-11336.402869454576</v>
      </c>
      <c r="F1157" s="11">
        <f>Speed_Calc!B$5*E1157</f>
        <v>-10202.762582509118</v>
      </c>
      <c r="G1157" s="15">
        <f>Speed_Calc!G$3+Speed_Calc!G$5*A1157^2</f>
        <v>70.391304099999985</v>
      </c>
      <c r="H1157" s="7">
        <f>(F1157-G1157)/Speed_Calc!G$2*9.806</f>
        <v>-74.621145934880744</v>
      </c>
      <c r="I1157" s="4">
        <f t="shared" si="73"/>
        <v>31.138888888888886</v>
      </c>
    </row>
    <row r="1158" spans="1:9" x14ac:dyDescent="0.2">
      <c r="A1158" s="11">
        <v>112.2</v>
      </c>
      <c r="B1158" s="15">
        <v>3.133</v>
      </c>
      <c r="C1158" s="11">
        <f t="shared" si="70"/>
        <v>14539.991065537581</v>
      </c>
      <c r="D1158" s="11">
        <f t="shared" si="71"/>
        <v>-4740.7799233654423</v>
      </c>
      <c r="E1158" s="11">
        <f t="shared" si="72"/>
        <v>-11408.293933232346</v>
      </c>
      <c r="F1158" s="11">
        <f>Speed_Calc!B$5*E1158</f>
        <v>-10267.464539909111</v>
      </c>
      <c r="G1158" s="15">
        <f>Speed_Calc!G$3+Speed_Calc!G$5*A1158^2</f>
        <v>70.481248399999998</v>
      </c>
      <c r="H1158" s="7">
        <f>(F1158-G1158)/Speed_Calc!G$2*9.806</f>
        <v>-75.091775111228984</v>
      </c>
      <c r="I1158" s="4">
        <f t="shared" si="73"/>
        <v>31.166666666666668</v>
      </c>
    </row>
    <row r="1159" spans="1:9" x14ac:dyDescent="0.2">
      <c r="A1159" s="11">
        <v>112.3</v>
      </c>
      <c r="B1159" s="15">
        <v>3.133</v>
      </c>
      <c r="C1159" s="11">
        <f t="shared" si="70"/>
        <v>14552.950059357132</v>
      </c>
      <c r="D1159" s="11">
        <f t="shared" si="71"/>
        <v>-4775.0327192005116</v>
      </c>
      <c r="E1159" s="11">
        <f t="shared" si="72"/>
        <v>-11480.488283028837</v>
      </c>
      <c r="F1159" s="11">
        <f>Speed_Calc!B$5*E1159</f>
        <v>-10332.439454725954</v>
      </c>
      <c r="G1159" s="15">
        <f>Speed_Calc!G$3+Speed_Calc!G$5*A1159^2</f>
        <v>70.571272899999997</v>
      </c>
      <c r="H1159" s="7">
        <f>(F1159-G1159)/Speed_Calc!G$2*9.806</f>
        <v>-75.564387551926004</v>
      </c>
      <c r="I1159" s="4">
        <f t="shared" si="73"/>
        <v>31.194444444444443</v>
      </c>
    </row>
    <row r="1160" spans="1:9" x14ac:dyDescent="0.2">
      <c r="A1160" s="11">
        <v>112.4</v>
      </c>
      <c r="B1160" s="15">
        <v>3.133</v>
      </c>
      <c r="C1160" s="11">
        <f t="shared" si="70"/>
        <v>14565.909053176683</v>
      </c>
      <c r="D1160" s="11">
        <f t="shared" si="71"/>
        <v>-4809.4655942464169</v>
      </c>
      <c r="E1160" s="11">
        <f t="shared" si="72"/>
        <v>-11552.986747744952</v>
      </c>
      <c r="F1160" s="11">
        <f>Speed_Calc!B$5*E1160</f>
        <v>-10397.688072970457</v>
      </c>
      <c r="G1160" s="15">
        <f>Speed_Calc!G$3+Speed_Calc!G$5*A1160^2</f>
        <v>70.661377600000009</v>
      </c>
      <c r="H1160" s="7">
        <f>(F1160-G1160)/Speed_Calc!G$2*9.806</f>
        <v>-76.038988675773254</v>
      </c>
      <c r="I1160" s="4">
        <f t="shared" si="73"/>
        <v>31.222222222222221</v>
      </c>
    </row>
    <row r="1161" spans="1:9" x14ac:dyDescent="0.2">
      <c r="A1161" s="11">
        <v>112.5</v>
      </c>
      <c r="B1161" s="15">
        <v>3.133</v>
      </c>
      <c r="C1161" s="11">
        <f t="shared" si="70"/>
        <v>14578.868046996235</v>
      </c>
      <c r="D1161" s="11">
        <f t="shared" si="71"/>
        <v>-4844.0792322465077</v>
      </c>
      <c r="E1161" s="11">
        <f t="shared" si="72"/>
        <v>-11625.790157391624</v>
      </c>
      <c r="F1161" s="11">
        <f>Speed_Calc!B$5*E1161</f>
        <v>-10463.211141652462</v>
      </c>
      <c r="G1161" s="15">
        <f>Speed_Calc!G$3+Speed_Calc!G$5*A1161^2</f>
        <v>70.751562500000006</v>
      </c>
      <c r="H1161" s="7">
        <f>(F1161-G1161)/Speed_Calc!G$2*9.806</f>
        <v>-76.515583908828916</v>
      </c>
      <c r="I1161" s="4">
        <f t="shared" si="73"/>
        <v>31.25</v>
      </c>
    </row>
    <row r="1162" spans="1:9" x14ac:dyDescent="0.2">
      <c r="A1162" s="11">
        <v>112.6</v>
      </c>
      <c r="B1162" s="15">
        <v>3.133</v>
      </c>
      <c r="C1162" s="11">
        <f t="shared" si="70"/>
        <v>14591.82704081579</v>
      </c>
      <c r="D1162" s="11">
        <f t="shared" si="71"/>
        <v>-4878.8743186366983</v>
      </c>
      <c r="E1162" s="11">
        <f t="shared" si="72"/>
        <v>-11698.899343089774</v>
      </c>
      <c r="F1162" s="11">
        <f>Speed_Calc!B$5*E1162</f>
        <v>-10529.009408780796</v>
      </c>
      <c r="G1162" s="15">
        <f>Speed_Calc!G$3+Speed_Calc!G$5*A1162^2</f>
        <v>70.841827599999988</v>
      </c>
      <c r="H1162" s="7">
        <f>(F1162-G1162)/Speed_Calc!G$2*9.806</f>
        <v>-76.994178684407458</v>
      </c>
      <c r="I1162" s="4">
        <f t="shared" si="73"/>
        <v>31.277777777777775</v>
      </c>
    </row>
    <row r="1163" spans="1:9" x14ac:dyDescent="0.2">
      <c r="A1163" s="11">
        <v>112.7</v>
      </c>
      <c r="B1163" s="15">
        <v>3.133</v>
      </c>
      <c r="C1163" s="11">
        <f t="shared" si="70"/>
        <v>14604.786034635341</v>
      </c>
      <c r="D1163" s="11">
        <f t="shared" si="71"/>
        <v>-4913.8515405475027</v>
      </c>
      <c r="E1163" s="11">
        <f t="shared" si="72"/>
        <v>-11772.315137070327</v>
      </c>
      <c r="F1163" s="11">
        <f>Speed_Calc!B$5*E1163</f>
        <v>-10595.083623363294</v>
      </c>
      <c r="G1163" s="15">
        <f>Speed_Calc!G$3+Speed_Calc!G$5*A1163^2</f>
        <v>70.932172899999998</v>
      </c>
      <c r="H1163" s="7">
        <f>(F1163-G1163)/Speed_Calc!G$2*9.806</f>
        <v>-77.474778443079899</v>
      </c>
      <c r="I1163" s="4">
        <f t="shared" si="73"/>
        <v>31.305555555555557</v>
      </c>
    </row>
    <row r="1164" spans="1:9" x14ac:dyDescent="0.2">
      <c r="A1164" s="11">
        <v>112.8</v>
      </c>
      <c r="B1164" s="15">
        <v>3.133</v>
      </c>
      <c r="C1164" s="11">
        <f t="shared" si="70"/>
        <v>14617.745028454892</v>
      </c>
      <c r="D1164" s="11">
        <f t="shared" si="71"/>
        <v>-4949.0115868061157</v>
      </c>
      <c r="E1164" s="11">
        <f t="shared" si="72"/>
        <v>-11846.038372674217</v>
      </c>
      <c r="F1164" s="11">
        <f>Speed_Calc!B$5*E1164</f>
        <v>-10661.434535406795</v>
      </c>
      <c r="G1164" s="15">
        <f>Speed_Calc!G$3+Speed_Calc!G$5*A1164^2</f>
        <v>71.022598399999993</v>
      </c>
      <c r="H1164" s="7">
        <f>(F1164-G1164)/Speed_Calc!G$2*9.806</f>
        <v>-77.957388632673656</v>
      </c>
      <c r="I1164" s="4">
        <f t="shared" si="73"/>
        <v>31.333333333333332</v>
      </c>
    </row>
    <row r="1165" spans="1:9" x14ac:dyDescent="0.2">
      <c r="A1165" s="11">
        <v>112.9</v>
      </c>
      <c r="B1165" s="15">
        <v>3.133</v>
      </c>
      <c r="C1165" s="11">
        <f t="shared" si="70"/>
        <v>14630.704022274447</v>
      </c>
      <c r="D1165" s="11">
        <f t="shared" si="71"/>
        <v>-4984.3551479384832</v>
      </c>
      <c r="E1165" s="11">
        <f t="shared" si="72"/>
        <v>-11920.069884352437</v>
      </c>
      <c r="F1165" s="11">
        <f>Speed_Calc!B$5*E1165</f>
        <v>-10728.062895917194</v>
      </c>
      <c r="G1165" s="15">
        <f>Speed_Calc!G$3+Speed_Calc!G$5*A1165^2</f>
        <v>71.113104100000001</v>
      </c>
      <c r="H1165" s="7">
        <f>(F1165-G1165)/Speed_Calc!G$2*9.806</f>
        <v>-78.442014708273035</v>
      </c>
      <c r="I1165" s="4">
        <f t="shared" si="73"/>
        <v>31.361111111111111</v>
      </c>
    </row>
    <row r="1166" spans="1:9" x14ac:dyDescent="0.2">
      <c r="A1166" s="11">
        <v>113</v>
      </c>
      <c r="B1166" s="15">
        <v>3.133</v>
      </c>
      <c r="C1166" s="11">
        <f t="shared" si="70"/>
        <v>14643.663016093997</v>
      </c>
      <c r="D1166" s="11">
        <f t="shared" si="71"/>
        <v>-5019.8829161712747</v>
      </c>
      <c r="E1166" s="11">
        <f t="shared" si="72"/>
        <v>-11994.41050766588</v>
      </c>
      <c r="F1166" s="11">
        <f>Speed_Calc!B$5*E1166</f>
        <v>-10794.969456899293</v>
      </c>
      <c r="G1166" s="15">
        <f>Speed_Calc!G$3+Speed_Calc!G$5*A1166^2</f>
        <v>71.203689999999995</v>
      </c>
      <c r="H1166" s="7">
        <f>(F1166-G1166)/Speed_Calc!G$2*9.806</f>
        <v>-78.928662132218122</v>
      </c>
      <c r="I1166" s="4">
        <f t="shared" si="73"/>
        <v>31.388888888888889</v>
      </c>
    </row>
    <row r="1167" spans="1:9" x14ac:dyDescent="0.2">
      <c r="A1167" s="11">
        <v>113.1</v>
      </c>
      <c r="B1167" s="15">
        <v>3.133</v>
      </c>
      <c r="C1167" s="11">
        <f t="shared" ref="C1167:C1230" si="74">A1167/3.6/B$23/2/PI()*B$32*B$31*B1167*60</f>
        <v>14656.62200991355</v>
      </c>
      <c r="D1167" s="11">
        <f t="shared" ref="D1167:D1230" si="75">-4.687*10^(-17)*C1167^5+9.129*10^(-13)*C1167^4-6.175*10^(-9)*C1167^3+1.799*10^(-5)*C1167^2+6.502*10^(-3)*C1167</f>
        <v>-5055.5955854340682</v>
      </c>
      <c r="E1167" s="11">
        <f t="shared" ref="E1167:E1230" si="76">D1167*75*B1167*B$31*B$32/B$23/C1167/2/PI()*60</f>
        <v>-12069.061079285573</v>
      </c>
      <c r="F1167" s="11">
        <f>Speed_Calc!B$5*E1167</f>
        <v>-10862.154971357017</v>
      </c>
      <c r="G1167" s="15">
        <f>Speed_Calc!G$3+Speed_Calc!G$5*A1167^2</f>
        <v>71.294356099999987</v>
      </c>
      <c r="H1167" s="7">
        <f>(F1167-G1167)/Speed_Calc!G$2*9.806</f>
        <v>-79.417336374106284</v>
      </c>
      <c r="I1167" s="4">
        <f t="shared" ref="I1167:I1230" si="77">A1167/3.6</f>
        <v>31.416666666666664</v>
      </c>
    </row>
    <row r="1168" spans="1:9" x14ac:dyDescent="0.2">
      <c r="A1168" s="11">
        <v>113.2</v>
      </c>
      <c r="B1168" s="15">
        <v>3.133</v>
      </c>
      <c r="C1168" s="11">
        <f t="shared" si="74"/>
        <v>14669.581003733103</v>
      </c>
      <c r="D1168" s="11">
        <f t="shared" si="75"/>
        <v>-5091.4938513612997</v>
      </c>
      <c r="E1168" s="11">
        <f t="shared" si="76"/>
        <v>-12144.0224369925</v>
      </c>
      <c r="F1168" s="11">
        <f>Speed_Calc!B$5*E1168</f>
        <v>-10929.620193293251</v>
      </c>
      <c r="G1168" s="15">
        <f>Speed_Calc!G$3+Speed_Calc!G$5*A1168^2</f>
        <v>71.385102399999994</v>
      </c>
      <c r="H1168" s="7">
        <f>(F1168-G1168)/Speed_Calc!G$2*9.806</f>
        <v>-79.908042910791124</v>
      </c>
      <c r="I1168" s="4">
        <f t="shared" si="77"/>
        <v>31.444444444444443</v>
      </c>
    </row>
    <row r="1169" spans="1:9" x14ac:dyDescent="0.2">
      <c r="A1169" s="11">
        <v>113.3</v>
      </c>
      <c r="B1169" s="15">
        <v>3.133</v>
      </c>
      <c r="C1169" s="11">
        <f t="shared" si="74"/>
        <v>14682.539997552654</v>
      </c>
      <c r="D1169" s="11">
        <f t="shared" si="75"/>
        <v>-5127.5784112943375</v>
      </c>
      <c r="E1169" s="11">
        <f t="shared" si="76"/>
        <v>-12219.295419677592</v>
      </c>
      <c r="F1169" s="11">
        <f>Speed_Calc!B$5*E1169</f>
        <v>-10997.365877709834</v>
      </c>
      <c r="G1169" s="15">
        <f>Speed_Calc!G$3+Speed_Calc!G$5*A1169^2</f>
        <v>71.475928899999985</v>
      </c>
      <c r="H1169" s="7">
        <f>(F1169-G1169)/Speed_Calc!G$2*9.806</f>
        <v>-80.400787226382235</v>
      </c>
      <c r="I1169" s="4">
        <f t="shared" si="77"/>
        <v>31.472222222222221</v>
      </c>
    </row>
    <row r="1170" spans="1:9" x14ac:dyDescent="0.2">
      <c r="A1170" s="11">
        <v>113.4</v>
      </c>
      <c r="B1170" s="15">
        <v>3.133</v>
      </c>
      <c r="C1170" s="11">
        <f t="shared" si="74"/>
        <v>14695.498991372206</v>
      </c>
      <c r="D1170" s="11">
        <f t="shared" si="75"/>
        <v>-5163.8499642835859</v>
      </c>
      <c r="E1170" s="11">
        <f t="shared" si="76"/>
        <v>-12294.880867341873</v>
      </c>
      <c r="F1170" s="11">
        <f>Speed_Calc!B$5*E1170</f>
        <v>-11065.392780607686</v>
      </c>
      <c r="G1170" s="15">
        <f>Speed_Calc!G$3+Speed_Calc!G$5*A1170^2</f>
        <v>71.566835600000005</v>
      </c>
      <c r="H1170" s="7">
        <f>(F1170-G1170)/Speed_Calc!G$2*9.806</f>
        <v>-80.895574812246338</v>
      </c>
      <c r="I1170" s="4">
        <f t="shared" si="77"/>
        <v>31.5</v>
      </c>
    </row>
    <row r="1171" spans="1:9" x14ac:dyDescent="0.2">
      <c r="A1171" s="11">
        <v>113.5</v>
      </c>
      <c r="B1171" s="15">
        <v>3.133</v>
      </c>
      <c r="C1171" s="11">
        <f t="shared" si="74"/>
        <v>14708.457985191759</v>
      </c>
      <c r="D1171" s="11">
        <f t="shared" si="75"/>
        <v>-5200.3092110905181</v>
      </c>
      <c r="E1171" s="11">
        <f t="shared" si="76"/>
        <v>-12370.779621096386</v>
      </c>
      <c r="F1171" s="11">
        <f>Speed_Calc!B$5*E1171</f>
        <v>-11133.701658986747</v>
      </c>
      <c r="G1171" s="15">
        <f>Speed_Calc!G$3+Speed_Calc!G$5*A1171^2</f>
        <v>71.657822499999995</v>
      </c>
      <c r="H1171" s="7">
        <f>(F1171-G1171)/Speed_Calc!G$2*9.806</f>
        <v>-81.392411167006685</v>
      </c>
      <c r="I1171" s="4">
        <f t="shared" si="77"/>
        <v>31.527777777777779</v>
      </c>
    </row>
    <row r="1172" spans="1:9" x14ac:dyDescent="0.2">
      <c r="A1172" s="11">
        <v>113.6</v>
      </c>
      <c r="B1172" s="15">
        <v>3.133</v>
      </c>
      <c r="C1172" s="11">
        <f t="shared" si="74"/>
        <v>14721.416979011308</v>
      </c>
      <c r="D1172" s="11">
        <f t="shared" si="75"/>
        <v>-5236.9568541896651</v>
      </c>
      <c r="E1172" s="11">
        <f t="shared" si="76"/>
        <v>-12446.992523162058</v>
      </c>
      <c r="F1172" s="11">
        <f>Speed_Calc!B$5*E1172</f>
        <v>-11202.293270845852</v>
      </c>
      <c r="G1172" s="15">
        <f>Speed_Calc!G$3+Speed_Calc!G$5*A1172^2</f>
        <v>71.748889599999984</v>
      </c>
      <c r="H1172" s="7">
        <f>(F1172-G1172)/Speed_Calc!G$2*9.806</f>
        <v>-81.891301796542237</v>
      </c>
      <c r="I1172" s="4">
        <f t="shared" si="77"/>
        <v>31.555555555555554</v>
      </c>
    </row>
    <row r="1173" spans="1:9" x14ac:dyDescent="0.2">
      <c r="A1173" s="11">
        <v>113.7</v>
      </c>
      <c r="B1173" s="15">
        <v>3.133</v>
      </c>
      <c r="C1173" s="11">
        <f t="shared" si="74"/>
        <v>14734.37597283086</v>
      </c>
      <c r="D1173" s="11">
        <f t="shared" si="75"/>
        <v>-5273.7935977708012</v>
      </c>
      <c r="E1173" s="11">
        <f t="shared" si="76"/>
        <v>-12523.520416869982</v>
      </c>
      <c r="F1173" s="11">
        <f>Speed_Calc!B$5*E1173</f>
        <v>-11271.168375182984</v>
      </c>
      <c r="G1173" s="15">
        <f>Speed_Calc!G$3+Speed_Calc!G$5*A1173^2</f>
        <v>71.840036900000001</v>
      </c>
      <c r="H1173" s="7">
        <f>(F1173-G1173)/Speed_Calc!G$2*9.806</f>
        <v>-82.392252213989423</v>
      </c>
      <c r="I1173" s="4">
        <f t="shared" si="77"/>
        <v>31.583333333333332</v>
      </c>
    </row>
    <row r="1174" spans="1:9" x14ac:dyDescent="0.2">
      <c r="A1174" s="11">
        <v>113.8</v>
      </c>
      <c r="B1174" s="15">
        <v>3.133</v>
      </c>
      <c r="C1174" s="11">
        <f t="shared" si="74"/>
        <v>14747.334966650418</v>
      </c>
      <c r="D1174" s="11">
        <f t="shared" si="75"/>
        <v>-5310.8201477409084</v>
      </c>
      <c r="E1174" s="11">
        <f t="shared" si="76"/>
        <v>-12600.364146661204</v>
      </c>
      <c r="F1174" s="11">
        <f>Speed_Calc!B$5*E1174</f>
        <v>-11340.327731995085</v>
      </c>
      <c r="G1174" s="15">
        <f>Speed_Calc!G$3+Speed_Calc!G$5*A1174^2</f>
        <v>71.931264399999989</v>
      </c>
      <c r="H1174" s="7">
        <f>(F1174-G1174)/Speed_Calc!G$2*9.806</f>
        <v>-82.895267939740876</v>
      </c>
      <c r="I1174" s="4">
        <f t="shared" si="77"/>
        <v>31.611111111111111</v>
      </c>
    </row>
    <row r="1175" spans="1:9" x14ac:dyDescent="0.2">
      <c r="A1175" s="11">
        <v>113.9</v>
      </c>
      <c r="B1175" s="15">
        <v>3.133</v>
      </c>
      <c r="C1175" s="11">
        <f t="shared" si="74"/>
        <v>14760.293960469968</v>
      </c>
      <c r="D1175" s="11">
        <f t="shared" si="75"/>
        <v>-5348.0372117261923</v>
      </c>
      <c r="E1175" s="11">
        <f t="shared" si="76"/>
        <v>-12677.524558086672</v>
      </c>
      <c r="F1175" s="11">
        <f>Speed_Calc!B$5*E1175</f>
        <v>-11409.772102278006</v>
      </c>
      <c r="G1175" s="15">
        <f>Speed_Calc!G$3+Speed_Calc!G$5*A1175^2</f>
        <v>72.022572099999991</v>
      </c>
      <c r="H1175" s="7">
        <f>(F1175-G1175)/Speed_Calc!G$2*9.806</f>
        <v>-83.40035450144498</v>
      </c>
      <c r="I1175" s="4">
        <f t="shared" si="77"/>
        <v>31.638888888888889</v>
      </c>
    </row>
    <row r="1176" spans="1:9" x14ac:dyDescent="0.2">
      <c r="A1176" s="11">
        <v>114</v>
      </c>
      <c r="B1176" s="15">
        <v>3.133</v>
      </c>
      <c r="C1176" s="11">
        <f t="shared" si="74"/>
        <v>14773.252954289521</v>
      </c>
      <c r="D1176" s="11">
        <f t="shared" si="75"/>
        <v>-5385.4454990742815</v>
      </c>
      <c r="E1176" s="11">
        <f t="shared" si="76"/>
        <v>-12755.002497807509</v>
      </c>
      <c r="F1176" s="11">
        <f>Speed_Calc!B$5*E1176</f>
        <v>-11479.502248026758</v>
      </c>
      <c r="G1176" s="15">
        <f>Speed_Calc!G$3+Speed_Calc!G$5*A1176^2</f>
        <v>72.113959999999992</v>
      </c>
      <c r="H1176" s="7">
        <f>(F1176-G1176)/Speed_Calc!G$2*9.806</f>
        <v>-83.907517434007701</v>
      </c>
      <c r="I1176" s="4">
        <f t="shared" si="77"/>
        <v>31.666666666666664</v>
      </c>
    </row>
    <row r="1177" spans="1:9" x14ac:dyDescent="0.2">
      <c r="A1177" s="11">
        <v>114.1</v>
      </c>
      <c r="B1177" s="15">
        <v>3.133</v>
      </c>
      <c r="C1177" s="11">
        <f t="shared" si="74"/>
        <v>14786.211948109072</v>
      </c>
      <c r="D1177" s="11">
        <f t="shared" si="75"/>
        <v>-5423.045720856152</v>
      </c>
      <c r="E1177" s="11">
        <f t="shared" si="76"/>
        <v>-12832.798813594749</v>
      </c>
      <c r="F1177" s="11">
        <f>Speed_Calc!B$5*E1177</f>
        <v>-11549.518932235274</v>
      </c>
      <c r="G1177" s="15">
        <f>Speed_Calc!G$3+Speed_Calc!G$5*A1177^2</f>
        <v>72.205428099999992</v>
      </c>
      <c r="H1177" s="7">
        <f>(F1177-G1177)/Speed_Calc!G$2*9.806</f>
        <v>-84.416762279590884</v>
      </c>
      <c r="I1177" s="4">
        <f t="shared" si="77"/>
        <v>31.694444444444443</v>
      </c>
    </row>
    <row r="1178" spans="1:9" x14ac:dyDescent="0.2">
      <c r="A1178" s="11">
        <v>114.2</v>
      </c>
      <c r="B1178" s="15">
        <v>3.133</v>
      </c>
      <c r="C1178" s="11">
        <f t="shared" si="74"/>
        <v>14799.170941928625</v>
      </c>
      <c r="D1178" s="11">
        <f t="shared" si="75"/>
        <v>-5460.83858986823</v>
      </c>
      <c r="E1178" s="11">
        <f t="shared" si="76"/>
        <v>-12910.914354329441</v>
      </c>
      <c r="F1178" s="11">
        <f>Speed_Calc!B$5*E1178</f>
        <v>-11619.822918896498</v>
      </c>
      <c r="G1178" s="15">
        <f>Speed_Calc!G$3+Speed_Calc!G$5*A1178^2</f>
        <v>72.296976400000005</v>
      </c>
      <c r="H1178" s="7">
        <f>(F1178-G1178)/Speed_Calc!G$2*9.806</f>
        <v>-84.928094587612918</v>
      </c>
      <c r="I1178" s="4">
        <f t="shared" si="77"/>
        <v>31.722222222222221</v>
      </c>
    </row>
    <row r="1179" spans="1:9" x14ac:dyDescent="0.2">
      <c r="A1179" s="11">
        <v>114.3</v>
      </c>
      <c r="B1179" s="15">
        <v>3.133</v>
      </c>
      <c r="C1179" s="11">
        <f t="shared" si="74"/>
        <v>14812.129935748177</v>
      </c>
      <c r="D1179" s="11">
        <f t="shared" si="75"/>
        <v>-5498.824820634467</v>
      </c>
      <c r="E1179" s="11">
        <f t="shared" si="76"/>
        <v>-12989.349970002677</v>
      </c>
      <c r="F1179" s="11">
        <f>Speed_Calc!B$5*E1179</f>
        <v>-11690.414973002409</v>
      </c>
      <c r="G1179" s="15">
        <f>Speed_Calc!G$3+Speed_Calc!G$5*A1179^2</f>
        <v>72.38860489999999</v>
      </c>
      <c r="H1179" s="7">
        <f>(F1179-G1179)/Speed_Calc!G$2*9.806</f>
        <v>-85.441519914748895</v>
      </c>
      <c r="I1179" s="4">
        <f t="shared" si="77"/>
        <v>31.75</v>
      </c>
    </row>
    <row r="1180" spans="1:9" x14ac:dyDescent="0.2">
      <c r="A1180" s="11">
        <v>114.4</v>
      </c>
      <c r="B1180" s="15">
        <v>3.133</v>
      </c>
      <c r="C1180" s="11">
        <f t="shared" si="74"/>
        <v>14825.08892956773</v>
      </c>
      <c r="D1180" s="11">
        <f t="shared" si="75"/>
        <v>-5537.0051294083623</v>
      </c>
      <c r="E1180" s="11">
        <f t="shared" si="76"/>
        <v>-13068.106511715539</v>
      </c>
      <c r="F1180" s="11">
        <f>Speed_Calc!B$5*E1180</f>
        <v>-11761.295860543985</v>
      </c>
      <c r="G1180" s="15">
        <f>Speed_Calc!G$3+Speed_Calc!G$5*A1180^2</f>
        <v>72.480313599999988</v>
      </c>
      <c r="H1180" s="7">
        <f>(F1180-G1180)/Speed_Calc!G$2*9.806</f>
        <v>-85.957043824930295</v>
      </c>
      <c r="I1180" s="4">
        <f t="shared" si="77"/>
        <v>31.777777777777779</v>
      </c>
    </row>
    <row r="1181" spans="1:9" x14ac:dyDescent="0.2">
      <c r="A1181" s="11">
        <v>114.5</v>
      </c>
      <c r="B1181" s="15">
        <v>3.133</v>
      </c>
      <c r="C1181" s="11">
        <f t="shared" si="74"/>
        <v>14838.047923387283</v>
      </c>
      <c r="D1181" s="11">
        <f t="shared" si="75"/>
        <v>-5575.3802341750397</v>
      </c>
      <c r="E1181" s="11">
        <f t="shared" si="76"/>
        <v>-13147.184831679131</v>
      </c>
      <c r="F1181" s="11">
        <f>Speed_Calc!B$5*E1181</f>
        <v>-11832.466348511218</v>
      </c>
      <c r="G1181" s="15">
        <f>Speed_Calc!G$3+Speed_Calc!G$5*A1181^2</f>
        <v>72.5721025</v>
      </c>
      <c r="H1181" s="7">
        <f>(F1181-G1181)/Speed_Calc!G$2*9.806</f>
        <v>-86.474671889345188</v>
      </c>
      <c r="I1181" s="4">
        <f t="shared" si="77"/>
        <v>31.805555555555554</v>
      </c>
    </row>
    <row r="1182" spans="1:9" x14ac:dyDescent="0.2">
      <c r="A1182" s="11">
        <v>114.6</v>
      </c>
      <c r="B1182" s="15">
        <v>3.133</v>
      </c>
      <c r="C1182" s="11">
        <f t="shared" si="74"/>
        <v>14851.006917206832</v>
      </c>
      <c r="D1182" s="11">
        <f t="shared" si="75"/>
        <v>-5613.950854653257</v>
      </c>
      <c r="E1182" s="11">
        <f t="shared" si="76"/>
        <v>-13226.585783214483</v>
      </c>
      <c r="F1182" s="11">
        <f>Speed_Calc!B$5*E1182</f>
        <v>-11903.927204893034</v>
      </c>
      <c r="G1182" s="15">
        <f>Speed_Calc!G$3+Speed_Calc!G$5*A1182^2</f>
        <v>72.663971599999996</v>
      </c>
      <c r="H1182" s="7">
        <f>(F1182-G1182)/Speed_Calc!G$2*9.806</f>
        <v>-86.99440968643755</v>
      </c>
      <c r="I1182" s="4">
        <f t="shared" si="77"/>
        <v>31.833333333333332</v>
      </c>
    </row>
    <row r="1183" spans="1:9" x14ac:dyDescent="0.2">
      <c r="A1183" s="11">
        <v>114.7</v>
      </c>
      <c r="B1183" s="15">
        <v>3.133</v>
      </c>
      <c r="C1183" s="11">
        <f t="shared" si="74"/>
        <v>14863.965911026386</v>
      </c>
      <c r="D1183" s="11">
        <f t="shared" si="75"/>
        <v>-5652.7177122975727</v>
      </c>
      <c r="E1183" s="11">
        <f t="shared" si="76"/>
        <v>-13306.310220752788</v>
      </c>
      <c r="F1183" s="11">
        <f>Speed_Calc!B$5*E1183</f>
        <v>-11975.67919867751</v>
      </c>
      <c r="G1183" s="15">
        <f>Speed_Calc!G$3+Speed_Calc!G$5*A1183^2</f>
        <v>72.755920900000007</v>
      </c>
      <c r="H1183" s="7">
        <f>(F1183-G1183)/Speed_Calc!G$2*9.806</f>
        <v>-87.516262801908923</v>
      </c>
      <c r="I1183" s="4">
        <f t="shared" si="77"/>
        <v>31.861111111111111</v>
      </c>
    </row>
    <row r="1184" spans="1:9" x14ac:dyDescent="0.2">
      <c r="A1184" s="11">
        <v>114.8</v>
      </c>
      <c r="B1184" s="15">
        <v>3.133</v>
      </c>
      <c r="C1184" s="11">
        <f t="shared" si="74"/>
        <v>14876.924904845935</v>
      </c>
      <c r="D1184" s="11">
        <f t="shared" si="75"/>
        <v>-5691.6815303002559</v>
      </c>
      <c r="E1184" s="11">
        <f t="shared" si="76"/>
        <v>-13386.358999835102</v>
      </c>
      <c r="F1184" s="11">
        <f>Speed_Calc!B$5*E1184</f>
        <v>-12047.723099851592</v>
      </c>
      <c r="G1184" s="15">
        <f>Speed_Calc!G$3+Speed_Calc!G$5*A1184^2</f>
        <v>72.847950400000002</v>
      </c>
      <c r="H1184" s="7">
        <f>(F1184-G1184)/Speed_Calc!G$2*9.806</f>
        <v>-88.040236828716374</v>
      </c>
      <c r="I1184" s="4">
        <f t="shared" si="77"/>
        <v>31.888888888888886</v>
      </c>
    </row>
    <row r="1185" spans="1:9" x14ac:dyDescent="0.2">
      <c r="A1185" s="11">
        <v>114.9</v>
      </c>
      <c r="B1185" s="15">
        <v>3.133</v>
      </c>
      <c r="C1185" s="11">
        <f t="shared" si="74"/>
        <v>14889.88389866549</v>
      </c>
      <c r="D1185" s="11">
        <f t="shared" si="75"/>
        <v>-5730.8430335934827</v>
      </c>
      <c r="E1185" s="11">
        <f t="shared" si="76"/>
        <v>-13466.732977112624</v>
      </c>
      <c r="F1185" s="11">
        <f>Speed_Calc!B$5*E1185</f>
        <v>-12120.059679401362</v>
      </c>
      <c r="G1185" s="15">
        <f>Speed_Calc!G$3+Speed_Calc!G$5*A1185^2</f>
        <v>72.940060100000011</v>
      </c>
      <c r="H1185" s="7">
        <f>(F1185-G1185)/Speed_Calc!G$2*9.806</f>
        <v>-88.566337367074325</v>
      </c>
      <c r="I1185" s="4">
        <f t="shared" si="77"/>
        <v>31.916666666666668</v>
      </c>
    </row>
    <row r="1186" spans="1:9" x14ac:dyDescent="0.2">
      <c r="A1186" s="11">
        <v>115</v>
      </c>
      <c r="B1186" s="15">
        <v>3.133</v>
      </c>
      <c r="C1186" s="11">
        <f t="shared" si="74"/>
        <v>14902.842892485043</v>
      </c>
      <c r="D1186" s="11">
        <f t="shared" si="75"/>
        <v>-5770.2029488512535</v>
      </c>
      <c r="E1186" s="11">
        <f t="shared" si="76"/>
        <v>-13547.433010346422</v>
      </c>
      <c r="F1186" s="11">
        <f>Speed_Calc!B$5*E1186</f>
        <v>-12192.68970931178</v>
      </c>
      <c r="G1186" s="15">
        <f>Speed_Calc!G$3+Speed_Calc!G$5*A1186^2</f>
        <v>73.032250000000005</v>
      </c>
      <c r="H1186" s="7">
        <f>(F1186-G1186)/Speed_Calc!G$2*9.806</f>
        <v>-89.094570024452821</v>
      </c>
      <c r="I1186" s="4">
        <f t="shared" si="77"/>
        <v>31.944444444444443</v>
      </c>
    </row>
    <row r="1187" spans="1:9" x14ac:dyDescent="0.2">
      <c r="A1187" s="11">
        <v>115.1</v>
      </c>
      <c r="B1187" s="15">
        <v>3.133</v>
      </c>
      <c r="C1187" s="11">
        <f t="shared" si="74"/>
        <v>14915.801886304596</v>
      </c>
      <c r="D1187" s="11">
        <f t="shared" si="75"/>
        <v>-5809.7620044915611</v>
      </c>
      <c r="E1187" s="11">
        <f t="shared" si="76"/>
        <v>-13628.459958407657</v>
      </c>
      <c r="F1187" s="11">
        <f>Speed_Calc!B$5*E1187</f>
        <v>-12265.613962566891</v>
      </c>
      <c r="G1187" s="15">
        <f>Speed_Calc!G$3+Speed_Calc!G$5*A1187^2</f>
        <v>73.124520099999984</v>
      </c>
      <c r="H1187" s="7">
        <f>(F1187-G1187)/Speed_Calc!G$2*9.806</f>
        <v>-89.624940415578905</v>
      </c>
      <c r="I1187" s="4">
        <f t="shared" si="77"/>
        <v>31.972222222222221</v>
      </c>
    </row>
    <row r="1188" spans="1:9" x14ac:dyDescent="0.2">
      <c r="A1188" s="11">
        <v>115.2</v>
      </c>
      <c r="B1188" s="15">
        <v>3.133</v>
      </c>
      <c r="C1188" s="11">
        <f t="shared" si="74"/>
        <v>14928.760880124146</v>
      </c>
      <c r="D1188" s="11">
        <f t="shared" si="75"/>
        <v>-5849.5209306783872</v>
      </c>
      <c r="E1188" s="11">
        <f t="shared" si="76"/>
        <v>-13709.814681277474</v>
      </c>
      <c r="F1188" s="11">
        <f>Speed_Calc!B$5*E1188</f>
        <v>-12338.833213149726</v>
      </c>
      <c r="G1188" s="15">
        <f>Speed_Calc!G$3+Speed_Calc!G$5*A1188^2</f>
        <v>73.216870400000005</v>
      </c>
      <c r="H1188" s="7">
        <f>(F1188-G1188)/Speed_Calc!G$2*9.806</f>
        <v>-90.157454162435997</v>
      </c>
      <c r="I1188" s="4">
        <f t="shared" si="77"/>
        <v>32</v>
      </c>
    </row>
    <row r="1189" spans="1:9" x14ac:dyDescent="0.2">
      <c r="A1189" s="11">
        <v>115.299999999999</v>
      </c>
      <c r="B1189" s="15">
        <v>3.133</v>
      </c>
      <c r="C1189" s="11">
        <f t="shared" si="74"/>
        <v>14941.719873943572</v>
      </c>
      <c r="D1189" s="11">
        <f t="shared" si="75"/>
        <v>-5889.4804593234012</v>
      </c>
      <c r="E1189" s="11">
        <f t="shared" si="76"/>
        <v>-13791.498040046245</v>
      </c>
      <c r="F1189" s="11">
        <f>Speed_Calc!B$5*E1189</f>
        <v>-12412.34823604162</v>
      </c>
      <c r="G1189" s="15">
        <f>Speed_Calc!G$3+Speed_Calc!G$5*A1189^2</f>
        <v>73.309300899999073</v>
      </c>
      <c r="H1189" s="7">
        <f>(F1189-G1189)/Speed_Calc!G$2*9.806</f>
        <v>-90.692116894258888</v>
      </c>
      <c r="I1189" s="4">
        <f t="shared" si="77"/>
        <v>32.027777777777501</v>
      </c>
    </row>
    <row r="1190" spans="1:9" x14ac:dyDescent="0.2">
      <c r="A1190" s="11">
        <v>115.399999999999</v>
      </c>
      <c r="B1190" s="15">
        <v>3.133</v>
      </c>
      <c r="C1190" s="11">
        <f t="shared" si="74"/>
        <v>14954.678867763121</v>
      </c>
      <c r="D1190" s="11">
        <f t="shared" si="75"/>
        <v>-5929.6413240895336</v>
      </c>
      <c r="E1190" s="11">
        <f t="shared" si="76"/>
        <v>-13873.510896916709</v>
      </c>
      <c r="F1190" s="11">
        <f>Speed_Calc!B$5*E1190</f>
        <v>-12486.159807225038</v>
      </c>
      <c r="G1190" s="15">
        <f>Speed_Calc!G$3+Speed_Calc!G$5*A1190^2</f>
        <v>73.401811599999064</v>
      </c>
      <c r="H1190" s="7">
        <f>(F1190-G1190)/Speed_Calc!G$2*9.806</f>
        <v>-91.228934247554307</v>
      </c>
      <c r="I1190" s="4">
        <f t="shared" si="77"/>
        <v>32.055555555555273</v>
      </c>
    </row>
    <row r="1191" spans="1:9" x14ac:dyDescent="0.2">
      <c r="A1191" s="11">
        <v>115.49999999999901</v>
      </c>
      <c r="B1191" s="15">
        <v>3.133</v>
      </c>
      <c r="C1191" s="11">
        <f t="shared" si="74"/>
        <v>14967.637861582674</v>
      </c>
      <c r="D1191" s="11">
        <f t="shared" si="75"/>
        <v>-5970.0042603907577</v>
      </c>
      <c r="E1191" s="11">
        <f t="shared" si="76"/>
        <v>-13955.854115199296</v>
      </c>
      <c r="F1191" s="11">
        <f>Speed_Calc!B$5*E1191</f>
        <v>-12560.268703679367</v>
      </c>
      <c r="G1191" s="15">
        <f>Speed_Calc!G$3+Speed_Calc!G$5*A1191^2</f>
        <v>73.494402499999069</v>
      </c>
      <c r="H1191" s="7">
        <f>(F1191-G1191)/Speed_Calc!G$2*9.806</f>
        <v>-91.767911866070264</v>
      </c>
      <c r="I1191" s="4">
        <f t="shared" si="77"/>
        <v>32.083333333333059</v>
      </c>
    </row>
    <row r="1192" spans="1:9" x14ac:dyDescent="0.2">
      <c r="A1192" s="11">
        <v>115.599999999999</v>
      </c>
      <c r="B1192" s="15">
        <v>3.133</v>
      </c>
      <c r="C1192" s="11">
        <f t="shared" si="74"/>
        <v>14980.596855402224</v>
      </c>
      <c r="D1192" s="11">
        <f t="shared" si="75"/>
        <v>-6010.5700053956161</v>
      </c>
      <c r="E1192" s="11">
        <f t="shared" si="76"/>
        <v>-14038.528559315144</v>
      </c>
      <c r="F1192" s="11">
        <f>Speed_Calc!B$5*E1192</f>
        <v>-12634.675703383629</v>
      </c>
      <c r="G1192" s="15">
        <f>Speed_Calc!G$3+Speed_Calc!G$5*A1192^2</f>
        <v>73.587073599999073</v>
      </c>
      <c r="H1192" s="7">
        <f>(F1192-G1192)/Speed_Calc!G$2*9.806</f>
        <v>-92.309055400815879</v>
      </c>
      <c r="I1192" s="4">
        <f t="shared" si="77"/>
        <v>32.11111111111083</v>
      </c>
    </row>
    <row r="1193" spans="1:9" x14ac:dyDescent="0.2">
      <c r="A1193" s="11">
        <v>115.69999999999899</v>
      </c>
      <c r="B1193" s="15">
        <v>3.133</v>
      </c>
      <c r="C1193" s="11">
        <f t="shared" si="74"/>
        <v>14993.555849221779</v>
      </c>
      <c r="D1193" s="11">
        <f t="shared" si="75"/>
        <v>-6051.3392980289873</v>
      </c>
      <c r="E1193" s="11">
        <f t="shared" si="76"/>
        <v>-14121.53509479551</v>
      </c>
      <c r="F1193" s="11">
        <f>Speed_Calc!B$5*E1193</f>
        <v>-12709.381585315959</v>
      </c>
      <c r="G1193" s="15">
        <f>Speed_Calc!G$3+Speed_Calc!G$5*A1193^2</f>
        <v>73.679824899999062</v>
      </c>
      <c r="H1193" s="7">
        <f>(F1193-G1193)/Speed_Calc!G$2*9.806</f>
        <v>-92.852370510057526</v>
      </c>
      <c r="I1193" s="4">
        <f t="shared" si="77"/>
        <v>32.138888888888609</v>
      </c>
    </row>
    <row r="1194" spans="1:9" x14ac:dyDescent="0.2">
      <c r="A1194" s="11">
        <v>115.799999999999</v>
      </c>
      <c r="B1194" s="15">
        <v>3.133</v>
      </c>
      <c r="C1194" s="11">
        <f t="shared" si="74"/>
        <v>15006.514843041328</v>
      </c>
      <c r="D1194" s="11">
        <f t="shared" si="75"/>
        <v>-6092.3128789740222</v>
      </c>
      <c r="E1194" s="11">
        <f t="shared" si="76"/>
        <v>-14204.874588281526</v>
      </c>
      <c r="F1194" s="11">
        <f>Speed_Calc!B$5*E1194</f>
        <v>-12784.387129453373</v>
      </c>
      <c r="G1194" s="15">
        <f>Speed_Calc!G$3+Speed_Calc!G$5*A1194^2</f>
        <v>73.772656399999065</v>
      </c>
      <c r="H1194" s="7">
        <f>(F1194-G1194)/Speed_Calc!G$2*9.806</f>
        <v>-93.397862859317158</v>
      </c>
      <c r="I1194" s="4">
        <f t="shared" si="77"/>
        <v>32.166666666666387</v>
      </c>
    </row>
    <row r="1195" spans="1:9" x14ac:dyDescent="0.2">
      <c r="A1195" s="11">
        <v>115.899999999999</v>
      </c>
      <c r="B1195" s="15">
        <v>3.133</v>
      </c>
      <c r="C1195" s="11">
        <f t="shared" si="74"/>
        <v>15019.473836860885</v>
      </c>
      <c r="D1195" s="11">
        <f t="shared" si="75"/>
        <v>-6133.4914906743297</v>
      </c>
      <c r="E1195" s="11">
        <f t="shared" si="76"/>
        <v>-14288.547907524446</v>
      </c>
      <c r="F1195" s="11">
        <f>Speed_Calc!B$5*E1195</f>
        <v>-12859.693116772001</v>
      </c>
      <c r="G1195" s="15">
        <f>Speed_Calc!G$3+Speed_Calc!G$5*A1195^2</f>
        <v>73.865568099999052</v>
      </c>
      <c r="H1195" s="7">
        <f>(F1195-G1195)/Speed_Calc!G$2*9.806</f>
        <v>-93.945538121373943</v>
      </c>
      <c r="I1195" s="4">
        <f t="shared" si="77"/>
        <v>32.194444444444166</v>
      </c>
    </row>
    <row r="1196" spans="1:9" x14ac:dyDescent="0.2">
      <c r="A1196" s="11">
        <v>115.99999999999901</v>
      </c>
      <c r="B1196" s="15">
        <v>3.133</v>
      </c>
      <c r="C1196" s="11">
        <f t="shared" si="74"/>
        <v>15032.432830680435</v>
      </c>
      <c r="D1196" s="11">
        <f t="shared" si="75"/>
        <v>-6174.8758773359341</v>
      </c>
      <c r="E1196" s="11">
        <f t="shared" si="76"/>
        <v>-14372.555921385487</v>
      </c>
      <c r="F1196" s="11">
        <f>Speed_Calc!B$5*E1196</f>
        <v>-12935.300329246938</v>
      </c>
      <c r="G1196" s="15">
        <f>Speed_Calc!G$3+Speed_Calc!G$5*A1196^2</f>
        <v>73.958559999999068</v>
      </c>
      <c r="H1196" s="7">
        <f>(F1196-G1196)/Speed_Calc!G$2*9.806</f>
        <v>-94.49540197626331</v>
      </c>
      <c r="I1196" s="4">
        <f t="shared" si="77"/>
        <v>32.222222222221944</v>
      </c>
    </row>
    <row r="1197" spans="1:9" x14ac:dyDescent="0.2">
      <c r="A1197" s="11">
        <v>116.099999999999</v>
      </c>
      <c r="B1197" s="15">
        <v>3.133</v>
      </c>
      <c r="C1197" s="11">
        <f t="shared" si="74"/>
        <v>15045.39182449999</v>
      </c>
      <c r="D1197" s="11">
        <f t="shared" si="75"/>
        <v>-6216.4667849293774</v>
      </c>
      <c r="E1197" s="11">
        <f t="shared" si="76"/>
        <v>-14456.899499835885</v>
      </c>
      <c r="F1197" s="11">
        <f>Speed_Calc!B$5*E1197</f>
        <v>-13011.209549852296</v>
      </c>
      <c r="G1197" s="15">
        <f>Speed_Calc!G$3+Speed_Calc!G$5*A1197^2</f>
        <v>74.051632099999068</v>
      </c>
      <c r="H1197" s="7">
        <f>(F1197-G1197)/Speed_Calc!G$2*9.806</f>
        <v>-95.047460111277175</v>
      </c>
      <c r="I1197" s="4">
        <f t="shared" si="77"/>
        <v>32.249999999999723</v>
      </c>
    </row>
    <row r="1198" spans="1:9" x14ac:dyDescent="0.2">
      <c r="A1198" s="11">
        <v>116.19999999999899</v>
      </c>
      <c r="B1198" s="15">
        <v>3.133</v>
      </c>
      <c r="C1198" s="11">
        <f t="shared" si="74"/>
        <v>15058.350818319537</v>
      </c>
      <c r="D1198" s="11">
        <f t="shared" si="75"/>
        <v>-6258.2649611917177</v>
      </c>
      <c r="E1198" s="11">
        <f t="shared" si="76"/>
        <v>-14541.579513956785</v>
      </c>
      <c r="F1198" s="11">
        <f>Speed_Calc!B$5*E1198</f>
        <v>-13087.421562561107</v>
      </c>
      <c r="G1198" s="15">
        <f>Speed_Calc!G$3+Speed_Calc!G$5*A1198^2</f>
        <v>74.144784399999054</v>
      </c>
      <c r="H1198" s="7">
        <f>(F1198-G1198)/Speed_Calc!G$2*9.806</f>
        <v>-95.601718220963406</v>
      </c>
      <c r="I1198" s="4">
        <f t="shared" si="77"/>
        <v>32.277777777777494</v>
      </c>
    </row>
    <row r="1199" spans="1:9" x14ac:dyDescent="0.2">
      <c r="A1199" s="11">
        <v>116.299999999999</v>
      </c>
      <c r="B1199" s="15">
        <v>3.133</v>
      </c>
      <c r="C1199" s="11">
        <f t="shared" si="74"/>
        <v>15071.309812139094</v>
      </c>
      <c r="D1199" s="11">
        <f t="shared" si="75"/>
        <v>-6300.271155628745</v>
      </c>
      <c r="E1199" s="11">
        <f t="shared" si="76"/>
        <v>-14626.596835939597</v>
      </c>
      <c r="F1199" s="11">
        <f>Speed_Calc!B$5*E1199</f>
        <v>-13163.937152345638</v>
      </c>
      <c r="G1199" s="15">
        <f>Speed_Calc!G$3+Speed_Calc!G$5*A1199^2</f>
        <v>74.238016899999067</v>
      </c>
      <c r="H1199" s="7">
        <f>(F1199-G1199)/Speed_Calc!G$2*9.806</f>
        <v>-96.15818200712792</v>
      </c>
      <c r="I1199" s="4">
        <f t="shared" si="77"/>
        <v>32.30555555555528</v>
      </c>
    </row>
    <row r="1200" spans="1:9" x14ac:dyDescent="0.2">
      <c r="A1200" s="11">
        <v>116.399999999999</v>
      </c>
      <c r="B1200" s="15">
        <v>3.133</v>
      </c>
      <c r="C1200" s="11">
        <f t="shared" si="74"/>
        <v>15084.268805958642</v>
      </c>
      <c r="D1200" s="11">
        <f t="shared" si="75"/>
        <v>-6342.4861195167814</v>
      </c>
      <c r="E1200" s="11">
        <f t="shared" si="76"/>
        <v>-14711.952339085448</v>
      </c>
      <c r="F1200" s="11">
        <f>Speed_Calc!B$5*E1200</f>
        <v>-13240.757105176905</v>
      </c>
      <c r="G1200" s="15">
        <f>Speed_Calc!G$3+Speed_Calc!G$5*A1200^2</f>
        <v>74.331329599999066</v>
      </c>
      <c r="H1200" s="7">
        <f>(F1200-G1200)/Speed_Calc!G$2*9.806</f>
        <v>-96.716857178831333</v>
      </c>
      <c r="I1200" s="4">
        <f t="shared" si="77"/>
        <v>32.333333333333051</v>
      </c>
    </row>
    <row r="1201" spans="1:9" x14ac:dyDescent="0.2">
      <c r="A1201" s="11">
        <v>116.49999999999901</v>
      </c>
      <c r="B1201" s="15">
        <v>3.133</v>
      </c>
      <c r="C1201" s="11">
        <f t="shared" si="74"/>
        <v>15097.2277997782</v>
      </c>
      <c r="D1201" s="11">
        <f t="shared" si="75"/>
        <v>-6384.9106059049918</v>
      </c>
      <c r="E1201" s="11">
        <f t="shared" si="76"/>
        <v>-14797.646897805682</v>
      </c>
      <c r="F1201" s="11">
        <f>Speed_Calc!B$5*E1201</f>
        <v>-13317.882208025114</v>
      </c>
      <c r="G1201" s="15">
        <f>Speed_Calc!G$3+Speed_Calc!G$5*A1201^2</f>
        <v>74.424722499999064</v>
      </c>
      <c r="H1201" s="7">
        <f>(F1201-G1201)/Speed_Calc!G$2*9.806</f>
        <v>-97.277749452392044</v>
      </c>
      <c r="I1201" s="4">
        <f t="shared" si="77"/>
        <v>32.361111111110837</v>
      </c>
    </row>
    <row r="1202" spans="1:9" x14ac:dyDescent="0.2">
      <c r="A1202" s="11">
        <v>116.599999999999</v>
      </c>
      <c r="B1202" s="15">
        <v>3.133</v>
      </c>
      <c r="C1202" s="11">
        <f t="shared" si="74"/>
        <v>15110.186793597744</v>
      </c>
      <c r="D1202" s="11">
        <f t="shared" si="75"/>
        <v>-6427.5453696172171</v>
      </c>
      <c r="E1202" s="11">
        <f t="shared" si="76"/>
        <v>-14883.681387621476</v>
      </c>
      <c r="F1202" s="11">
        <f>Speed_Calc!B$5*E1202</f>
        <v>-13395.313248859329</v>
      </c>
      <c r="G1202" s="15">
        <f>Speed_Calc!G$3+Speed_Calc!G$5*A1202^2</f>
        <v>74.518195599999061</v>
      </c>
      <c r="H1202" s="7">
        <f>(F1202-G1202)/Speed_Calc!G$2*9.806</f>
        <v>-97.840864551383831</v>
      </c>
      <c r="I1202" s="4">
        <f t="shared" si="77"/>
        <v>32.388888888888609</v>
      </c>
    </row>
    <row r="1203" spans="1:9" x14ac:dyDescent="0.2">
      <c r="A1203" s="11">
        <v>116.69999999999899</v>
      </c>
      <c r="B1203" s="15">
        <v>3.133</v>
      </c>
      <c r="C1203" s="11">
        <f t="shared" si="74"/>
        <v>15123.145787417301</v>
      </c>
      <c r="D1203" s="11">
        <f t="shared" si="75"/>
        <v>-6470.3911672542617</v>
      </c>
      <c r="E1203" s="11">
        <f t="shared" si="76"/>
        <v>-14970.056685164231</v>
      </c>
      <c r="F1203" s="11">
        <f>Speed_Calc!B$5*E1203</f>
        <v>-13473.051016647807</v>
      </c>
      <c r="G1203" s="15">
        <f>Speed_Calc!G$3+Speed_Calc!G$5*A1203^2</f>
        <v>74.611748899999043</v>
      </c>
      <c r="H1203" s="7">
        <f>(F1203-G1203)/Speed_Calc!G$2*9.806</f>
        <v>-98.40620820663834</v>
      </c>
      <c r="I1203" s="4">
        <f t="shared" si="77"/>
        <v>32.416666666666387</v>
      </c>
    </row>
    <row r="1204" spans="1:9" x14ac:dyDescent="0.2">
      <c r="A1204" s="11">
        <v>116.799999999999</v>
      </c>
      <c r="B1204" s="15">
        <v>3.133</v>
      </c>
      <c r="C1204" s="11">
        <f t="shared" si="74"/>
        <v>15136.104781236854</v>
      </c>
      <c r="D1204" s="11">
        <f t="shared" si="75"/>
        <v>-6513.4487571957261</v>
      </c>
      <c r="E1204" s="11">
        <f t="shared" si="76"/>
        <v>-15056.773668175178</v>
      </c>
      <c r="F1204" s="11">
        <f>Speed_Calc!B$5*E1204</f>
        <v>-13551.09630135766</v>
      </c>
      <c r="G1204" s="15">
        <f>Speed_Calc!G$3+Speed_Calc!G$5*A1204^2</f>
        <v>74.705382399999053</v>
      </c>
      <c r="H1204" s="7">
        <f>(F1204-G1204)/Speed_Calc!G$2*9.806</f>
        <v>-98.973786156242667</v>
      </c>
      <c r="I1204" s="4">
        <f t="shared" si="77"/>
        <v>32.444444444444166</v>
      </c>
    </row>
    <row r="1205" spans="1:9" x14ac:dyDescent="0.2">
      <c r="A1205" s="11">
        <v>116.899999999999</v>
      </c>
      <c r="B1205" s="15">
        <v>3.133</v>
      </c>
      <c r="C1205" s="11">
        <f t="shared" si="74"/>
        <v>15149.063775056406</v>
      </c>
      <c r="D1205" s="11">
        <f t="shared" si="75"/>
        <v>-6556.7188996021769</v>
      </c>
      <c r="E1205" s="11">
        <f t="shared" si="76"/>
        <v>-15143.833215505585</v>
      </c>
      <c r="F1205" s="11">
        <f>Speed_Calc!B$5*E1205</f>
        <v>-13629.449893955027</v>
      </c>
      <c r="G1205" s="15">
        <f>Speed_Calc!G$3+Speed_Calc!G$5*A1205^2</f>
        <v>74.799096099999048</v>
      </c>
      <c r="H1205" s="7">
        <f>(F1205-G1205)/Speed_Calc!G$2*9.806</f>
        <v>-99.543604145540428</v>
      </c>
      <c r="I1205" s="4">
        <f t="shared" si="77"/>
        <v>32.472222222221944</v>
      </c>
    </row>
    <row r="1206" spans="1:9" x14ac:dyDescent="0.2">
      <c r="A1206" s="11">
        <v>116.99999999999901</v>
      </c>
      <c r="B1206" s="15">
        <v>3.133</v>
      </c>
      <c r="C1206" s="11">
        <f t="shared" si="74"/>
        <v>15162.022768875959</v>
      </c>
      <c r="D1206" s="11">
        <f t="shared" si="75"/>
        <v>-6600.2023564172268</v>
      </c>
      <c r="E1206" s="11">
        <f t="shared" si="76"/>
        <v>-15231.236207116806</v>
      </c>
      <c r="F1206" s="11">
        <f>Speed_Calc!B$5*E1206</f>
        <v>-13708.112586405126</v>
      </c>
      <c r="G1206" s="15">
        <f>Speed_Calc!G$3+Speed_Calc!G$5*A1206^2</f>
        <v>74.892889999999056</v>
      </c>
      <c r="H1206" s="7">
        <f>(F1206-G1206)/Speed_Calc!G$2*9.806</f>
        <v>-100.11566792713232</v>
      </c>
      <c r="I1206" s="4">
        <f t="shared" si="77"/>
        <v>32.499999999999723</v>
      </c>
    </row>
    <row r="1207" spans="1:9" x14ac:dyDescent="0.2">
      <c r="A1207" s="11">
        <v>117.099999999999</v>
      </c>
      <c r="B1207" s="15">
        <v>3.133</v>
      </c>
      <c r="C1207" s="11">
        <f t="shared" si="74"/>
        <v>15174.981762695508</v>
      </c>
      <c r="D1207" s="11">
        <f t="shared" si="75"/>
        <v>-6643.8998913695023</v>
      </c>
      <c r="E1207" s="11">
        <f t="shared" si="76"/>
        <v>-15318.983524080113</v>
      </c>
      <c r="F1207" s="11">
        <f>Speed_Calc!B$5*E1207</f>
        <v>-13787.085171672103</v>
      </c>
      <c r="G1207" s="15">
        <f>Speed_Calc!G$3+Speed_Calc!G$5*A1207^2</f>
        <v>74.98676409999905</v>
      </c>
      <c r="H1207" s="7">
        <f>(F1207-G1207)/Speed_Calc!G$2*9.806</f>
        <v>-100.68998326087497</v>
      </c>
      <c r="I1207" s="4">
        <f t="shared" si="77"/>
        <v>32.527777777777501</v>
      </c>
    </row>
    <row r="1208" spans="1:9" x14ac:dyDescent="0.2">
      <c r="A1208" s="11">
        <v>117.19999999999899</v>
      </c>
      <c r="B1208" s="15">
        <v>3.133</v>
      </c>
      <c r="C1208" s="11">
        <f t="shared" si="74"/>
        <v>15187.940756515058</v>
      </c>
      <c r="D1208" s="11">
        <f t="shared" si="75"/>
        <v>-6687.8122699747992</v>
      </c>
      <c r="E1208" s="11">
        <f t="shared" si="76"/>
        <v>-15407.076048576891</v>
      </c>
      <c r="F1208" s="11">
        <f>Speed_Calc!B$5*E1208</f>
        <v>-13866.368443719202</v>
      </c>
      <c r="G1208" s="15">
        <f>Speed_Calc!G$3+Speed_Calc!G$5*A1208^2</f>
        <v>75.080718399999057</v>
      </c>
      <c r="H1208" s="7">
        <f>(F1208-G1208)/Speed_Calc!G$2*9.806</f>
        <v>-101.26655591388213</v>
      </c>
      <c r="I1208" s="4">
        <f t="shared" si="77"/>
        <v>32.555555555555273</v>
      </c>
    </row>
    <row r="1209" spans="1:9" x14ac:dyDescent="0.2">
      <c r="A1209" s="11">
        <v>117.299999999999</v>
      </c>
      <c r="B1209" s="15">
        <v>3.133</v>
      </c>
      <c r="C1209" s="11">
        <f t="shared" si="74"/>
        <v>15200.899750334615</v>
      </c>
      <c r="D1209" s="11">
        <f t="shared" si="75"/>
        <v>-6731.9402595380525</v>
      </c>
      <c r="E1209" s="11">
        <f t="shared" si="76"/>
        <v>-15495.514663898462</v>
      </c>
      <c r="F1209" s="11">
        <f>Speed_Calc!B$5*E1209</f>
        <v>-13945.963197508616</v>
      </c>
      <c r="G1209" s="15">
        <f>Speed_Calc!G$3+Speed_Calc!G$5*A1209^2</f>
        <v>75.174752899999049</v>
      </c>
      <c r="H1209" s="7">
        <f>(F1209-G1209)/Speed_Calc!G$2*9.806</f>
        <v>-101.8453916605236</v>
      </c>
      <c r="I1209" s="4">
        <f t="shared" si="77"/>
        <v>32.583333333333059</v>
      </c>
    </row>
    <row r="1210" spans="1:9" x14ac:dyDescent="0.2">
      <c r="A1210" s="11">
        <v>117.399999999999</v>
      </c>
      <c r="B1210" s="15">
        <v>3.133</v>
      </c>
      <c r="C1210" s="11">
        <f t="shared" si="74"/>
        <v>15213.858744154168</v>
      </c>
      <c r="D1210" s="11">
        <f t="shared" si="75"/>
        <v>-6776.2846291554097</v>
      </c>
      <c r="E1210" s="11">
        <f t="shared" si="76"/>
        <v>-15584.300254446132</v>
      </c>
      <c r="F1210" s="11">
        <f>Speed_Calc!B$5*E1210</f>
        <v>-14025.870229001519</v>
      </c>
      <c r="G1210" s="15">
        <f>Speed_Calc!G$3+Speed_Calc!G$5*A1210^2</f>
        <v>75.268867599999055</v>
      </c>
      <c r="H1210" s="7">
        <f>(F1210-G1210)/Speed_Calc!G$2*9.806</f>
        <v>-102.42649628242553</v>
      </c>
      <c r="I1210" s="4">
        <f t="shared" si="77"/>
        <v>32.61111111111083</v>
      </c>
    </row>
    <row r="1211" spans="1:9" x14ac:dyDescent="0.2">
      <c r="A1211" s="11">
        <v>117.49999999999901</v>
      </c>
      <c r="B1211" s="15">
        <v>3.133</v>
      </c>
      <c r="C1211" s="11">
        <f t="shared" si="74"/>
        <v>15226.817737973719</v>
      </c>
      <c r="D1211" s="11">
        <f t="shared" si="75"/>
        <v>-6820.8461497163225</v>
      </c>
      <c r="E1211" s="11">
        <f t="shared" si="76"/>
        <v>-15673.433705731257</v>
      </c>
      <c r="F1211" s="11">
        <f>Speed_Calc!B$5*E1211</f>
        <v>-14106.090335158131</v>
      </c>
      <c r="G1211" s="15">
        <f>Speed_Calc!G$3+Speed_Calc!G$5*A1211^2</f>
        <v>75.363062499999046</v>
      </c>
      <c r="H1211" s="7">
        <f>(F1211-G1211)/Speed_Calc!G$2*9.806</f>
        <v>-103.00987556847082</v>
      </c>
      <c r="I1211" s="4">
        <f t="shared" si="77"/>
        <v>32.638888888888609</v>
      </c>
    </row>
    <row r="1212" spans="1:9" x14ac:dyDescent="0.2">
      <c r="A1212" s="11">
        <v>117.599999999999</v>
      </c>
      <c r="B1212" s="15">
        <v>3.133</v>
      </c>
      <c r="C1212" s="11">
        <f t="shared" si="74"/>
        <v>15239.776731793272</v>
      </c>
      <c r="D1212" s="11">
        <f t="shared" si="75"/>
        <v>-6865.6255939055864</v>
      </c>
      <c r="E1212" s="11">
        <f t="shared" si="76"/>
        <v>-15762.915904375202</v>
      </c>
      <c r="F1212" s="11">
        <f>Speed_Calc!B$5*E1212</f>
        <v>-14186.624313937682</v>
      </c>
      <c r="G1212" s="15">
        <f>Speed_Calc!G$3+Speed_Calc!G$5*A1212^2</f>
        <v>75.45733759999905</v>
      </c>
      <c r="H1212" s="7">
        <f>(F1212-G1212)/Speed_Calc!G$2*9.806</f>
        <v>-103.59553531479888</v>
      </c>
      <c r="I1212" s="4">
        <f t="shared" si="77"/>
        <v>32.666666666666387</v>
      </c>
    </row>
    <row r="1213" spans="1:9" x14ac:dyDescent="0.2">
      <c r="A1213" s="11">
        <v>117.69999999999899</v>
      </c>
      <c r="B1213" s="15">
        <v>3.133</v>
      </c>
      <c r="C1213" s="11">
        <f t="shared" si="74"/>
        <v>15252.735725612825</v>
      </c>
      <c r="D1213" s="11">
        <f t="shared" si="75"/>
        <v>-6910.6237362053998</v>
      </c>
      <c r="E1213" s="11">
        <f t="shared" si="76"/>
        <v>-15852.747738109376</v>
      </c>
      <c r="F1213" s="11">
        <f>Speed_Calc!B$5*E1213</f>
        <v>-14267.472964298438</v>
      </c>
      <c r="G1213" s="15">
        <f>Speed_Calc!G$3+Speed_Calc!G$5*A1213^2</f>
        <v>75.55169289999904</v>
      </c>
      <c r="H1213" s="7">
        <f>(F1213-G1213)/Speed_Calc!G$2*9.806</f>
        <v>-104.18348132480583</v>
      </c>
      <c r="I1213" s="4">
        <f t="shared" si="77"/>
        <v>32.694444444444166</v>
      </c>
    </row>
    <row r="1214" spans="1:9" x14ac:dyDescent="0.2">
      <c r="A1214" s="11">
        <v>117.799999999999</v>
      </c>
      <c r="B1214" s="15">
        <v>3.133</v>
      </c>
      <c r="C1214" s="11">
        <f t="shared" si="74"/>
        <v>15265.694719432375</v>
      </c>
      <c r="D1214" s="11">
        <f t="shared" si="75"/>
        <v>-6955.8413528973633</v>
      </c>
      <c r="E1214" s="11">
        <f t="shared" si="76"/>
        <v>-15942.930095775077</v>
      </c>
      <c r="F1214" s="11">
        <f>Speed_Calc!B$5*E1214</f>
        <v>-14348.637086197568</v>
      </c>
      <c r="G1214" s="15">
        <f>Speed_Calc!G$3+Speed_Calc!G$5*A1214^2</f>
        <v>75.646128399999057</v>
      </c>
      <c r="H1214" s="7">
        <f>(F1214-G1214)/Speed_Calc!G$2*9.806</f>
        <v>-104.77371940914351</v>
      </c>
      <c r="I1214" s="4">
        <f t="shared" si="77"/>
        <v>32.722222222221944</v>
      </c>
    </row>
    <row r="1215" spans="1:9" x14ac:dyDescent="0.2">
      <c r="A1215" s="11">
        <v>117.899999999999</v>
      </c>
      <c r="B1215" s="15">
        <v>3.133</v>
      </c>
      <c r="C1215" s="11">
        <f t="shared" si="74"/>
        <v>15278.653713251928</v>
      </c>
      <c r="D1215" s="11">
        <f t="shared" si="75"/>
        <v>-7001.2792220646506</v>
      </c>
      <c r="E1215" s="11">
        <f t="shared" si="76"/>
        <v>-16033.46386732376</v>
      </c>
      <c r="F1215" s="11">
        <f>Speed_Calc!B$5*E1215</f>
        <v>-14430.117480591385</v>
      </c>
      <c r="G1215" s="15">
        <f>Speed_Calc!G$3+Speed_Calc!G$5*A1215^2</f>
        <v>75.740644099999045</v>
      </c>
      <c r="H1215" s="7">
        <f>(F1215-G1215)/Speed_Calc!G$2*9.806</f>
        <v>-105.36625538572126</v>
      </c>
      <c r="I1215" s="4">
        <f t="shared" si="77"/>
        <v>32.749999999999723</v>
      </c>
    </row>
    <row r="1216" spans="1:9" x14ac:dyDescent="0.2">
      <c r="A1216" s="11">
        <v>117.99999999999901</v>
      </c>
      <c r="B1216" s="15">
        <v>3.133</v>
      </c>
      <c r="C1216" s="11">
        <f t="shared" si="74"/>
        <v>15291.612707071481</v>
      </c>
      <c r="D1216" s="11">
        <f t="shared" si="75"/>
        <v>-7046.9381235939481</v>
      </c>
      <c r="E1216" s="11">
        <f t="shared" si="76"/>
        <v>-16124.349943816795</v>
      </c>
      <c r="F1216" s="11">
        <f>Speed_Calc!B$5*E1216</f>
        <v>-14511.914949435115</v>
      </c>
      <c r="G1216" s="15">
        <f>Speed_Calc!G$3+Speed_Calc!G$5*A1216^2</f>
        <v>75.835239999999061</v>
      </c>
      <c r="H1216" s="7">
        <f>(F1216-G1216)/Speed_Calc!G$2*9.806</f>
        <v>-105.96109507970422</v>
      </c>
      <c r="I1216" s="4">
        <f t="shared" si="77"/>
        <v>32.777777777777501</v>
      </c>
    </row>
    <row r="1217" spans="1:9" x14ac:dyDescent="0.2">
      <c r="A1217" s="11">
        <v>118.099999999999</v>
      </c>
      <c r="B1217" s="15">
        <v>3.133</v>
      </c>
      <c r="C1217" s="11">
        <f t="shared" si="74"/>
        <v>15304.571700891032</v>
      </c>
      <c r="D1217" s="11">
        <f t="shared" si="75"/>
        <v>-7092.818839177573</v>
      </c>
      <c r="E1217" s="11">
        <f t="shared" si="76"/>
        <v>-16215.589217425579</v>
      </c>
      <c r="F1217" s="11">
        <f>Speed_Calc!B$5*E1217</f>
        <v>-14594.030295683022</v>
      </c>
      <c r="G1217" s="15">
        <f>Speed_Calc!G$3+Speed_Calc!G$5*A1217^2</f>
        <v>75.929916099999048</v>
      </c>
      <c r="H1217" s="7">
        <f>(F1217-G1217)/Speed_Calc!G$2*9.806</f>
        <v>-106.5582443235143</v>
      </c>
      <c r="I1217" s="4">
        <f t="shared" si="77"/>
        <v>32.80555555555528</v>
      </c>
    </row>
    <row r="1218" spans="1:9" x14ac:dyDescent="0.2">
      <c r="A1218" s="11">
        <v>118.19999999999899</v>
      </c>
      <c r="B1218" s="15">
        <v>3.133</v>
      </c>
      <c r="C1218" s="11">
        <f t="shared" si="74"/>
        <v>15317.53069471058</v>
      </c>
      <c r="D1218" s="11">
        <f t="shared" si="75"/>
        <v>-7138.922152315502</v>
      </c>
      <c r="E1218" s="11">
        <f t="shared" si="76"/>
        <v>-16307.182581431494</v>
      </c>
      <c r="F1218" s="11">
        <f>Speed_Calc!B$5*E1218</f>
        <v>-14676.464323288345</v>
      </c>
      <c r="G1218" s="15">
        <f>Speed_Calc!G$3+Speed_Calc!G$5*A1218^2</f>
        <v>76.024672399999048</v>
      </c>
      <c r="H1218" s="7">
        <f>(F1218-G1218)/Speed_Calc!G$2*9.806</f>
        <v>-107.15770895682954</v>
      </c>
      <c r="I1218" s="4">
        <f t="shared" si="77"/>
        <v>32.833333333333051</v>
      </c>
    </row>
    <row r="1219" spans="1:9" x14ac:dyDescent="0.2">
      <c r="A1219" s="11">
        <v>118.299999999999</v>
      </c>
      <c r="B1219" s="15">
        <v>3.133</v>
      </c>
      <c r="C1219" s="11">
        <f t="shared" si="74"/>
        <v>15330.489688530135</v>
      </c>
      <c r="D1219" s="11">
        <f t="shared" si="75"/>
        <v>-7185.2488483175002</v>
      </c>
      <c r="E1219" s="11">
        <f t="shared" si="76"/>
        <v>-16399.130930226049</v>
      </c>
      <c r="F1219" s="11">
        <f>Speed_Calc!B$5*E1219</f>
        <v>-14759.217837203445</v>
      </c>
      <c r="G1219" s="15">
        <f>Speed_Calc!G$3+Speed_Calc!G$5*A1219^2</f>
        <v>76.119508899999062</v>
      </c>
      <c r="H1219" s="7">
        <f>(F1219-G1219)/Speed_Calc!G$2*9.806</f>
        <v>-107.75949482658545</v>
      </c>
      <c r="I1219" s="4">
        <f t="shared" si="77"/>
        <v>32.86111111111083</v>
      </c>
    </row>
    <row r="1220" spans="1:9" x14ac:dyDescent="0.2">
      <c r="A1220" s="11">
        <v>118.399999999999</v>
      </c>
      <c r="B1220" s="15">
        <v>3.133</v>
      </c>
      <c r="C1220" s="11">
        <f t="shared" si="74"/>
        <v>15343.448682349685</v>
      </c>
      <c r="D1220" s="11">
        <f t="shared" si="75"/>
        <v>-7231.7997143050261</v>
      </c>
      <c r="E1220" s="11">
        <f t="shared" si="76"/>
        <v>-16491.435159310593</v>
      </c>
      <c r="F1220" s="11">
        <f>Speed_Calc!B$5*E1220</f>
        <v>-14842.291643379534</v>
      </c>
      <c r="G1220" s="15">
        <f>Speed_Calc!G$3+Speed_Calc!G$5*A1220^2</f>
        <v>76.214425599999046</v>
      </c>
      <c r="H1220" s="7">
        <f>(F1220-G1220)/Speed_Calc!G$2*9.806</f>
        <v>-108.36360778697281</v>
      </c>
      <c r="I1220" s="4">
        <f t="shared" si="77"/>
        <v>32.888888888888609</v>
      </c>
    </row>
    <row r="1221" spans="1:9" x14ac:dyDescent="0.2">
      <c r="A1221" s="11">
        <v>118.49999999999901</v>
      </c>
      <c r="B1221" s="15">
        <v>3.133</v>
      </c>
      <c r="C1221" s="11">
        <f t="shared" si="74"/>
        <v>15356.407676169241</v>
      </c>
      <c r="D1221" s="11">
        <f t="shared" si="75"/>
        <v>-7278.5755392134606</v>
      </c>
      <c r="E1221" s="11">
        <f t="shared" si="76"/>
        <v>-16584.096165296629</v>
      </c>
      <c r="F1221" s="11">
        <f>Speed_Calc!B$5*E1221</f>
        <v>-14925.686548766966</v>
      </c>
      <c r="G1221" s="15">
        <f>Speed_Calc!G$3+Speed_Calc!G$5*A1221^2</f>
        <v>76.309422499999044</v>
      </c>
      <c r="H1221" s="7">
        <f>(F1221-G1221)/Speed_Calc!G$2*9.806</f>
        <v>-108.97005369943989</v>
      </c>
      <c r="I1221" s="4">
        <f t="shared" si="77"/>
        <v>32.916666666666387</v>
      </c>
    </row>
    <row r="1222" spans="1:9" x14ac:dyDescent="0.2">
      <c r="A1222" s="11">
        <v>118.599999999999</v>
      </c>
      <c r="B1222" s="15">
        <v>3.133</v>
      </c>
      <c r="C1222" s="11">
        <f t="shared" si="74"/>
        <v>15369.366669988793</v>
      </c>
      <c r="D1222" s="11">
        <f t="shared" si="75"/>
        <v>-7325.5771137939937</v>
      </c>
      <c r="E1222" s="11">
        <f t="shared" si="76"/>
        <v>-16677.114845905518</v>
      </c>
      <c r="F1222" s="11">
        <f>Speed_Calc!B$5*E1222</f>
        <v>-15009.403361314968</v>
      </c>
      <c r="G1222" s="15">
        <f>Speed_Calc!G$3+Speed_Calc!G$5*A1222^2</f>
        <v>76.404499599999042</v>
      </c>
      <c r="H1222" s="7">
        <f>(F1222-G1222)/Speed_Calc!G$2*9.806</f>
        <v>-109.57883843269049</v>
      </c>
      <c r="I1222" s="4">
        <f t="shared" si="77"/>
        <v>32.944444444444166</v>
      </c>
    </row>
    <row r="1223" spans="1:9" x14ac:dyDescent="0.2">
      <c r="A1223" s="11">
        <v>118.69999999999899</v>
      </c>
      <c r="B1223" s="15">
        <v>3.133</v>
      </c>
      <c r="C1223" s="11">
        <f t="shared" si="74"/>
        <v>15382.325663808344</v>
      </c>
      <c r="D1223" s="11">
        <f t="shared" si="75"/>
        <v>-7372.8052306158461</v>
      </c>
      <c r="E1223" s="11">
        <f t="shared" si="76"/>
        <v>-16770.492099968793</v>
      </c>
      <c r="F1223" s="11">
        <f>Speed_Calc!B$5*E1223</f>
        <v>-15093.442889971913</v>
      </c>
      <c r="G1223" s="15">
        <f>Speed_Calc!G$3+Speed_Calc!G$5*A1223^2</f>
        <v>76.499656899999025</v>
      </c>
      <c r="H1223" s="7">
        <f>(F1223-G1223)/Speed_Calc!G$2*9.806</f>
        <v>-110.1899678626859</v>
      </c>
      <c r="I1223" s="4">
        <f t="shared" si="77"/>
        <v>32.972222222221944</v>
      </c>
    </row>
    <row r="1224" spans="1:9" x14ac:dyDescent="0.2">
      <c r="A1224" s="11">
        <v>118.799999999999</v>
      </c>
      <c r="B1224" s="15">
        <v>3.133</v>
      </c>
      <c r="C1224" s="11">
        <f t="shared" si="74"/>
        <v>15395.284657627897</v>
      </c>
      <c r="D1224" s="11">
        <f t="shared" si="75"/>
        <v>-7420.2606840682001</v>
      </c>
      <c r="E1224" s="11">
        <f t="shared" si="76"/>
        <v>-16864.228827427865</v>
      </c>
      <c r="F1224" s="11">
        <f>Speed_Calc!B$5*E1224</f>
        <v>-15177.805944685078</v>
      </c>
      <c r="G1224" s="15">
        <f>Speed_Calc!G$3+Speed_Calc!G$5*A1224^2</f>
        <v>76.594894399999049</v>
      </c>
      <c r="H1224" s="7">
        <f>(F1224-G1224)/Speed_Calc!G$2*9.806</f>
        <v>-110.80344787264316</v>
      </c>
      <c r="I1224" s="4">
        <f t="shared" si="77"/>
        <v>32.999999999999723</v>
      </c>
    </row>
    <row r="1225" spans="1:9" x14ac:dyDescent="0.2">
      <c r="A1225" s="11">
        <v>118.899999999999</v>
      </c>
      <c r="B1225" s="15">
        <v>3.133</v>
      </c>
      <c r="C1225" s="11">
        <f t="shared" si="74"/>
        <v>15408.243651447454</v>
      </c>
      <c r="D1225" s="11">
        <f t="shared" si="75"/>
        <v>-7467.9442703623299</v>
      </c>
      <c r="E1225" s="11">
        <f t="shared" si="76"/>
        <v>-16958.325929334274</v>
      </c>
      <c r="F1225" s="11">
        <f>Speed_Calc!B$5*E1225</f>
        <v>-15262.493336400847</v>
      </c>
      <c r="G1225" s="15">
        <f>Speed_Calc!G$3+Speed_Calc!G$5*A1225^2</f>
        <v>76.69021209999903</v>
      </c>
      <c r="H1225" s="7">
        <f>(F1225-G1225)/Speed_Calc!G$2*9.806</f>
        <v>-111.4192843530365</v>
      </c>
      <c r="I1225" s="4">
        <f t="shared" si="77"/>
        <v>33.027777777777501</v>
      </c>
    </row>
    <row r="1226" spans="1:9" x14ac:dyDescent="0.2">
      <c r="A1226" s="11">
        <v>118.99999999999901</v>
      </c>
      <c r="B1226" s="15">
        <v>3.133</v>
      </c>
      <c r="C1226" s="11">
        <f t="shared" si="74"/>
        <v>15421.202645267003</v>
      </c>
      <c r="D1226" s="11">
        <f t="shared" si="75"/>
        <v>-7515.8567875335675</v>
      </c>
      <c r="E1226" s="11">
        <f t="shared" si="76"/>
        <v>-17052.784307849408</v>
      </c>
      <c r="F1226" s="11">
        <f>Speed_Calc!B$5*E1226</f>
        <v>-15347.505877064468</v>
      </c>
      <c r="G1226" s="15">
        <f>Speed_Calc!G$3+Speed_Calc!G$5*A1226^2</f>
        <v>76.785609999999053</v>
      </c>
      <c r="H1226" s="7">
        <f>(F1226-G1226)/Speed_Calc!G$2*9.806</f>
        <v>-112.03748320159568</v>
      </c>
      <c r="I1226" s="4">
        <f t="shared" si="77"/>
        <v>33.05555555555528</v>
      </c>
    </row>
    <row r="1227" spans="1:9" x14ac:dyDescent="0.2">
      <c r="A1227" s="11">
        <v>119.099999999999</v>
      </c>
      <c r="B1227" s="15">
        <v>3.133</v>
      </c>
      <c r="C1227" s="11">
        <f t="shared" si="74"/>
        <v>15434.161639086549</v>
      </c>
      <c r="D1227" s="11">
        <f t="shared" si="75"/>
        <v>-7563.9990354434613</v>
      </c>
      <c r="E1227" s="11">
        <f t="shared" si="76"/>
        <v>-17147.604866244772</v>
      </c>
      <c r="F1227" s="11">
        <f>Speed_Calc!B$5*E1227</f>
        <v>-15432.844379620296</v>
      </c>
      <c r="G1227" s="15">
        <f>Speed_Calc!G$3+Speed_Calc!G$5*A1227^2</f>
        <v>76.881088099999033</v>
      </c>
      <c r="H1227" s="7">
        <f>(F1227-G1227)/Speed_Calc!G$2*9.806</f>
        <v>-112.65805032330755</v>
      </c>
      <c r="I1227" s="4">
        <f t="shared" si="77"/>
        <v>33.083333333333051</v>
      </c>
    </row>
    <row r="1228" spans="1:9" x14ac:dyDescent="0.2">
      <c r="A1228" s="11">
        <v>119.19999999999899</v>
      </c>
      <c r="B1228" s="15">
        <v>3.133</v>
      </c>
      <c r="C1228" s="11">
        <f t="shared" si="74"/>
        <v>15447.120632906106</v>
      </c>
      <c r="D1228" s="11">
        <f t="shared" si="75"/>
        <v>-7612.3718157818439</v>
      </c>
      <c r="E1228" s="11">
        <f t="shared" si="76"/>
        <v>-17242.788508901969</v>
      </c>
      <c r="F1228" s="11">
        <f>Speed_Calc!B$5*E1228</f>
        <v>-15518.509658011773</v>
      </c>
      <c r="G1228" s="15">
        <f>Speed_Calc!G$3+Speed_Calc!G$5*A1228^2</f>
        <v>76.976646399999026</v>
      </c>
      <c r="H1228" s="7">
        <f>(F1228-G1228)/Speed_Calc!G$2*9.806</f>
        <v>-113.28099163041617</v>
      </c>
      <c r="I1228" s="4">
        <f t="shared" si="77"/>
        <v>33.11111111111083</v>
      </c>
    </row>
    <row r="1229" spans="1:9" x14ac:dyDescent="0.2">
      <c r="A1229" s="11">
        <v>119.299999999999</v>
      </c>
      <c r="B1229" s="15">
        <v>3.133</v>
      </c>
      <c r="C1229" s="11">
        <f t="shared" si="74"/>
        <v>15460.079626725657</v>
      </c>
      <c r="D1229" s="11">
        <f t="shared" si="75"/>
        <v>-7660.9759320687081</v>
      </c>
      <c r="E1229" s="11">
        <f t="shared" si="76"/>
        <v>-17338.336141312397</v>
      </c>
      <c r="F1229" s="11">
        <f>Speed_Calc!B$5*E1229</f>
        <v>-15604.502527181157</v>
      </c>
      <c r="G1229" s="15">
        <f>Speed_Calc!G$3+Speed_Calc!G$5*A1229^2</f>
        <v>77.072284899999033</v>
      </c>
      <c r="H1229" s="7">
        <f>(F1229-G1229)/Speed_Calc!G$2*9.806</f>
        <v>-113.90631304242061</v>
      </c>
      <c r="I1229" s="4">
        <f t="shared" si="77"/>
        <v>33.138888888888609</v>
      </c>
    </row>
    <row r="1230" spans="1:9" x14ac:dyDescent="0.2">
      <c r="A1230" s="11">
        <v>119.399999999999</v>
      </c>
      <c r="B1230" s="15">
        <v>3.133</v>
      </c>
      <c r="C1230" s="11">
        <f t="shared" si="74"/>
        <v>15473.038620545211</v>
      </c>
      <c r="D1230" s="11">
        <f t="shared" si="75"/>
        <v>-7709.8121896564899</v>
      </c>
      <c r="E1230" s="11">
        <f t="shared" si="76"/>
        <v>-17434.248670077635</v>
      </c>
      <c r="F1230" s="11">
        <f>Speed_Calc!B$5*E1230</f>
        <v>-15690.823803069872</v>
      </c>
      <c r="G1230" s="15">
        <f>Speed_Calc!G$3+Speed_Calc!G$5*A1230^2</f>
        <v>77.168003599999025</v>
      </c>
      <c r="H1230" s="7">
        <f>(F1230-G1230)/Speed_Calc!G$2*9.806</f>
        <v>-114.53402048607758</v>
      </c>
      <c r="I1230" s="4">
        <f t="shared" si="77"/>
        <v>33.166666666666387</v>
      </c>
    </row>
    <row r="1231" spans="1:9" x14ac:dyDescent="0.2">
      <c r="A1231" s="11">
        <v>119.49999999999901</v>
      </c>
      <c r="B1231" s="15">
        <v>3.133</v>
      </c>
      <c r="C1231" s="11">
        <f t="shared" ref="C1231:C1294" si="78">A1231/3.6/B$23/2/PI()*B$32*B$31*B1231*60</f>
        <v>15485.997614364764</v>
      </c>
      <c r="D1231" s="11">
        <f t="shared" ref="D1231:D1294" si="79">-4.687*10^(-17)*C1231^5+9.129*10^(-13)*C1231^4-6.175*10^(-9)*C1231^3+1.799*10^(-5)*C1231^2+6.502*10^(-3)*C1231</f>
        <v>-7758.8813957319517</v>
      </c>
      <c r="E1231" s="11">
        <f t="shared" ref="E1231:E1294" si="80">D1231*75*B1231*B$31*B$32/B$23/C1231/2/PI()*60</f>
        <v>-17530.527002909159</v>
      </c>
      <c r="F1231" s="11">
        <f>Speed_Calc!B$5*E1231</f>
        <v>-15777.474302618244</v>
      </c>
      <c r="G1231" s="15">
        <f>Speed_Calc!G$3+Speed_Calc!G$5*A1231^2</f>
        <v>77.263802499999031</v>
      </c>
      <c r="H1231" s="7">
        <f>(F1231-G1231)/Speed_Calc!G$2*9.806</f>
        <v>-115.16411989539961</v>
      </c>
      <c r="I1231" s="4">
        <f t="shared" ref="I1231:I1294" si="81">A1231/3.6</f>
        <v>33.194444444444166</v>
      </c>
    </row>
    <row r="1232" spans="1:9" x14ac:dyDescent="0.2">
      <c r="A1232" s="11">
        <v>119.599999999999</v>
      </c>
      <c r="B1232" s="15">
        <v>3.133</v>
      </c>
      <c r="C1232" s="11">
        <f t="shared" si="78"/>
        <v>15498.956608184317</v>
      </c>
      <c r="D1232" s="11">
        <f t="shared" si="79"/>
        <v>-7808.1843593183503</v>
      </c>
      <c r="E1232" s="11">
        <f t="shared" si="80"/>
        <v>-17627.172048628527</v>
      </c>
      <c r="F1232" s="11">
        <f>Speed_Calc!B$5*E1232</f>
        <v>-15864.454843765674</v>
      </c>
      <c r="G1232" s="15">
        <f>Speed_Calc!G$3+Speed_Calc!G$5*A1232^2</f>
        <v>77.35968159999905</v>
      </c>
      <c r="H1232" s="7">
        <f>(F1232-G1232)/Speed_Calc!G$2*9.806</f>
        <v>-115.79661721165613</v>
      </c>
      <c r="I1232" s="4">
        <f t="shared" si="81"/>
        <v>33.222222222221944</v>
      </c>
    </row>
    <row r="1233" spans="1:9" x14ac:dyDescent="0.2">
      <c r="A1233" s="11">
        <v>119.69999999999899</v>
      </c>
      <c r="B1233" s="15">
        <v>3.133</v>
      </c>
      <c r="C1233" s="11">
        <f t="shared" si="78"/>
        <v>15511.91560200387</v>
      </c>
      <c r="D1233" s="11">
        <f t="shared" si="79"/>
        <v>-7857.7218912774251</v>
      </c>
      <c r="E1233" s="11">
        <f t="shared" si="80"/>
        <v>-17724.184717167267</v>
      </c>
      <c r="F1233" s="11">
        <f>Speed_Calc!B$5*E1233</f>
        <v>-15951.766245450541</v>
      </c>
      <c r="G1233" s="15">
        <f>Speed_Calc!G$3+Speed_Calc!G$5*A1233^2</f>
        <v>77.455640899999025</v>
      </c>
      <c r="H1233" s="7">
        <f>(F1233-G1233)/Speed_Calc!G$2*9.806</f>
        <v>-116.43151838337288</v>
      </c>
      <c r="I1233" s="4">
        <f t="shared" si="81"/>
        <v>33.249999999999723</v>
      </c>
    </row>
    <row r="1234" spans="1:9" x14ac:dyDescent="0.2">
      <c r="A1234" s="11">
        <v>119.799999999999</v>
      </c>
      <c r="B1234" s="15">
        <v>3.133</v>
      </c>
      <c r="C1234" s="11">
        <f t="shared" si="78"/>
        <v>15524.874595823419</v>
      </c>
      <c r="D1234" s="11">
        <f t="shared" si="79"/>
        <v>-7907.49480431149</v>
      </c>
      <c r="E1234" s="11">
        <f t="shared" si="80"/>
        <v>-17821.565919566943</v>
      </c>
      <c r="F1234" s="11">
        <f>Speed_Calc!B$5*E1234</f>
        <v>-16039.409327610249</v>
      </c>
      <c r="G1234" s="15">
        <f>Speed_Calc!G$3+Speed_Calc!G$5*A1234^2</f>
        <v>77.551680399999043</v>
      </c>
      <c r="H1234" s="7">
        <f>(F1234-G1234)/Speed_Calc!G$2*9.806</f>
        <v>-117.06882936633221</v>
      </c>
      <c r="I1234" s="4">
        <f t="shared" si="81"/>
        <v>33.277777777777501</v>
      </c>
    </row>
    <row r="1235" spans="1:9" x14ac:dyDescent="0.2">
      <c r="A1235" s="11">
        <v>119.899999999999</v>
      </c>
      <c r="B1235" s="15">
        <v>3.133</v>
      </c>
      <c r="C1235" s="11">
        <f t="shared" si="78"/>
        <v>15537.833589642967</v>
      </c>
      <c r="D1235" s="11">
        <f t="shared" si="79"/>
        <v>-7957.503912965456</v>
      </c>
      <c r="E1235" s="11">
        <f t="shared" si="80"/>
        <v>-17919.31656797908</v>
      </c>
      <c r="F1235" s="11">
        <f>Speed_Calc!B$5*E1235</f>
        <v>-16127.384911181172</v>
      </c>
      <c r="G1235" s="15">
        <f>Speed_Calc!G$3+Speed_Calc!G$5*A1235^2</f>
        <v>77.647800099999031</v>
      </c>
      <c r="H1235" s="7">
        <f>(F1235-G1235)/Speed_Calc!G$2*9.806</f>
        <v>-117.70855612357271</v>
      </c>
      <c r="I1235" s="4">
        <f t="shared" si="81"/>
        <v>33.305555555555273</v>
      </c>
    </row>
    <row r="1236" spans="1:9" x14ac:dyDescent="0.2">
      <c r="A1236" s="11">
        <v>119.99999999999901</v>
      </c>
      <c r="B1236" s="15">
        <v>3.133</v>
      </c>
      <c r="C1236" s="11">
        <f t="shared" si="78"/>
        <v>15550.792583462528</v>
      </c>
      <c r="D1236" s="11">
        <f t="shared" si="79"/>
        <v>-8007.7500336289977</v>
      </c>
      <c r="E1236" s="11">
        <f t="shared" si="80"/>
        <v>-18017.437575665394</v>
      </c>
      <c r="F1236" s="11">
        <f>Speed_Calc!B$5*E1236</f>
        <v>-16215.693818098855</v>
      </c>
      <c r="G1236" s="15">
        <f>Speed_Calc!G$3+Speed_Calc!G$5*A1236^2</f>
        <v>77.743999999999033</v>
      </c>
      <c r="H1236" s="7">
        <f>(F1236-G1236)/Speed_Calc!G$2*9.806</f>
        <v>-118.35070462539062</v>
      </c>
      <c r="I1236" s="4">
        <f t="shared" si="81"/>
        <v>33.333333333333059</v>
      </c>
    </row>
    <row r="1237" spans="1:9" x14ac:dyDescent="0.2">
      <c r="A1237" s="11">
        <v>120.099999999999</v>
      </c>
      <c r="B1237" s="15">
        <v>3.133</v>
      </c>
      <c r="C1237" s="11">
        <f t="shared" si="78"/>
        <v>15563.751577282077</v>
      </c>
      <c r="D1237" s="11">
        <f t="shared" si="79"/>
        <v>-8058.2339845383303</v>
      </c>
      <c r="E1237" s="11">
        <f t="shared" si="80"/>
        <v>-18115.929856997223</v>
      </c>
      <c r="F1237" s="11">
        <f>Speed_Calc!B$5*E1237</f>
        <v>-16304.336871297501</v>
      </c>
      <c r="G1237" s="15">
        <f>Speed_Calc!G$3+Speed_Calc!G$5*A1237^2</f>
        <v>77.840280099999035</v>
      </c>
      <c r="H1237" s="7">
        <f>(F1237-G1237)/Speed_Calc!G$2*9.806</f>
        <v>-118.9952808493362</v>
      </c>
      <c r="I1237" s="4">
        <f t="shared" si="81"/>
        <v>33.36111111111083</v>
      </c>
    </row>
    <row r="1238" spans="1:9" x14ac:dyDescent="0.2">
      <c r="A1238" s="11">
        <v>120.19999999999899</v>
      </c>
      <c r="B1238" s="15">
        <v>3.133</v>
      </c>
      <c r="C1238" s="11">
        <f t="shared" si="78"/>
        <v>15576.710571101627</v>
      </c>
      <c r="D1238" s="11">
        <f t="shared" si="79"/>
        <v>-8108.9565857786274</v>
      </c>
      <c r="E1238" s="11">
        <f t="shared" si="80"/>
        <v>-18214.794327456304</v>
      </c>
      <c r="F1238" s="11">
        <f>Speed_Calc!B$5*E1238</f>
        <v>-16393.314894710675</v>
      </c>
      <c r="G1238" s="15">
        <f>Speed_Calc!G$3+Speed_Calc!G$5*A1238^2</f>
        <v>77.936640399999021</v>
      </c>
      <c r="H1238" s="7">
        <f>(F1238-G1238)/Speed_Calc!G$2*9.806</f>
        <v>-119.6422907802187</v>
      </c>
      <c r="I1238" s="4">
        <f t="shared" si="81"/>
        <v>33.388888888888609</v>
      </c>
    </row>
    <row r="1239" spans="1:9" x14ac:dyDescent="0.2">
      <c r="A1239" s="11">
        <v>120.299999999999</v>
      </c>
      <c r="B1239" s="15">
        <v>3.133</v>
      </c>
      <c r="C1239" s="11">
        <f t="shared" si="78"/>
        <v>15589.66956492118</v>
      </c>
      <c r="D1239" s="11">
        <f t="shared" si="79"/>
        <v>-8159.9186592858468</v>
      </c>
      <c r="E1239" s="11">
        <f t="shared" si="80"/>
        <v>-18314.031903634226</v>
      </c>
      <c r="F1239" s="11">
        <f>Speed_Calc!B$5*E1239</f>
        <v>-16482.628713270806</v>
      </c>
      <c r="G1239" s="15">
        <f>Speed_Calc!G$3+Speed_Calc!G$5*A1239^2</f>
        <v>78.033080899999035</v>
      </c>
      <c r="H1239" s="7">
        <f>(F1239-G1239)/Speed_Calc!G$2*9.806</f>
        <v>-120.2917404101029</v>
      </c>
      <c r="I1239" s="4">
        <f t="shared" si="81"/>
        <v>33.416666666666387</v>
      </c>
    </row>
    <row r="1240" spans="1:9" x14ac:dyDescent="0.2">
      <c r="A1240" s="11">
        <v>120.399999999999</v>
      </c>
      <c r="B1240" s="15">
        <v>3.133</v>
      </c>
      <c r="C1240" s="11">
        <f t="shared" si="78"/>
        <v>15602.628558740733</v>
      </c>
      <c r="D1240" s="11">
        <f t="shared" si="79"/>
        <v>-8211.1210288488201</v>
      </c>
      <c r="E1240" s="11">
        <f t="shared" si="80"/>
        <v>-18413.643503232553</v>
      </c>
      <c r="F1240" s="11">
        <f>Speed_Calc!B$5*E1240</f>
        <v>-16572.279152909297</v>
      </c>
      <c r="G1240" s="15">
        <f>Speed_Calc!G$3+Speed_Calc!G$5*A1240^2</f>
        <v>78.129601599999035</v>
      </c>
      <c r="H1240" s="7">
        <f>(F1240-G1240)/Speed_Calc!G$2*9.806</f>
        <v>-120.94363573830974</v>
      </c>
      <c r="I1240" s="4">
        <f t="shared" si="81"/>
        <v>33.444444444444166</v>
      </c>
    </row>
    <row r="1241" spans="1:9" x14ac:dyDescent="0.2">
      <c r="A1241" s="11">
        <v>120.49999999999901</v>
      </c>
      <c r="B1241" s="15">
        <v>3.133</v>
      </c>
      <c r="C1241" s="11">
        <f t="shared" si="78"/>
        <v>15615.587552560284</v>
      </c>
      <c r="D1241" s="11">
        <f t="shared" si="79"/>
        <v>-8262.5645201113366</v>
      </c>
      <c r="E1241" s="11">
        <f t="shared" si="80"/>
        <v>-18513.630045062902</v>
      </c>
      <c r="F1241" s="11">
        <f>Speed_Calc!B$5*E1241</f>
        <v>-16662.267040556613</v>
      </c>
      <c r="G1241" s="15">
        <f>Speed_Calc!G$3+Speed_Calc!G$5*A1241^2</f>
        <v>78.226202499999033</v>
      </c>
      <c r="H1241" s="7">
        <f>(F1241-G1241)/Speed_Calc!G$2*9.806</f>
        <v>-121.59798277141714</v>
      </c>
      <c r="I1241" s="4">
        <f t="shared" si="81"/>
        <v>33.472222222221944</v>
      </c>
    </row>
    <row r="1242" spans="1:9" x14ac:dyDescent="0.2">
      <c r="A1242" s="11">
        <v>120.599999999999</v>
      </c>
      <c r="B1242" s="15">
        <v>3.133</v>
      </c>
      <c r="C1242" s="11">
        <f t="shared" si="78"/>
        <v>15628.546546379837</v>
      </c>
      <c r="D1242" s="11">
        <f t="shared" si="79"/>
        <v>-8314.2499605742232</v>
      </c>
      <c r="E1242" s="11">
        <f t="shared" si="80"/>
        <v>-18613.99244904692</v>
      </c>
      <c r="F1242" s="11">
        <f>Speed_Calc!B$5*E1242</f>
        <v>-16752.593204142227</v>
      </c>
      <c r="G1242" s="15">
        <f>Speed_Calc!G$3+Speed_Calc!G$5*A1242^2</f>
        <v>78.322883599999031</v>
      </c>
      <c r="H1242" s="7">
        <f>(F1242-G1242)/Speed_Calc!G$2*9.806</f>
        <v>-122.25478752325944</v>
      </c>
      <c r="I1242" s="4">
        <f t="shared" si="81"/>
        <v>33.499999999999723</v>
      </c>
    </row>
    <row r="1243" spans="1:9" x14ac:dyDescent="0.2">
      <c r="A1243" s="11">
        <v>120.69999999999899</v>
      </c>
      <c r="B1243" s="15">
        <v>3.133</v>
      </c>
      <c r="C1243" s="11">
        <f t="shared" si="78"/>
        <v>15641.505540199383</v>
      </c>
      <c r="D1243" s="11">
        <f t="shared" si="79"/>
        <v>-8366.1781795973002</v>
      </c>
      <c r="E1243" s="11">
        <f t="shared" si="80"/>
        <v>-18714.731636216162</v>
      </c>
      <c r="F1243" s="11">
        <f>Speed_Calc!B$5*E1243</f>
        <v>-16843.258472594545</v>
      </c>
      <c r="G1243" s="15">
        <f>Speed_Calc!G$3+Speed_Calc!G$5*A1243^2</f>
        <v>78.419644899999014</v>
      </c>
      <c r="H1243" s="7">
        <f>(F1243-G1243)/Speed_Calc!G$2*9.806</f>
        <v>-122.91405601492703</v>
      </c>
      <c r="I1243" s="4">
        <f t="shared" si="81"/>
        <v>33.527777777777494</v>
      </c>
    </row>
    <row r="1244" spans="1:9" x14ac:dyDescent="0.2">
      <c r="A1244" s="11">
        <v>120.799999999999</v>
      </c>
      <c r="B1244" s="15">
        <v>3.133</v>
      </c>
      <c r="C1244" s="11">
        <f t="shared" si="78"/>
        <v>15654.464534018944</v>
      </c>
      <c r="D1244" s="11">
        <f t="shared" si="79"/>
        <v>-8418.3500084016341</v>
      </c>
      <c r="E1244" s="11">
        <f t="shared" si="80"/>
        <v>-18815.848528712413</v>
      </c>
      <c r="F1244" s="11">
        <f>Speed_Calc!B$5*E1244</f>
        <v>-16934.263675841172</v>
      </c>
      <c r="G1244" s="15">
        <f>Speed_Calc!G$3+Speed_Calc!G$5*A1244^2</f>
        <v>78.516486399999025</v>
      </c>
      <c r="H1244" s="7">
        <f>(F1244-G1244)/Speed_Calc!G$2*9.806</f>
        <v>-123.57579427476809</v>
      </c>
      <c r="I1244" s="4">
        <f t="shared" si="81"/>
        <v>33.55555555555528</v>
      </c>
    </row>
    <row r="1245" spans="1:9" x14ac:dyDescent="0.2">
      <c r="A1245" s="11">
        <v>120.899999999999</v>
      </c>
      <c r="B1245" s="15">
        <v>3.133</v>
      </c>
      <c r="C1245" s="11">
        <f t="shared" si="78"/>
        <v>15667.423527838493</v>
      </c>
      <c r="D1245" s="11">
        <f t="shared" si="79"/>
        <v>-8470.7662800712915</v>
      </c>
      <c r="E1245" s="11">
        <f t="shared" si="80"/>
        <v>-18917.344049787163</v>
      </c>
      <c r="F1245" s="11">
        <f>Speed_Calc!B$5*E1245</f>
        <v>-17025.609644808446</v>
      </c>
      <c r="G1245" s="15">
        <f>Speed_Calc!G$3+Speed_Calc!G$5*A1245^2</f>
        <v>78.61340809999902</v>
      </c>
      <c r="H1245" s="7">
        <f>(F1245-G1245)/Speed_Calc!G$2*9.806</f>
        <v>-124.24000833838534</v>
      </c>
      <c r="I1245" s="4">
        <f t="shared" si="81"/>
        <v>33.583333333333051</v>
      </c>
    </row>
    <row r="1246" spans="1:9" x14ac:dyDescent="0.2">
      <c r="A1246" s="11">
        <v>120.99999999999901</v>
      </c>
      <c r="B1246" s="15">
        <v>3.133</v>
      </c>
      <c r="C1246" s="11">
        <f t="shared" si="78"/>
        <v>15680.382521658046</v>
      </c>
      <c r="D1246" s="11">
        <f t="shared" si="79"/>
        <v>-8523.4278295557015</v>
      </c>
      <c r="E1246" s="11">
        <f t="shared" si="80"/>
        <v>-19019.219123802141</v>
      </c>
      <c r="F1246" s="11">
        <f>Speed_Calc!B$5*E1246</f>
        <v>-17117.297211421926</v>
      </c>
      <c r="G1246" s="15">
        <f>Speed_Calc!G$3+Speed_Calc!G$5*A1246^2</f>
        <v>78.71040999999903</v>
      </c>
      <c r="H1246" s="7">
        <f>(F1246-G1246)/Speed_Calc!G$2*9.806</f>
        <v>-124.90670424863954</v>
      </c>
      <c r="I1246" s="4">
        <f t="shared" si="81"/>
        <v>33.611111111110837</v>
      </c>
    </row>
    <row r="1247" spans="1:9" x14ac:dyDescent="0.2">
      <c r="A1247" s="11">
        <v>121.099999999999</v>
      </c>
      <c r="B1247" s="15">
        <v>3.133</v>
      </c>
      <c r="C1247" s="11">
        <f t="shared" si="78"/>
        <v>15693.341515477598</v>
      </c>
      <c r="D1247" s="11">
        <f t="shared" si="79"/>
        <v>-8576.3354936715168</v>
      </c>
      <c r="E1247" s="11">
        <f t="shared" si="80"/>
        <v>-19121.474676228976</v>
      </c>
      <c r="F1247" s="11">
        <f>Speed_Calc!B$5*E1247</f>
        <v>-17209.327208606079</v>
      </c>
      <c r="G1247" s="15">
        <f>Speed_Calc!G$3+Speed_Calc!G$5*A1247^2</f>
        <v>78.807492099999024</v>
      </c>
      <c r="H1247" s="7">
        <f>(F1247-G1247)/Speed_Calc!G$2*9.806</f>
        <v>-125.57588805564725</v>
      </c>
      <c r="I1247" s="4">
        <f t="shared" si="81"/>
        <v>33.638888888888609</v>
      </c>
    </row>
    <row r="1248" spans="1:9" x14ac:dyDescent="0.2">
      <c r="A1248" s="11">
        <v>121.19999999999899</v>
      </c>
      <c r="B1248" s="15">
        <v>3.133</v>
      </c>
      <c r="C1248" s="11">
        <f t="shared" si="78"/>
        <v>15706.300509297151</v>
      </c>
      <c r="D1248" s="11">
        <f t="shared" si="79"/>
        <v>-8629.4901111047639</v>
      </c>
      <c r="E1248" s="11">
        <f t="shared" si="80"/>
        <v>-19224.11163364938</v>
      </c>
      <c r="F1248" s="11">
        <f>Speed_Calc!B$5*E1248</f>
        <v>-17301.700470284442</v>
      </c>
      <c r="G1248" s="15">
        <f>Speed_Calc!G$3+Speed_Calc!G$5*A1248^2</f>
        <v>78.904654399999018</v>
      </c>
      <c r="H1248" s="7">
        <f>(F1248-G1248)/Speed_Calc!G$2*9.806</f>
        <v>-126.24756581678191</v>
      </c>
      <c r="I1248" s="4">
        <f t="shared" si="81"/>
        <v>33.666666666666387</v>
      </c>
    </row>
    <row r="1249" spans="1:9" x14ac:dyDescent="0.2">
      <c r="A1249" s="11">
        <v>121.299999999999</v>
      </c>
      <c r="B1249" s="15">
        <v>3.133</v>
      </c>
      <c r="C1249" s="11">
        <f t="shared" si="78"/>
        <v>15719.259503116704</v>
      </c>
      <c r="D1249" s="11">
        <f t="shared" si="79"/>
        <v>-8682.8925224128398</v>
      </c>
      <c r="E1249" s="11">
        <f t="shared" si="80"/>
        <v>-19327.130923755038</v>
      </c>
      <c r="F1249" s="11">
        <f>Speed_Calc!B$5*E1249</f>
        <v>-17394.417831379535</v>
      </c>
      <c r="G1249" s="15">
        <f>Speed_Calc!G$3+Speed_Calc!G$5*A1249^2</f>
        <v>79.001896899999025</v>
      </c>
      <c r="H1249" s="7">
        <f>(F1249-G1249)/Speed_Calc!G$2*9.806</f>
        <v>-126.92174359667338</v>
      </c>
      <c r="I1249" s="4">
        <f t="shared" si="81"/>
        <v>33.694444444444166</v>
      </c>
    </row>
    <row r="1250" spans="1:9" x14ac:dyDescent="0.2">
      <c r="A1250" s="11">
        <v>121.399999999999</v>
      </c>
      <c r="B1250" s="15">
        <v>3.133</v>
      </c>
      <c r="C1250" s="11">
        <f t="shared" si="78"/>
        <v>15732.218496936253</v>
      </c>
      <c r="D1250" s="11">
        <f t="shared" si="79"/>
        <v>-8736.5435700265753</v>
      </c>
      <c r="E1250" s="11">
        <f t="shared" si="80"/>
        <v>-19430.533475347565</v>
      </c>
      <c r="F1250" s="11">
        <f>Speed_Calc!B$5*E1250</f>
        <v>-17487.480127812811</v>
      </c>
      <c r="G1250" s="15">
        <f>Speed_Calc!G$3+Speed_Calc!G$5*A1250^2</f>
        <v>79.099219599999032</v>
      </c>
      <c r="H1250" s="7">
        <f>(F1250-G1250)/Speed_Calc!G$2*9.806</f>
        <v>-127.59842746720743</v>
      </c>
      <c r="I1250" s="4">
        <f t="shared" si="81"/>
        <v>33.722222222221944</v>
      </c>
    </row>
    <row r="1251" spans="1:9" x14ac:dyDescent="0.2">
      <c r="A1251" s="11">
        <v>121.49999999999901</v>
      </c>
      <c r="B1251" s="15">
        <v>3.133</v>
      </c>
      <c r="C1251" s="11">
        <f t="shared" si="78"/>
        <v>15745.177490755807</v>
      </c>
      <c r="D1251" s="11">
        <f t="shared" si="79"/>
        <v>-8790.4440982523665</v>
      </c>
      <c r="E1251" s="11">
        <f t="shared" si="80"/>
        <v>-19534.320218338755</v>
      </c>
      <c r="F1251" s="11">
        <f>Speed_Calc!B$5*E1251</f>
        <v>-17580.888196504879</v>
      </c>
      <c r="G1251" s="15">
        <f>Speed_Calc!G$3+Speed_Calc!G$5*A1251^2</f>
        <v>79.196622499999023</v>
      </c>
      <c r="H1251" s="7">
        <f>(F1251-G1251)/Speed_Calc!G$2*9.806</f>
        <v>-128.27762350752727</v>
      </c>
      <c r="I1251" s="4">
        <f t="shared" si="81"/>
        <v>33.749999999999723</v>
      </c>
    </row>
    <row r="1252" spans="1:9" x14ac:dyDescent="0.2">
      <c r="A1252" s="11">
        <v>121.599999999999</v>
      </c>
      <c r="B1252" s="15">
        <v>3.133</v>
      </c>
      <c r="C1252" s="11">
        <f t="shared" si="78"/>
        <v>15758.13648457536</v>
      </c>
      <c r="D1252" s="11">
        <f t="shared" si="79"/>
        <v>-8844.5949532741215</v>
      </c>
      <c r="E1252" s="11">
        <f t="shared" si="80"/>
        <v>-19638.492083750269</v>
      </c>
      <c r="F1252" s="11">
        <f>Speed_Calc!B$5*E1252</f>
        <v>-17674.642875375241</v>
      </c>
      <c r="G1252" s="15">
        <f>Speed_Calc!G$3+Speed_Calc!G$5*A1252^2</f>
        <v>79.294105599999028</v>
      </c>
      <c r="H1252" s="7">
        <f>(F1252-G1252)/Speed_Calc!G$2*9.806</f>
        <v>-128.959337804032</v>
      </c>
      <c r="I1252" s="4">
        <f t="shared" si="81"/>
        <v>33.777777777777501</v>
      </c>
    </row>
    <row r="1253" spans="1:9" x14ac:dyDescent="0.2">
      <c r="A1253" s="11">
        <v>121.69999999999899</v>
      </c>
      <c r="B1253" s="15">
        <v>3.133</v>
      </c>
      <c r="C1253" s="11">
        <f t="shared" si="78"/>
        <v>15771.095478394907</v>
      </c>
      <c r="D1253" s="11">
        <f t="shared" si="79"/>
        <v>-8898.9969831553517</v>
      </c>
      <c r="E1253" s="11">
        <f t="shared" si="80"/>
        <v>-19743.050003713764</v>
      </c>
      <c r="F1253" s="11">
        <f>Speed_Calc!B$5*E1253</f>
        <v>-17768.745003342388</v>
      </c>
      <c r="G1253" s="15">
        <f>Speed_Calc!G$3+Speed_Calc!G$5*A1253^2</f>
        <v>79.391668899999019</v>
      </c>
      <c r="H1253" s="7">
        <f>(F1253-G1253)/Speed_Calc!G$2*9.806</f>
        <v>-129.64357645037691</v>
      </c>
      <c r="I1253" s="4">
        <f t="shared" si="81"/>
        <v>33.805555555555273</v>
      </c>
    </row>
    <row r="1254" spans="1:9" x14ac:dyDescent="0.2">
      <c r="A1254" s="11">
        <v>121.799999999999</v>
      </c>
      <c r="B1254" s="15">
        <v>3.133</v>
      </c>
      <c r="C1254" s="11">
        <f t="shared" si="78"/>
        <v>15784.054472214464</v>
      </c>
      <c r="D1254" s="11">
        <f t="shared" si="79"/>
        <v>-8953.6510378413386</v>
      </c>
      <c r="E1254" s="11">
        <f t="shared" si="80"/>
        <v>-19847.994911471109</v>
      </c>
      <c r="F1254" s="11">
        <f>Speed_Calc!B$5*E1254</f>
        <v>-17863.195420323998</v>
      </c>
      <c r="G1254" s="15">
        <f>Speed_Calc!G$3+Speed_Calc!G$5*A1254^2</f>
        <v>79.489312399999022</v>
      </c>
      <c r="H1254" s="7">
        <f>(F1254-G1254)/Speed_Calc!G$2*9.806</f>
        <v>-130.33034554747516</v>
      </c>
      <c r="I1254" s="4">
        <f t="shared" si="81"/>
        <v>33.833333333333059</v>
      </c>
    </row>
    <row r="1255" spans="1:9" x14ac:dyDescent="0.2">
      <c r="A1255" s="11">
        <v>121.899999999999</v>
      </c>
      <c r="B1255" s="15">
        <v>3.133</v>
      </c>
      <c r="C1255" s="11">
        <f t="shared" si="78"/>
        <v>15797.013466034017</v>
      </c>
      <c r="D1255" s="11">
        <f t="shared" si="79"/>
        <v>-9008.557969160971</v>
      </c>
      <c r="E1255" s="11">
        <f t="shared" si="80"/>
        <v>-19953.327741373923</v>
      </c>
      <c r="F1255" s="11">
        <f>Speed_Calc!B$5*E1255</f>
        <v>-17957.994967236533</v>
      </c>
      <c r="G1255" s="15">
        <f>Speed_Calc!G$3+Speed_Calc!G$5*A1255^2</f>
        <v>79.587036099999011</v>
      </c>
      <c r="H1255" s="7">
        <f>(F1255-G1255)/Speed_Calc!G$2*9.806</f>
        <v>-131.01965120349482</v>
      </c>
      <c r="I1255" s="4">
        <f t="shared" si="81"/>
        <v>33.86111111111083</v>
      </c>
    </row>
    <row r="1256" spans="1:9" x14ac:dyDescent="0.2">
      <c r="A1256" s="11">
        <v>121.99999999999901</v>
      </c>
      <c r="B1256" s="15">
        <v>3.133</v>
      </c>
      <c r="C1256" s="11">
        <f t="shared" si="78"/>
        <v>15809.972459853567</v>
      </c>
      <c r="D1256" s="11">
        <f t="shared" si="79"/>
        <v>-9063.7186308289783</v>
      </c>
      <c r="E1256" s="11">
        <f t="shared" si="80"/>
        <v>-20059.049428883969</v>
      </c>
      <c r="F1256" s="11">
        <f>Speed_Calc!B$5*E1256</f>
        <v>-18053.144485995574</v>
      </c>
      <c r="G1256" s="15">
        <f>Speed_Calc!G$3+Speed_Calc!G$5*A1256^2</f>
        <v>79.684839999999028</v>
      </c>
      <c r="H1256" s="7">
        <f>(F1256-G1256)/Speed_Calc!G$2*9.806</f>
        <v>-131.71149953386114</v>
      </c>
      <c r="I1256" s="4">
        <f t="shared" si="81"/>
        <v>33.888888888888609</v>
      </c>
    </row>
    <row r="1257" spans="1:9" x14ac:dyDescent="0.2">
      <c r="A1257" s="11">
        <v>122.099999999999</v>
      </c>
      <c r="B1257" s="15">
        <v>3.133</v>
      </c>
      <c r="C1257" s="11">
        <f t="shared" si="78"/>
        <v>15822.93145367312</v>
      </c>
      <c r="D1257" s="11">
        <f t="shared" si="79"/>
        <v>-9119.1338784479376</v>
      </c>
      <c r="E1257" s="11">
        <f t="shared" si="80"/>
        <v>-20165.160910573002</v>
      </c>
      <c r="F1257" s="11">
        <f>Speed_Calc!B$5*E1257</f>
        <v>-18148.644819515703</v>
      </c>
      <c r="G1257" s="15">
        <f>Speed_Calc!G$3+Speed_Calc!G$5*A1257^2</f>
        <v>79.782724099999015</v>
      </c>
      <c r="H1257" s="7">
        <f>(F1257-G1257)/Speed_Calc!G$2*9.806</f>
        <v>-132.40589666125595</v>
      </c>
      <c r="I1257" s="4">
        <f t="shared" si="81"/>
        <v>33.916666666666387</v>
      </c>
    </row>
    <row r="1258" spans="1:9" x14ac:dyDescent="0.2">
      <c r="A1258" s="11">
        <v>122.19999999999899</v>
      </c>
      <c r="B1258" s="15">
        <v>3.133</v>
      </c>
      <c r="C1258" s="11">
        <f t="shared" si="78"/>
        <v>15835.890447492673</v>
      </c>
      <c r="D1258" s="11">
        <f t="shared" si="79"/>
        <v>-9174.8045695103101</v>
      </c>
      <c r="E1258" s="11">
        <f t="shared" si="80"/>
        <v>-20271.663124122781</v>
      </c>
      <c r="F1258" s="11">
        <f>Speed_Calc!B$5*E1258</f>
        <v>-18244.496811710502</v>
      </c>
      <c r="G1258" s="15">
        <f>Speed_Calc!G$3+Speed_Calc!G$5*A1258^2</f>
        <v>79.880688399999002</v>
      </c>
      <c r="H1258" s="7">
        <f>(F1258-G1258)/Speed_Calc!G$2*9.806</f>
        <v>-133.10284871561745</v>
      </c>
      <c r="I1258" s="4">
        <f t="shared" si="81"/>
        <v>33.944444444444166</v>
      </c>
    </row>
    <row r="1259" spans="1:9" x14ac:dyDescent="0.2">
      <c r="A1259" s="11">
        <v>122.299999999999</v>
      </c>
      <c r="B1259" s="15">
        <v>3.133</v>
      </c>
      <c r="C1259" s="11">
        <f t="shared" si="78"/>
        <v>15848.849441312228</v>
      </c>
      <c r="D1259" s="11">
        <f t="shared" si="79"/>
        <v>-9230.7315634005172</v>
      </c>
      <c r="E1259" s="11">
        <f t="shared" si="80"/>
        <v>-20378.557008325093</v>
      </c>
      <c r="F1259" s="11">
        <f>Speed_Calc!B$5*E1259</f>
        <v>-18340.701307492585</v>
      </c>
      <c r="G1259" s="15">
        <f>Speed_Calc!G$3+Speed_Calc!G$5*A1259^2</f>
        <v>79.978732899999017</v>
      </c>
      <c r="H1259" s="7">
        <f>(F1259-G1259)/Speed_Calc!G$2*9.806</f>
        <v>-133.8023618341405</v>
      </c>
      <c r="I1259" s="4">
        <f t="shared" si="81"/>
        <v>33.972222222221944</v>
      </c>
    </row>
    <row r="1260" spans="1:9" x14ac:dyDescent="0.2">
      <c r="A1260" s="11">
        <v>122.399999999999</v>
      </c>
      <c r="B1260" s="15">
        <v>3.133</v>
      </c>
      <c r="C1260" s="11">
        <f t="shared" si="78"/>
        <v>15861.808435131781</v>
      </c>
      <c r="D1260" s="11">
        <f t="shared" si="79"/>
        <v>-9286.9157213969593</v>
      </c>
      <c r="E1260" s="11">
        <f t="shared" si="80"/>
        <v>-20485.843503081687</v>
      </c>
      <c r="F1260" s="11">
        <f>Speed_Calc!B$5*E1260</f>
        <v>-18437.25915277352</v>
      </c>
      <c r="G1260" s="15">
        <f>Speed_Calc!G$3+Speed_Calc!G$5*A1260^2</f>
        <v>80.076857599999016</v>
      </c>
      <c r="H1260" s="7">
        <f>(F1260-G1260)/Speed_Calc!G$2*9.806</f>
        <v>-134.50444216127607</v>
      </c>
      <c r="I1260" s="4">
        <f t="shared" si="81"/>
        <v>33.999999999999723</v>
      </c>
    </row>
    <row r="1261" spans="1:9" x14ac:dyDescent="0.2">
      <c r="A1261" s="11">
        <v>122.49999999999901</v>
      </c>
      <c r="B1261" s="15">
        <v>3.133</v>
      </c>
      <c r="C1261" s="11">
        <f t="shared" si="78"/>
        <v>15874.767428951331</v>
      </c>
      <c r="D1261" s="11">
        <f t="shared" si="79"/>
        <v>-9343.3579066741149</v>
      </c>
      <c r="E1261" s="11">
        <f t="shared" si="80"/>
        <v>-20593.523549404341</v>
      </c>
      <c r="F1261" s="11">
        <f>Speed_Calc!B$5*E1261</f>
        <v>-18534.171194463906</v>
      </c>
      <c r="G1261" s="15">
        <f>Speed_Calc!G$3+Speed_Calc!G$5*A1261^2</f>
        <v>80.175062499999015</v>
      </c>
      <c r="H1261" s="7">
        <f>(F1261-G1261)/Speed_Calc!G$2*9.806</f>
        <v>-135.20909584873189</v>
      </c>
      <c r="I1261" s="4">
        <f t="shared" si="81"/>
        <v>34.027777777777501</v>
      </c>
    </row>
    <row r="1262" spans="1:9" x14ac:dyDescent="0.2">
      <c r="A1262" s="11">
        <v>122.599999999999</v>
      </c>
      <c r="B1262" s="15">
        <v>3.133</v>
      </c>
      <c r="C1262" s="11">
        <f t="shared" si="78"/>
        <v>15887.726422770884</v>
      </c>
      <c r="D1262" s="11">
        <f t="shared" si="79"/>
        <v>-9400.0589843046018</v>
      </c>
      <c r="E1262" s="11">
        <f t="shared" si="80"/>
        <v>-20701.598089414867</v>
      </c>
      <c r="F1262" s="11">
        <f>Speed_Calc!B$5*E1262</f>
        <v>-18631.43828047338</v>
      </c>
      <c r="G1262" s="15">
        <f>Speed_Calc!G$3+Speed_Calc!G$5*A1262^2</f>
        <v>80.273347599999013</v>
      </c>
      <c r="H1262" s="7">
        <f>(F1262-G1262)/Speed_Calc!G$2*9.806</f>
        <v>-135.91632905547226</v>
      </c>
      <c r="I1262" s="4">
        <f t="shared" si="81"/>
        <v>34.05555555555528</v>
      </c>
    </row>
    <row r="1263" spans="1:9" x14ac:dyDescent="0.2">
      <c r="A1263" s="11">
        <v>122.69999999999899</v>
      </c>
      <c r="B1263" s="15">
        <v>3.133</v>
      </c>
      <c r="C1263" s="11">
        <f t="shared" si="78"/>
        <v>15900.68541659043</v>
      </c>
      <c r="D1263" s="11">
        <f t="shared" si="79"/>
        <v>-9457.0198212611594</v>
      </c>
      <c r="E1263" s="11">
        <f t="shared" si="80"/>
        <v>-20810.068066345022</v>
      </c>
      <c r="F1263" s="11">
        <f>Speed_Calc!B$5*E1263</f>
        <v>-18729.061259710521</v>
      </c>
      <c r="G1263" s="15">
        <f>Speed_Calc!G$3+Speed_Calc!G$5*A1263^2</f>
        <v>80.371712899999011</v>
      </c>
      <c r="H1263" s="7">
        <f>(F1263-G1263)/Speed_Calc!G$2*9.806</f>
        <v>-136.62614794771758</v>
      </c>
      <c r="I1263" s="4">
        <f t="shared" si="81"/>
        <v>34.083333333333051</v>
      </c>
    </row>
    <row r="1264" spans="1:9" x14ac:dyDescent="0.2">
      <c r="A1264" s="11">
        <v>122.799999999999</v>
      </c>
      <c r="B1264" s="15">
        <v>3.133</v>
      </c>
      <c r="C1264" s="11">
        <f t="shared" si="78"/>
        <v>15913.644410409983</v>
      </c>
      <c r="D1264" s="11">
        <f t="shared" si="79"/>
        <v>-9514.2412864188354</v>
      </c>
      <c r="E1264" s="11">
        <f t="shared" si="80"/>
        <v>-20918.934424536707</v>
      </c>
      <c r="F1264" s="11">
        <f>Speed_Calc!B$5*E1264</f>
        <v>-18827.040982083035</v>
      </c>
      <c r="G1264" s="15">
        <f>Speed_Calc!G$3+Speed_Calc!G$5*A1264^2</f>
        <v>80.470158399999008</v>
      </c>
      <c r="H1264" s="7">
        <f>(F1264-G1264)/Speed_Calc!G$2*9.806</f>
        <v>-137.33855869894566</v>
      </c>
      <c r="I1264" s="4">
        <f t="shared" si="81"/>
        <v>34.11111111111083</v>
      </c>
    </row>
    <row r="1265" spans="1:9" x14ac:dyDescent="0.2">
      <c r="A1265" s="11">
        <v>122.899999999999</v>
      </c>
      <c r="B1265" s="15">
        <v>3.133</v>
      </c>
      <c r="C1265" s="11">
        <f t="shared" si="78"/>
        <v>15926.603404229534</v>
      </c>
      <c r="D1265" s="11">
        <f t="shared" si="79"/>
        <v>-9571.7242505568956</v>
      </c>
      <c r="E1265" s="11">
        <f t="shared" si="80"/>
        <v>-21028.198109441684</v>
      </c>
      <c r="F1265" s="11">
        <f>Speed_Calc!B$5*E1265</f>
        <v>-18925.378298497515</v>
      </c>
      <c r="G1265" s="15">
        <f>Speed_Calc!G$3+Speed_Calc!G$5*A1265^2</f>
        <v>80.568684099999018</v>
      </c>
      <c r="H1265" s="7">
        <f>(F1265-G1265)/Speed_Calc!G$2*9.806</f>
        <v>-138.05356748988979</v>
      </c>
      <c r="I1265" s="4">
        <f t="shared" si="81"/>
        <v>34.138888888888609</v>
      </c>
    </row>
    <row r="1266" spans="1:9" x14ac:dyDescent="0.2">
      <c r="A1266" s="11">
        <v>122.99999999999901</v>
      </c>
      <c r="B1266" s="15">
        <v>3.133</v>
      </c>
      <c r="C1266" s="11">
        <f t="shared" si="78"/>
        <v>15939.562398049087</v>
      </c>
      <c r="D1266" s="11">
        <f t="shared" si="79"/>
        <v>-9629.4695863609631</v>
      </c>
      <c r="E1266" s="11">
        <f t="shared" si="80"/>
        <v>-21137.860067621801</v>
      </c>
      <c r="F1266" s="11">
        <f>Speed_Calc!B$5*E1266</f>
        <v>-19024.074060859621</v>
      </c>
      <c r="G1266" s="15">
        <f>Speed_Calc!G$3+Speed_Calc!G$5*A1266^2</f>
        <v>80.667289999999014</v>
      </c>
      <c r="H1266" s="7">
        <f>(F1266-G1266)/Speed_Calc!G$2*9.806</f>
        <v>-138.77118050854031</v>
      </c>
      <c r="I1266" s="4">
        <f t="shared" si="81"/>
        <v>34.166666666666387</v>
      </c>
    </row>
    <row r="1267" spans="1:9" x14ac:dyDescent="0.2">
      <c r="A1267" s="11">
        <v>123.099999999999</v>
      </c>
      <c r="B1267" s="15">
        <v>3.133</v>
      </c>
      <c r="C1267" s="11">
        <f t="shared" si="78"/>
        <v>15952.521391868644</v>
      </c>
      <c r="D1267" s="11">
        <f t="shared" si="79"/>
        <v>-9687.4781684250775</v>
      </c>
      <c r="E1267" s="11">
        <f t="shared" si="80"/>
        <v>-21247.92124674892</v>
      </c>
      <c r="F1267" s="11">
        <f>Speed_Calc!B$5*E1267</f>
        <v>-19123.129122074028</v>
      </c>
      <c r="G1267" s="15">
        <f>Speed_Calc!G$3+Speed_Calc!G$5*A1267^2</f>
        <v>80.765976099999008</v>
      </c>
      <c r="H1267" s="7">
        <f>(F1267-G1267)/Speed_Calc!G$2*9.806</f>
        <v>-139.49140395014408</v>
      </c>
      <c r="I1267" s="4">
        <f t="shared" si="81"/>
        <v>34.194444444444166</v>
      </c>
    </row>
    <row r="1268" spans="1:9" x14ac:dyDescent="0.2">
      <c r="A1268" s="11">
        <v>123.19999999999899</v>
      </c>
      <c r="B1268" s="15">
        <v>3.133</v>
      </c>
      <c r="C1268" s="11">
        <f t="shared" si="78"/>
        <v>15965.480385688197</v>
      </c>
      <c r="D1268" s="11">
        <f t="shared" si="79"/>
        <v>-9745.7508732536771</v>
      </c>
      <c r="E1268" s="11">
        <f t="shared" si="80"/>
        <v>-21358.382595604824</v>
      </c>
      <c r="F1268" s="11">
        <f>Speed_Calc!B$5*E1268</f>
        <v>-19222.544336044342</v>
      </c>
      <c r="G1268" s="15">
        <f>Speed_Calc!G$3+Speed_Calc!G$5*A1268^2</f>
        <v>80.864742399999002</v>
      </c>
      <c r="H1268" s="7">
        <f>(F1268-G1268)/Speed_Calc!G$2*9.806</f>
        <v>-140.21424401720384</v>
      </c>
      <c r="I1268" s="4">
        <f t="shared" si="81"/>
        <v>34.222222222221944</v>
      </c>
    </row>
    <row r="1269" spans="1:9" x14ac:dyDescent="0.2">
      <c r="A1269" s="11">
        <v>123.299999999999</v>
      </c>
      <c r="B1269" s="15">
        <v>3.133</v>
      </c>
      <c r="C1269" s="11">
        <f t="shared" si="78"/>
        <v>15978.43937950775</v>
      </c>
      <c r="D1269" s="11">
        <f t="shared" si="79"/>
        <v>-9804.2885792637571</v>
      </c>
      <c r="E1269" s="11">
        <f t="shared" si="80"/>
        <v>-21469.245064081384</v>
      </c>
      <c r="F1269" s="11">
        <f>Speed_Calc!B$5*E1269</f>
        <v>-19322.320557673247</v>
      </c>
      <c r="G1269" s="15">
        <f>Speed_Calc!G$3+Speed_Calc!G$5*A1269^2</f>
        <v>80.96358889999901</v>
      </c>
      <c r="H1269" s="7">
        <f>(F1269-G1269)/Speed_Calc!G$2*9.806</f>
        <v>-140.93970691947942</v>
      </c>
      <c r="I1269" s="4">
        <f t="shared" si="81"/>
        <v>34.249999999999723</v>
      </c>
    </row>
    <row r="1270" spans="1:9" x14ac:dyDescent="0.2">
      <c r="A1270" s="11">
        <v>123.399999999999</v>
      </c>
      <c r="B1270" s="15">
        <v>3.133</v>
      </c>
      <c r="C1270" s="11">
        <f t="shared" si="78"/>
        <v>15991.3983733273</v>
      </c>
      <c r="D1270" s="11">
        <f t="shared" si="79"/>
        <v>-9863.0921667868352</v>
      </c>
      <c r="E1270" s="11">
        <f t="shared" si="80"/>
        <v>-21580.509603180442</v>
      </c>
      <c r="F1270" s="11">
        <f>Speed_Calc!B$5*E1270</f>
        <v>-19422.458642862399</v>
      </c>
      <c r="G1270" s="15">
        <f>Speed_Calc!G$3+Speed_Calc!G$5*A1270^2</f>
        <v>81.062515599999003</v>
      </c>
      <c r="H1270" s="7">
        <f>(F1270-G1270)/Speed_Calc!G$2*9.806</f>
        <v>-141.66779887398684</v>
      </c>
      <c r="I1270" s="4">
        <f t="shared" si="81"/>
        <v>34.277777777777501</v>
      </c>
    </row>
    <row r="1271" spans="1:9" x14ac:dyDescent="0.2">
      <c r="A1271" s="11">
        <v>123.49999999999901</v>
      </c>
      <c r="B1271" s="15">
        <v>3.133</v>
      </c>
      <c r="C1271" s="11">
        <f t="shared" si="78"/>
        <v>16004.357367146855</v>
      </c>
      <c r="D1271" s="11">
        <f t="shared" si="79"/>
        <v>-9922.162518071118</v>
      </c>
      <c r="E1271" s="11">
        <f t="shared" si="80"/>
        <v>-21692.177165013953</v>
      </c>
      <c r="F1271" s="11">
        <f>Speed_Calc!B$5*E1271</f>
        <v>-19522.959448512556</v>
      </c>
      <c r="G1271" s="15">
        <f>Speed_Calc!G$3+Speed_Calc!G$5*A1271^2</f>
        <v>81.161522499999009</v>
      </c>
      <c r="H1271" s="7">
        <f>(F1271-G1271)/Speed_Calc!G$2*9.806</f>
        <v>-142.39852610499932</v>
      </c>
      <c r="I1271" s="4">
        <f t="shared" si="81"/>
        <v>34.30555555555528</v>
      </c>
    </row>
    <row r="1272" spans="1:9" x14ac:dyDescent="0.2">
      <c r="A1272" s="11">
        <v>123.599999999999</v>
      </c>
      <c r="B1272" s="15">
        <v>3.133</v>
      </c>
      <c r="C1272" s="11">
        <f t="shared" si="78"/>
        <v>16017.316360966401</v>
      </c>
      <c r="D1272" s="11">
        <f t="shared" si="79"/>
        <v>-9981.5005172833698</v>
      </c>
      <c r="E1272" s="11">
        <f t="shared" si="80"/>
        <v>-21804.248702803656</v>
      </c>
      <c r="F1272" s="11">
        <f>Speed_Calc!B$5*E1272</f>
        <v>-19623.823832523292</v>
      </c>
      <c r="G1272" s="15">
        <f>Speed_Calc!G$3+Speed_Calc!G$5*A1272^2</f>
        <v>81.260609599999015</v>
      </c>
      <c r="H1272" s="7">
        <f>(F1272-G1272)/Speed_Calc!G$2*9.806</f>
        <v>-143.13189484404518</v>
      </c>
      <c r="I1272" s="4">
        <f t="shared" si="81"/>
        <v>34.333333333333051</v>
      </c>
    </row>
    <row r="1273" spans="1:9" x14ac:dyDescent="0.2">
      <c r="A1273" s="11">
        <v>123.69999999999899</v>
      </c>
      <c r="B1273" s="15">
        <v>3.133</v>
      </c>
      <c r="C1273" s="11">
        <f t="shared" si="78"/>
        <v>16030.275354785954</v>
      </c>
      <c r="D1273" s="11">
        <f t="shared" si="79"/>
        <v>-10041.107050511231</v>
      </c>
      <c r="E1273" s="11">
        <f t="shared" si="80"/>
        <v>-21916.725170881607</v>
      </c>
      <c r="F1273" s="11">
        <f>Speed_Calc!B$5*E1273</f>
        <v>-19725.052653793446</v>
      </c>
      <c r="G1273" s="15">
        <f>Speed_Calc!G$3+Speed_Calc!G$5*A1273^2</f>
        <v>81.359776899998991</v>
      </c>
      <c r="H1273" s="7">
        <f>(F1273-G1273)/Speed_Calc!G$2*9.806</f>
        <v>-143.86791132991104</v>
      </c>
      <c r="I1273" s="4">
        <f t="shared" si="81"/>
        <v>34.36111111111083</v>
      </c>
    </row>
    <row r="1274" spans="1:9" x14ac:dyDescent="0.2">
      <c r="A1274" s="11">
        <v>123.799999999999</v>
      </c>
      <c r="B1274" s="15">
        <v>3.133</v>
      </c>
      <c r="C1274" s="11">
        <f t="shared" si="78"/>
        <v>16043.234348605503</v>
      </c>
      <c r="D1274" s="11">
        <f t="shared" si="79"/>
        <v>-10100.983005764994</v>
      </c>
      <c r="E1274" s="11">
        <f t="shared" si="80"/>
        <v>-22029.607524689593</v>
      </c>
      <c r="F1274" s="11">
        <f>Speed_Calc!B$5*E1274</f>
        <v>-19826.646772220633</v>
      </c>
      <c r="G1274" s="15">
        <f>Speed_Calc!G$3+Speed_Calc!G$5*A1274^2</f>
        <v>81.459024399999009</v>
      </c>
      <c r="H1274" s="7">
        <f>(F1274-G1274)/Speed_Calc!G$2*9.806</f>
        <v>-144.60658180863842</v>
      </c>
      <c r="I1274" s="4">
        <f t="shared" si="81"/>
        <v>34.388888888888609</v>
      </c>
    </row>
    <row r="1275" spans="1:9" x14ac:dyDescent="0.2">
      <c r="A1275" s="11">
        <v>123.899999999999</v>
      </c>
      <c r="B1275" s="15">
        <v>3.133</v>
      </c>
      <c r="C1275" s="11">
        <f t="shared" si="78"/>
        <v>16056.19334242506</v>
      </c>
      <c r="D1275" s="11">
        <f t="shared" si="79"/>
        <v>-10161.129272979884</v>
      </c>
      <c r="E1275" s="11">
        <f t="shared" si="80"/>
        <v>-22142.89672077959</v>
      </c>
      <c r="F1275" s="11">
        <f>Speed_Calc!B$5*E1275</f>
        <v>-19928.607048701633</v>
      </c>
      <c r="G1275" s="15">
        <f>Speed_Calc!G$3+Speed_Calc!G$5*A1275^2</f>
        <v>81.558352099998999</v>
      </c>
      <c r="H1275" s="7">
        <f>(F1275-G1275)/Speed_Calc!G$2*9.806</f>
        <v>-145.34791253352651</v>
      </c>
      <c r="I1275" s="4">
        <f t="shared" si="81"/>
        <v>34.416666666666387</v>
      </c>
    </row>
    <row r="1276" spans="1:9" x14ac:dyDescent="0.2">
      <c r="A1276" s="11">
        <v>123.99999999999901</v>
      </c>
      <c r="B1276" s="15">
        <v>3.133</v>
      </c>
      <c r="C1276" s="11">
        <f t="shared" si="78"/>
        <v>16069.15233624461</v>
      </c>
      <c r="D1276" s="11">
        <f t="shared" si="79"/>
        <v>-10221.546744017942</v>
      </c>
      <c r="E1276" s="11">
        <f t="shared" si="80"/>
        <v>-22256.593716813448</v>
      </c>
      <c r="F1276" s="11">
        <f>Speed_Calc!B$5*E1276</f>
        <v>-20030.934345132104</v>
      </c>
      <c r="G1276" s="15">
        <f>Speed_Calc!G$3+Speed_Calc!G$5*A1276^2</f>
        <v>81.657759999999001</v>
      </c>
      <c r="H1276" s="7">
        <f>(F1276-G1276)/Speed_Calc!G$2*9.806</f>
        <v>-146.09190976512991</v>
      </c>
      <c r="I1276" s="4">
        <f t="shared" si="81"/>
        <v>34.444444444444166</v>
      </c>
    </row>
    <row r="1277" spans="1:9" x14ac:dyDescent="0.2">
      <c r="A1277" s="11">
        <v>124.099999999999</v>
      </c>
      <c r="B1277" s="15">
        <v>3.133</v>
      </c>
      <c r="C1277" s="11">
        <f t="shared" si="78"/>
        <v>16082.111330064165</v>
      </c>
      <c r="D1277" s="11">
        <f t="shared" si="79"/>
        <v>-10282.236312670237</v>
      </c>
      <c r="E1277" s="11">
        <f t="shared" si="80"/>
        <v>-22370.699471563148</v>
      </c>
      <c r="F1277" s="11">
        <f>Speed_Calc!B$5*E1277</f>
        <v>-20133.629524406835</v>
      </c>
      <c r="G1277" s="15">
        <f>Speed_Calc!G$3+Speed_Calc!G$5*A1277^2</f>
        <v>81.757248099999003</v>
      </c>
      <c r="H1277" s="7">
        <f>(F1277-G1277)/Speed_Calc!G$2*9.806</f>
        <v>-146.83857977126075</v>
      </c>
      <c r="I1277" s="4">
        <f t="shared" si="81"/>
        <v>34.472222222221944</v>
      </c>
    </row>
    <row r="1278" spans="1:9" x14ac:dyDescent="0.2">
      <c r="A1278" s="11">
        <v>124.19999999999899</v>
      </c>
      <c r="B1278" s="15">
        <v>3.133</v>
      </c>
      <c r="C1278" s="11">
        <f t="shared" si="78"/>
        <v>16095.070323883721</v>
      </c>
      <c r="D1278" s="11">
        <f t="shared" si="79"/>
        <v>-10343.198874658789</v>
      </c>
      <c r="E1278" s="11">
        <f t="shared" si="80"/>
        <v>-22485.214944910585</v>
      </c>
      <c r="F1278" s="11">
        <f>Speed_Calc!B$5*E1278</f>
        <v>-20236.693450419527</v>
      </c>
      <c r="G1278" s="15">
        <f>Speed_Calc!G$3+Speed_Calc!G$5*A1278^2</f>
        <v>81.856816399998991</v>
      </c>
      <c r="H1278" s="7">
        <f>(F1278-G1278)/Speed_Calc!G$2*9.806</f>
        <v>-147.58792882698685</v>
      </c>
      <c r="I1278" s="4">
        <f t="shared" si="81"/>
        <v>34.499999999999723</v>
      </c>
    </row>
    <row r="1279" spans="1:9" x14ac:dyDescent="0.2">
      <c r="A1279" s="11">
        <v>124.299999999999</v>
      </c>
      <c r="B1279" s="15">
        <v>3.133</v>
      </c>
      <c r="C1279" s="11">
        <f t="shared" si="78"/>
        <v>16108.029317703271</v>
      </c>
      <c r="D1279" s="11">
        <f t="shared" si="79"/>
        <v>-10404.435327638674</v>
      </c>
      <c r="E1279" s="11">
        <f t="shared" si="80"/>
        <v>-22600.141097847652</v>
      </c>
      <c r="F1279" s="11">
        <f>Speed_Calc!B$5*E1279</f>
        <v>-20340.126988062886</v>
      </c>
      <c r="G1279" s="15">
        <f>Speed_Calc!G$3+Speed_Calc!G$5*A1279^2</f>
        <v>81.956464899999006</v>
      </c>
      <c r="H1279" s="7">
        <f>(F1279-G1279)/Speed_Calc!G$2*9.806</f>
        <v>-148.33996321463263</v>
      </c>
      <c r="I1279" s="4">
        <f t="shared" si="81"/>
        <v>34.527777777777501</v>
      </c>
    </row>
    <row r="1280" spans="1:9" x14ac:dyDescent="0.2">
      <c r="A1280" s="11">
        <v>124.399999999999</v>
      </c>
      <c r="B1280" s="15">
        <v>3.133</v>
      </c>
      <c r="C1280" s="11">
        <f t="shared" si="78"/>
        <v>16120.98831152282</v>
      </c>
      <c r="D1280" s="11">
        <f t="shared" si="79"/>
        <v>-10465.946571200142</v>
      </c>
      <c r="E1280" s="11">
        <f t="shared" si="80"/>
        <v>-22715.478892476378</v>
      </c>
      <c r="F1280" s="11">
        <f>Speed_Calc!B$5*E1280</f>
        <v>-20443.931003228739</v>
      </c>
      <c r="G1280" s="15">
        <f>Speed_Calc!G$3+Speed_Calc!G$5*A1280^2</f>
        <v>82.056193599998991</v>
      </c>
      <c r="H1280" s="7">
        <f>(F1280-G1280)/Speed_Calc!G$2*9.806</f>
        <v>-149.09468922377968</v>
      </c>
      <c r="I1280" s="4">
        <f t="shared" si="81"/>
        <v>34.555555555555273</v>
      </c>
    </row>
    <row r="1281" spans="1:9" x14ac:dyDescent="0.2">
      <c r="A1281" s="11">
        <v>124.49999999999901</v>
      </c>
      <c r="B1281" s="15">
        <v>3.133</v>
      </c>
      <c r="C1281" s="11">
        <f t="shared" si="78"/>
        <v>16133.947305342377</v>
      </c>
      <c r="D1281" s="11">
        <f t="shared" si="79"/>
        <v>-10527.733506870611</v>
      </c>
      <c r="E1281" s="11">
        <f t="shared" si="80"/>
        <v>-22831.229292008738</v>
      </c>
      <c r="F1281" s="11">
        <f>Speed_Calc!B$5*E1281</f>
        <v>-20548.106362807866</v>
      </c>
      <c r="G1281" s="15">
        <f>Speed_Calc!G$3+Speed_Calc!G$5*A1281^2</f>
        <v>82.156002499999005</v>
      </c>
      <c r="H1281" s="7">
        <f>(F1281-G1281)/Speed_Calc!G$2*9.806</f>
        <v>-149.85211315126588</v>
      </c>
      <c r="I1281" s="4">
        <f t="shared" si="81"/>
        <v>34.583333333333059</v>
      </c>
    </row>
    <row r="1282" spans="1:9" x14ac:dyDescent="0.2">
      <c r="A1282" s="11">
        <v>124.599999999999</v>
      </c>
      <c r="B1282" s="15">
        <v>3.133</v>
      </c>
      <c r="C1282" s="11">
        <f t="shared" si="78"/>
        <v>16146.906299161925</v>
      </c>
      <c r="D1282" s="11">
        <f t="shared" si="79"/>
        <v>-10589.79703811664</v>
      </c>
      <c r="E1282" s="11">
        <f t="shared" si="80"/>
        <v>-22947.393260766585</v>
      </c>
      <c r="F1282" s="11">
        <f>Speed_Calc!B$5*E1282</f>
        <v>-20652.653934689926</v>
      </c>
      <c r="G1282" s="15">
        <f>Speed_Calc!G$3+Speed_Calc!G$5*A1282^2</f>
        <v>82.255891599998989</v>
      </c>
      <c r="H1282" s="7">
        <f>(F1282-G1282)/Speed_Calc!G$2*9.806</f>
        <v>-150.61224130118444</v>
      </c>
      <c r="I1282" s="4">
        <f t="shared" si="81"/>
        <v>34.61111111111083</v>
      </c>
    </row>
    <row r="1283" spans="1:9" x14ac:dyDescent="0.2">
      <c r="A1283" s="11">
        <v>124.69999999999899</v>
      </c>
      <c r="B1283" s="15">
        <v>3.133</v>
      </c>
      <c r="C1283" s="11">
        <f t="shared" si="78"/>
        <v>16159.865292981478</v>
      </c>
      <c r="D1283" s="11">
        <f t="shared" si="79"/>
        <v>-10652.138070346202</v>
      </c>
      <c r="E1283" s="11">
        <f t="shared" si="80"/>
        <v>-23063.971764182017</v>
      </c>
      <c r="F1283" s="11">
        <f>Speed_Calc!B$5*E1283</f>
        <v>-20757.574587763815</v>
      </c>
      <c r="G1283" s="15">
        <f>Speed_Calc!G$3+Speed_Calc!G$5*A1283^2</f>
        <v>82.355860899998987</v>
      </c>
      <c r="H1283" s="7">
        <f>(F1283-G1283)/Speed_Calc!G$2*9.806</f>
        <v>-151.37507998488692</v>
      </c>
      <c r="I1283" s="4">
        <f t="shared" si="81"/>
        <v>34.638888888888609</v>
      </c>
    </row>
    <row r="1284" spans="1:9" x14ac:dyDescent="0.2">
      <c r="A1284" s="11">
        <v>124.799999999999</v>
      </c>
      <c r="B1284" s="15">
        <v>3.133</v>
      </c>
      <c r="C1284" s="11">
        <f t="shared" si="78"/>
        <v>16172.824286801031</v>
      </c>
      <c r="D1284" s="11">
        <f t="shared" si="79"/>
        <v>-10714.757510910511</v>
      </c>
      <c r="E1284" s="11">
        <f t="shared" si="80"/>
        <v>-23180.965768796963</v>
      </c>
      <c r="F1284" s="11">
        <f>Speed_Calc!B$5*E1284</f>
        <v>-20862.869191917267</v>
      </c>
      <c r="G1284" s="15">
        <f>Speed_Calc!G$3+Speed_Calc!G$5*A1284^2</f>
        <v>82.455910399998999</v>
      </c>
      <c r="H1284" s="7">
        <f>(F1284-G1284)/Speed_Calc!G$2*9.806</f>
        <v>-152.14063552098008</v>
      </c>
      <c r="I1284" s="4">
        <f t="shared" si="81"/>
        <v>34.666666666666387</v>
      </c>
    </row>
    <row r="1285" spans="1:9" x14ac:dyDescent="0.2">
      <c r="A1285" s="11">
        <v>124.899999999999</v>
      </c>
      <c r="B1285" s="15">
        <v>3.133</v>
      </c>
      <c r="C1285" s="11">
        <f t="shared" si="78"/>
        <v>16185.783280620581</v>
      </c>
      <c r="D1285" s="11">
        <f t="shared" si="79"/>
        <v>-10777.656269106195</v>
      </c>
      <c r="E1285" s="11">
        <f t="shared" si="80"/>
        <v>-23298.376242263381</v>
      </c>
      <c r="F1285" s="11">
        <f>Speed_Calc!B$5*E1285</f>
        <v>-20968.538618037044</v>
      </c>
      <c r="G1285" s="15">
        <f>Speed_Calc!G$3+Speed_Calc!G$5*A1285^2</f>
        <v>82.556040099998995</v>
      </c>
      <c r="H1285" s="7">
        <f>(F1285-G1285)/Speed_Calc!G$2*9.806</f>
        <v>-152.90891423532727</v>
      </c>
      <c r="I1285" s="4">
        <f t="shared" si="81"/>
        <v>34.694444444444166</v>
      </c>
    </row>
    <row r="1286" spans="1:9" x14ac:dyDescent="0.2">
      <c r="A1286" s="11">
        <v>124.99999999999901</v>
      </c>
      <c r="B1286" s="15">
        <v>3.133</v>
      </c>
      <c r="C1286" s="11">
        <f t="shared" si="78"/>
        <v>16198.742274440134</v>
      </c>
      <c r="D1286" s="11">
        <f t="shared" si="79"/>
        <v>-10840.835256177386</v>
      </c>
      <c r="E1286" s="11">
        <f t="shared" si="80"/>
        <v>-23416.204153343348</v>
      </c>
      <c r="F1286" s="11">
        <f>Speed_Calc!B$5*E1286</f>
        <v>-21074.583738009012</v>
      </c>
      <c r="G1286" s="15">
        <f>Speed_Calc!G$3+Speed_Calc!G$5*A1286^2</f>
        <v>82.656249999999005</v>
      </c>
      <c r="H1286" s="7">
        <f>(F1286-G1286)/Speed_Calc!G$2*9.806</f>
        <v>-153.67992246104916</v>
      </c>
      <c r="I1286" s="4">
        <f t="shared" si="81"/>
        <v>34.722222222221944</v>
      </c>
    </row>
    <row r="1287" spans="1:9" x14ac:dyDescent="0.2">
      <c r="A1287" s="11">
        <v>125.099999999999</v>
      </c>
      <c r="B1287" s="15">
        <v>3.133</v>
      </c>
      <c r="C1287" s="11">
        <f t="shared" si="78"/>
        <v>16211.701268259687</v>
      </c>
      <c r="D1287" s="11">
        <f t="shared" si="79"/>
        <v>-10904.295385317686</v>
      </c>
      <c r="E1287" s="11">
        <f t="shared" si="80"/>
        <v>-23534.450471908862</v>
      </c>
      <c r="F1287" s="11">
        <f>Speed_Calc!B$5*E1287</f>
        <v>-21181.005424717976</v>
      </c>
      <c r="G1287" s="15">
        <f>Speed_Calc!G$3+Speed_Calc!G$5*A1287^2</f>
        <v>82.756540099998986</v>
      </c>
      <c r="H1287" s="7">
        <f>(F1287-G1287)/Speed_Calc!G$2*9.806</f>
        <v>-154.45366653852224</v>
      </c>
      <c r="I1287" s="4">
        <f t="shared" si="81"/>
        <v>34.749999999999723</v>
      </c>
    </row>
    <row r="1288" spans="1:9" x14ac:dyDescent="0.2">
      <c r="A1288" s="11">
        <v>125.19999999999899</v>
      </c>
      <c r="B1288" s="15">
        <v>3.133</v>
      </c>
      <c r="C1288" s="11">
        <f t="shared" si="78"/>
        <v>16224.660262079235</v>
      </c>
      <c r="D1288" s="11">
        <f t="shared" si="79"/>
        <v>-10968.037571672192</v>
      </c>
      <c r="E1288" s="11">
        <f t="shared" si="80"/>
        <v>-23653.116168941822</v>
      </c>
      <c r="F1288" s="11">
        <f>Speed_Calc!B$5*E1288</f>
        <v>-21287.804552047641</v>
      </c>
      <c r="G1288" s="15">
        <f>Speed_Calc!G$3+Speed_Calc!G$5*A1288^2</f>
        <v>82.856910399998981</v>
      </c>
      <c r="H1288" s="7">
        <f>(F1288-G1288)/Speed_Calc!G$2*9.806</f>
        <v>-155.23015281537891</v>
      </c>
      <c r="I1288" s="4">
        <f t="shared" si="81"/>
        <v>34.777777777777494</v>
      </c>
    </row>
    <row r="1289" spans="1:9" x14ac:dyDescent="0.2">
      <c r="A1289" s="11">
        <v>125.299999999999</v>
      </c>
      <c r="B1289" s="15">
        <v>3.133</v>
      </c>
      <c r="C1289" s="11">
        <f t="shared" si="78"/>
        <v>16237.619255898791</v>
      </c>
      <c r="D1289" s="11">
        <f t="shared" si="79"/>
        <v>-11032.062732339791</v>
      </c>
      <c r="E1289" s="11">
        <f t="shared" si="80"/>
        <v>-23772.202216534453</v>
      </c>
      <c r="F1289" s="11">
        <f>Speed_Calc!B$5*E1289</f>
        <v>-21394.981994881007</v>
      </c>
      <c r="G1289" s="15">
        <f>Speed_Calc!G$3+Speed_Calc!G$5*A1289^2</f>
        <v>82.957360899998989</v>
      </c>
      <c r="H1289" s="7">
        <f>(F1289-G1289)/Speed_Calc!G$2*9.806</f>
        <v>-156.00938764651002</v>
      </c>
      <c r="I1289" s="4">
        <f t="shared" si="81"/>
        <v>34.80555555555528</v>
      </c>
    </row>
    <row r="1290" spans="1:9" x14ac:dyDescent="0.2">
      <c r="A1290" s="11">
        <v>125.399999999999</v>
      </c>
      <c r="B1290" s="15">
        <v>3.133</v>
      </c>
      <c r="C1290" s="11">
        <f t="shared" si="78"/>
        <v>16250.578249718337</v>
      </c>
      <c r="D1290" s="11">
        <f t="shared" si="79"/>
        <v>-11096.371786374848</v>
      </c>
      <c r="E1290" s="11">
        <f t="shared" si="80"/>
        <v>-23891.709587888632</v>
      </c>
      <c r="F1290" s="11">
        <f>Speed_Calc!B$5*E1290</f>
        <v>-21502.53862909977</v>
      </c>
      <c r="G1290" s="15">
        <f>Speed_Calc!G$3+Speed_Calc!G$5*A1290^2</f>
        <v>83.057891599998982</v>
      </c>
      <c r="H1290" s="7">
        <f>(F1290-G1290)/Speed_Calc!G$2*9.806</f>
        <v>-156.79137739406067</v>
      </c>
      <c r="I1290" s="4">
        <f t="shared" si="81"/>
        <v>34.833333333333051</v>
      </c>
    </row>
    <row r="1291" spans="1:9" x14ac:dyDescent="0.2">
      <c r="A1291" s="11">
        <v>125.49999999999901</v>
      </c>
      <c r="B1291" s="15">
        <v>3.133</v>
      </c>
      <c r="C1291" s="11">
        <f t="shared" si="78"/>
        <v>16263.537243537901</v>
      </c>
      <c r="D1291" s="11">
        <f t="shared" si="79"/>
        <v>-11160.965654789657</v>
      </c>
      <c r="E1291" s="11">
        <f t="shared" si="80"/>
        <v>-24011.639257316583</v>
      </c>
      <c r="F1291" s="11">
        <f>Speed_Calc!B$5*E1291</f>
        <v>-21610.475331584927</v>
      </c>
      <c r="G1291" s="15">
        <f>Speed_Calc!G$3+Speed_Calc!G$5*A1291^2</f>
        <v>83.158502499999003</v>
      </c>
      <c r="H1291" s="7">
        <f>(F1291-G1291)/Speed_Calc!G$2*9.806</f>
        <v>-157.57612842743461</v>
      </c>
      <c r="I1291" s="4">
        <f t="shared" si="81"/>
        <v>34.861111111110837</v>
      </c>
    </row>
    <row r="1292" spans="1:9" x14ac:dyDescent="0.2">
      <c r="A1292" s="11">
        <v>125.599999999999</v>
      </c>
      <c r="B1292" s="15">
        <v>3.133</v>
      </c>
      <c r="C1292" s="11">
        <f t="shared" si="78"/>
        <v>16276.496237357447</v>
      </c>
      <c r="D1292" s="11">
        <f t="shared" si="79"/>
        <v>-11225.845260556043</v>
      </c>
      <c r="E1292" s="11">
        <f t="shared" si="80"/>
        <v>-24131.992200240096</v>
      </c>
      <c r="F1292" s="11">
        <f>Speed_Calc!B$5*E1292</f>
        <v>-21718.792980216087</v>
      </c>
      <c r="G1292" s="15">
        <f>Speed_Calc!G$3+Speed_Calc!G$5*A1292^2</f>
        <v>83.25919359999898</v>
      </c>
      <c r="H1292" s="7">
        <f>(F1292-G1292)/Speed_Calc!G$2*9.806</f>
        <v>-158.36364712328927</v>
      </c>
      <c r="I1292" s="4">
        <f t="shared" si="81"/>
        <v>34.888888888888609</v>
      </c>
    </row>
    <row r="1293" spans="1:9" x14ac:dyDescent="0.2">
      <c r="A1293" s="11">
        <v>125.69999999999899</v>
      </c>
      <c r="B1293" s="15">
        <v>3.133</v>
      </c>
      <c r="C1293" s="11">
        <f t="shared" si="78"/>
        <v>16289.455231177</v>
      </c>
      <c r="D1293" s="11">
        <f t="shared" si="79"/>
        <v>-11291.011528607914</v>
      </c>
      <c r="E1293" s="11">
        <f t="shared" si="80"/>
        <v>-24252.769393191422</v>
      </c>
      <c r="F1293" s="11">
        <f>Speed_Calc!B$5*E1293</f>
        <v>-21827.492453872281</v>
      </c>
      <c r="G1293" s="15">
        <f>Speed_Calc!G$3+Speed_Calc!G$5*A1293^2</f>
        <v>83.359964899998971</v>
      </c>
      <c r="H1293" s="7">
        <f>(F1293-G1293)/Speed_Calc!G$2*9.806</f>
        <v>-159.15393986554145</v>
      </c>
      <c r="I1293" s="4">
        <f t="shared" si="81"/>
        <v>34.916666666666387</v>
      </c>
    </row>
    <row r="1294" spans="1:9" x14ac:dyDescent="0.2">
      <c r="A1294" s="11">
        <v>125.799999999999</v>
      </c>
      <c r="B1294" s="15">
        <v>3.133</v>
      </c>
      <c r="C1294" s="11">
        <f t="shared" si="78"/>
        <v>16302.414224996552</v>
      </c>
      <c r="D1294" s="11">
        <f t="shared" si="79"/>
        <v>-11356.465385842957</v>
      </c>
      <c r="E1294" s="11">
        <f t="shared" si="80"/>
        <v>-24373.97181381259</v>
      </c>
      <c r="F1294" s="11">
        <f>Speed_Calc!B$5*E1294</f>
        <v>-21936.574632431333</v>
      </c>
      <c r="G1294" s="15">
        <f>Speed_Calc!G$3+Speed_Calc!G$5*A1294^2</f>
        <v>83.460816399998976</v>
      </c>
      <c r="H1294" s="7">
        <f>(F1294-G1294)/Speed_Calc!G$2*9.806</f>
        <v>-159.94701304536295</v>
      </c>
      <c r="I1294" s="4">
        <f t="shared" si="81"/>
        <v>34.944444444444166</v>
      </c>
    </row>
    <row r="1295" spans="1:9" x14ac:dyDescent="0.2">
      <c r="A1295" s="11">
        <v>125.899999999999</v>
      </c>
      <c r="B1295" s="15">
        <v>3.133</v>
      </c>
      <c r="C1295" s="11">
        <f t="shared" ref="C1295:C1358" si="82">A1295/3.6/B$23/2/PI()*B$32*B$31*B1295*60</f>
        <v>16315.373218816105</v>
      </c>
      <c r="D1295" s="11">
        <f t="shared" ref="D1295:D1358" si="83">-4.687*10^(-17)*C1295^5+9.129*10^(-13)*C1295^4-6.175*10^(-9)*C1295^3+1.799*10^(-5)*C1295^2+6.502*10^(-3)*C1295</f>
        <v>-11422.207761124839</v>
      </c>
      <c r="E1295" s="11">
        <f t="shared" ref="E1295:E1358" si="84">D1295*75*B1295*B$31*B$32/B$23/C1295/2/PI()*60</f>
        <v>-24495.600440855684</v>
      </c>
      <c r="F1295" s="11">
        <f>Speed_Calc!B$5*E1295</f>
        <v>-22046.040396770117</v>
      </c>
      <c r="G1295" s="15">
        <f>Speed_Calc!G$3+Speed_Calc!G$5*A1295^2</f>
        <v>83.561748099998979</v>
      </c>
      <c r="H1295" s="7">
        <f>(F1295-G1295)/Speed_Calc!G$2*9.806</f>
        <v>-160.74287306118245</v>
      </c>
      <c r="I1295" s="4">
        <f t="shared" ref="I1295:I1358" si="85">A1295/3.6</f>
        <v>34.972222222221944</v>
      </c>
    </row>
    <row r="1296" spans="1:9" x14ac:dyDescent="0.2">
      <c r="A1296" s="11">
        <v>125.99999999999901</v>
      </c>
      <c r="B1296" s="15">
        <v>3.133</v>
      </c>
      <c r="C1296" s="11">
        <f t="shared" si="82"/>
        <v>16328.332212635658</v>
      </c>
      <c r="D1296" s="11">
        <f t="shared" si="83"/>
        <v>-11488.239585285202</v>
      </c>
      <c r="E1296" s="11">
        <f t="shared" si="84"/>
        <v>-24617.656254182773</v>
      </c>
      <c r="F1296" s="11">
        <f>Speed_Calc!B$5*E1296</f>
        <v>-22155.890628764497</v>
      </c>
      <c r="G1296" s="15">
        <f>Speed_Calc!G$3+Speed_Calc!G$5*A1296^2</f>
        <v>83.662759999998997</v>
      </c>
      <c r="H1296" s="7">
        <f>(F1296-G1296)/Speed_Calc!G$2*9.806</f>
        <v>-161.5415263186849</v>
      </c>
      <c r="I1296" s="4">
        <f t="shared" si="85"/>
        <v>34.999999999999723</v>
      </c>
    </row>
    <row r="1297" spans="1:9" x14ac:dyDescent="0.2">
      <c r="A1297" s="11">
        <v>126.099999999999</v>
      </c>
      <c r="B1297" s="15">
        <v>3.133</v>
      </c>
      <c r="C1297" s="11">
        <f t="shared" si="82"/>
        <v>16341.291206455207</v>
      </c>
      <c r="D1297" s="11">
        <f t="shared" si="83"/>
        <v>-11554.561791125781</v>
      </c>
      <c r="E1297" s="11">
        <f t="shared" si="84"/>
        <v>-24740.14023476595</v>
      </c>
      <c r="F1297" s="11">
        <f>Speed_Calc!B$5*E1297</f>
        <v>-22266.126211289356</v>
      </c>
      <c r="G1297" s="15">
        <f>Speed_Calc!G$3+Speed_Calc!G$5*A1297^2</f>
        <v>83.763852099998985</v>
      </c>
      <c r="H1297" s="7">
        <f>(F1297-G1297)/Speed_Calc!G$2*9.806</f>
        <v>-162.34297923081186</v>
      </c>
      <c r="I1297" s="4">
        <f t="shared" si="85"/>
        <v>35.027777777777501</v>
      </c>
    </row>
    <row r="1298" spans="1:9" x14ac:dyDescent="0.2">
      <c r="A1298" s="11">
        <v>126.19999999999899</v>
      </c>
      <c r="B1298" s="15">
        <v>3.133</v>
      </c>
      <c r="C1298" s="11">
        <f t="shared" si="82"/>
        <v>16354.250200274757</v>
      </c>
      <c r="D1298" s="11">
        <f t="shared" si="83"/>
        <v>-11621.175313420426</v>
      </c>
      <c r="E1298" s="11">
        <f t="shared" si="84"/>
        <v>-24863.05336468733</v>
      </c>
      <c r="F1298" s="11">
        <f>Speed_Calc!B$5*E1298</f>
        <v>-22376.748028218597</v>
      </c>
      <c r="G1298" s="15">
        <f>Speed_Calc!G$3+Speed_Calc!G$5*A1298^2</f>
        <v>83.865024399998973</v>
      </c>
      <c r="H1298" s="7">
        <f>(F1298-G1298)/Speed_Calc!G$2*9.806</f>
        <v>-163.14723821776141</v>
      </c>
      <c r="I1298" s="4">
        <f t="shared" si="85"/>
        <v>35.055555555555273</v>
      </c>
    </row>
    <row r="1299" spans="1:9" x14ac:dyDescent="0.2">
      <c r="A1299" s="11">
        <v>126.299999999999</v>
      </c>
      <c r="B1299" s="15">
        <v>3.133</v>
      </c>
      <c r="C1299" s="11">
        <f t="shared" si="82"/>
        <v>16367.209194094317</v>
      </c>
      <c r="D1299" s="11">
        <f t="shared" si="83"/>
        <v>-11688.081088917223</v>
      </c>
      <c r="E1299" s="11">
        <f t="shared" si="84"/>
        <v>-24986.396627139147</v>
      </c>
      <c r="F1299" s="11">
        <f>Speed_Calc!B$5*E1299</f>
        <v>-22487.756964425233</v>
      </c>
      <c r="G1299" s="15">
        <f>Speed_Calc!G$3+Speed_Calc!G$5*A1299^2</f>
        <v>83.966276899998974</v>
      </c>
      <c r="H1299" s="7">
        <f>(F1299-G1299)/Speed_Calc!G$2*9.806</f>
        <v>-163.95430970698905</v>
      </c>
      <c r="I1299" s="4">
        <f t="shared" si="85"/>
        <v>35.083333333333059</v>
      </c>
    </row>
    <row r="1300" spans="1:9" x14ac:dyDescent="0.2">
      <c r="A1300" s="11">
        <v>126.399999999999</v>
      </c>
      <c r="B1300" s="15">
        <v>3.133</v>
      </c>
      <c r="C1300" s="11">
        <f t="shared" si="82"/>
        <v>16380.168187913863</v>
      </c>
      <c r="D1300" s="11">
        <f t="shared" si="83"/>
        <v>-11755.280056340274</v>
      </c>
      <c r="E1300" s="11">
        <f t="shared" si="84"/>
        <v>-25110.171006423254</v>
      </c>
      <c r="F1300" s="11">
        <f>Speed_Calc!B$5*E1300</f>
        <v>-22599.153905780928</v>
      </c>
      <c r="G1300" s="15">
        <f>Speed_Calc!G$3+Speed_Calc!G$5*A1300^2</f>
        <v>84.067609599998974</v>
      </c>
      <c r="H1300" s="7">
        <f>(F1300-G1300)/Speed_Calc!G$2*9.806</f>
        <v>-164.76420013320396</v>
      </c>
      <c r="I1300" s="4">
        <f t="shared" si="85"/>
        <v>35.11111111111083</v>
      </c>
    </row>
    <row r="1301" spans="1:9" x14ac:dyDescent="0.2">
      <c r="A1301" s="11">
        <v>126.49999999999901</v>
      </c>
      <c r="B1301" s="15">
        <v>3.133</v>
      </c>
      <c r="C1301" s="11">
        <f t="shared" si="82"/>
        <v>16393.127181733413</v>
      </c>
      <c r="D1301" s="11">
        <f t="shared" si="83"/>
        <v>-11822.773156392213</v>
      </c>
      <c r="E1301" s="11">
        <f t="shared" si="84"/>
        <v>-25234.37748795197</v>
      </c>
      <c r="F1301" s="11">
        <f>Speed_Calc!B$5*E1301</f>
        <v>-22710.939739156773</v>
      </c>
      <c r="G1301" s="15">
        <f>Speed_Calc!G$3+Speed_Calc!G$5*A1301^2</f>
        <v>84.169022499998988</v>
      </c>
      <c r="H1301" s="7">
        <f>(F1301-G1301)/Speed_Calc!G$2*9.806</f>
        <v>-165.57691593837501</v>
      </c>
      <c r="I1301" s="4">
        <f t="shared" si="85"/>
        <v>35.138888888888609</v>
      </c>
    </row>
    <row r="1302" spans="1:9" x14ac:dyDescent="0.2">
      <c r="A1302" s="11">
        <v>126.599999999999</v>
      </c>
      <c r="B1302" s="15">
        <v>3.133</v>
      </c>
      <c r="C1302" s="11">
        <f t="shared" si="82"/>
        <v>16406.08617555297</v>
      </c>
      <c r="D1302" s="11">
        <f t="shared" si="83"/>
        <v>-11890.561331755951</v>
      </c>
      <c r="E1302" s="11">
        <f t="shared" si="84"/>
        <v>-25359.017058247489</v>
      </c>
      <c r="F1302" s="11">
        <f>Speed_Calc!B$5*E1302</f>
        <v>-22823.115352422741</v>
      </c>
      <c r="G1302" s="15">
        <f>Speed_Calc!G$3+Speed_Calc!G$5*A1302^2</f>
        <v>84.270515599998973</v>
      </c>
      <c r="H1302" s="7">
        <f>(F1302-G1302)/Speed_Calc!G$2*9.806</f>
        <v>-166.39246357172664</v>
      </c>
      <c r="I1302" s="4">
        <f t="shared" si="85"/>
        <v>35.166666666666387</v>
      </c>
    </row>
    <row r="1303" spans="1:9" x14ac:dyDescent="0.2">
      <c r="A1303" s="11">
        <v>126.69999999999899</v>
      </c>
      <c r="B1303" s="15">
        <v>3.133</v>
      </c>
      <c r="C1303" s="11">
        <f t="shared" si="82"/>
        <v>16419.045169372519</v>
      </c>
      <c r="D1303" s="11">
        <f t="shared" si="83"/>
        <v>-11958.645527096673</v>
      </c>
      <c r="E1303" s="11">
        <f t="shared" si="84"/>
        <v>-25484.090704941817</v>
      </c>
      <c r="F1303" s="11">
        <f>Speed_Calc!B$5*E1303</f>
        <v>-22935.681634447636</v>
      </c>
      <c r="G1303" s="15">
        <f>Speed_Calc!G$3+Speed_Calc!G$5*A1303^2</f>
        <v>84.372088899998971</v>
      </c>
      <c r="H1303" s="7">
        <f>(F1303-G1303)/Speed_Calc!G$2*9.806</f>
        <v>-167.21084948973845</v>
      </c>
      <c r="I1303" s="4">
        <f t="shared" si="85"/>
        <v>35.194444444444166</v>
      </c>
    </row>
    <row r="1304" spans="1:9" x14ac:dyDescent="0.2">
      <c r="A1304" s="11">
        <v>126.799999999999</v>
      </c>
      <c r="B1304" s="15">
        <v>3.133</v>
      </c>
      <c r="C1304" s="11">
        <f t="shared" si="82"/>
        <v>16432.004163192076</v>
      </c>
      <c r="D1304" s="11">
        <f t="shared" si="83"/>
        <v>-12027.026689064169</v>
      </c>
      <c r="E1304" s="11">
        <f t="shared" si="84"/>
        <v>-25609.599416777215</v>
      </c>
      <c r="F1304" s="11">
        <f>Speed_Calc!B$5*E1304</f>
        <v>-23048.639475099495</v>
      </c>
      <c r="G1304" s="15">
        <f>Speed_Calc!G$3+Speed_Calc!G$5*A1304^2</f>
        <v>84.473742399998983</v>
      </c>
      <c r="H1304" s="7">
        <f>(F1304-G1304)/Speed_Calc!G$2*9.806</f>
        <v>-168.03208015614814</v>
      </c>
      <c r="I1304" s="4">
        <f t="shared" si="85"/>
        <v>35.222222222221944</v>
      </c>
    </row>
    <row r="1305" spans="1:9" x14ac:dyDescent="0.2">
      <c r="A1305" s="11">
        <v>126.899999999999</v>
      </c>
      <c r="B1305" s="15">
        <v>3.133</v>
      </c>
      <c r="C1305" s="11">
        <f t="shared" si="82"/>
        <v>16444.963157011629</v>
      </c>
      <c r="D1305" s="11">
        <f t="shared" si="83"/>
        <v>-12095.705766294617</v>
      </c>
      <c r="E1305" s="11">
        <f t="shared" si="84"/>
        <v>-25735.544183605773</v>
      </c>
      <c r="F1305" s="11">
        <f>Speed_Calc!B$5*E1305</f>
        <v>-23161.989765245195</v>
      </c>
      <c r="G1305" s="15">
        <f>Speed_Calc!G$3+Speed_Calc!G$5*A1305^2</f>
        <v>84.57547609999898</v>
      </c>
      <c r="H1305" s="7">
        <f>(F1305-G1305)/Speed_Calc!G$2*9.806</f>
        <v>-168.85616204194883</v>
      </c>
      <c r="I1305" s="4">
        <f t="shared" si="85"/>
        <v>35.249999999999723</v>
      </c>
    </row>
    <row r="1306" spans="1:9" x14ac:dyDescent="0.2">
      <c r="A1306" s="11">
        <v>126.99999999999901</v>
      </c>
      <c r="B1306" s="15">
        <v>3.133</v>
      </c>
      <c r="C1306" s="11">
        <f t="shared" si="82"/>
        <v>16457.922150831178</v>
      </c>
      <c r="D1306" s="11">
        <f t="shared" si="83"/>
        <v>-12164.68370941284</v>
      </c>
      <c r="E1306" s="11">
        <f t="shared" si="84"/>
        <v>-25861.925996389709</v>
      </c>
      <c r="F1306" s="11">
        <f>Speed_Calc!B$5*E1306</f>
        <v>-23275.73339675074</v>
      </c>
      <c r="G1306" s="15">
        <f>Speed_Calc!G$3+Speed_Calc!G$5*A1306^2</f>
        <v>84.677289999998976</v>
      </c>
      <c r="H1306" s="7">
        <f>(F1306-G1306)/Speed_Calc!G$2*9.806</f>
        <v>-169.68310162539089</v>
      </c>
      <c r="I1306" s="4">
        <f t="shared" si="85"/>
        <v>35.277777777777501</v>
      </c>
    </row>
    <row r="1307" spans="1:9" x14ac:dyDescent="0.2">
      <c r="A1307" s="11">
        <v>127.099999999999</v>
      </c>
      <c r="B1307" s="15">
        <v>3.133</v>
      </c>
      <c r="C1307" s="11">
        <f t="shared" si="82"/>
        <v>16470.881144650735</v>
      </c>
      <c r="D1307" s="11">
        <f t="shared" si="83"/>
        <v>-12233.961471034245</v>
      </c>
      <c r="E1307" s="11">
        <f t="shared" si="84"/>
        <v>-25988.745847201189</v>
      </c>
      <c r="F1307" s="11">
        <f>Speed_Calc!B$5*E1307</f>
        <v>-23389.871262481072</v>
      </c>
      <c r="G1307" s="15">
        <f>Speed_Calc!G$3+Speed_Calc!G$5*A1307^2</f>
        <v>84.779184099998972</v>
      </c>
      <c r="H1307" s="7">
        <f>(F1307-G1307)/Speed_Calc!G$2*9.806</f>
        <v>-170.51290539198072</v>
      </c>
      <c r="I1307" s="4">
        <f t="shared" si="85"/>
        <v>35.30555555555528</v>
      </c>
    </row>
    <row r="1308" spans="1:9" x14ac:dyDescent="0.2">
      <c r="A1308" s="11">
        <v>127.19999999999899</v>
      </c>
      <c r="B1308" s="15">
        <v>3.133</v>
      </c>
      <c r="C1308" s="11">
        <f t="shared" si="82"/>
        <v>16483.840138470281</v>
      </c>
      <c r="D1308" s="11">
        <f t="shared" si="83"/>
        <v>-12303.540005766888</v>
      </c>
      <c r="E1308" s="11">
        <f t="shared" si="84"/>
        <v>-26116.004729222379</v>
      </c>
      <c r="F1308" s="11">
        <f>Speed_Calc!B$5*E1308</f>
        <v>-23504.404256300142</v>
      </c>
      <c r="G1308" s="15">
        <f>Speed_Calc!G$3+Speed_Calc!G$5*A1308^2</f>
        <v>84.881158399998967</v>
      </c>
      <c r="H1308" s="7">
        <f>(F1308-G1308)/Speed_Calc!G$2*9.806</f>
        <v>-171.34557983448116</v>
      </c>
      <c r="I1308" s="4">
        <f t="shared" si="85"/>
        <v>35.333333333333051</v>
      </c>
    </row>
    <row r="1309" spans="1:9" x14ac:dyDescent="0.2">
      <c r="A1309" s="11">
        <v>127.299999999999</v>
      </c>
      <c r="B1309" s="15">
        <v>3.133</v>
      </c>
      <c r="C1309" s="11">
        <f t="shared" si="82"/>
        <v>16496.799132289834</v>
      </c>
      <c r="D1309" s="11">
        <f t="shared" si="83"/>
        <v>-12373.420270213619</v>
      </c>
      <c r="E1309" s="11">
        <f t="shared" si="84"/>
        <v>-26243.703636745504</v>
      </c>
      <c r="F1309" s="11">
        <f>Speed_Calc!B$5*E1309</f>
        <v>-23619.333273070955</v>
      </c>
      <c r="G1309" s="15">
        <f>Speed_Calc!G$3+Speed_Calc!G$5*A1309^2</f>
        <v>84.983212899998975</v>
      </c>
      <c r="H1309" s="7">
        <f>(F1309-G1309)/Speed_Calc!G$2*9.806</f>
        <v>-172.18113145291196</v>
      </c>
      <c r="I1309" s="4">
        <f t="shared" si="85"/>
        <v>35.36111111111083</v>
      </c>
    </row>
    <row r="1310" spans="1:9" x14ac:dyDescent="0.2">
      <c r="A1310" s="11">
        <v>127.399999999999</v>
      </c>
      <c r="B1310" s="15">
        <v>3.133</v>
      </c>
      <c r="C1310" s="11">
        <f t="shared" si="82"/>
        <v>16509.758126109384</v>
      </c>
      <c r="D1310" s="11">
        <f t="shared" si="83"/>
        <v>-12443.603222974039</v>
      </c>
      <c r="E1310" s="11">
        <f t="shared" si="84"/>
        <v>-26371.843565172821</v>
      </c>
      <c r="F1310" s="11">
        <f>Speed_Calc!B$5*E1310</f>
        <v>-23734.659208655539</v>
      </c>
      <c r="G1310" s="15">
        <f>Speed_Calc!G$3+Speed_Calc!G$5*A1310^2</f>
        <v>85.085347599998968</v>
      </c>
      <c r="H1310" s="7">
        <f>(F1310-G1310)/Speed_Calc!G$2*9.806</f>
        <v>-173.01956675454946</v>
      </c>
      <c r="I1310" s="4">
        <f t="shared" si="85"/>
        <v>35.388888888888609</v>
      </c>
    </row>
    <row r="1311" spans="1:9" x14ac:dyDescent="0.2">
      <c r="A1311" s="11">
        <v>127.49999999999901</v>
      </c>
      <c r="B1311" s="15">
        <v>3.133</v>
      </c>
      <c r="C1311" s="11">
        <f t="shared" si="82"/>
        <v>16522.717119928937</v>
      </c>
      <c r="D1311" s="11">
        <f t="shared" si="83"/>
        <v>-12514.089824646604</v>
      </c>
      <c r="E1311" s="11">
        <f t="shared" si="84"/>
        <v>-26500.425511016554</v>
      </c>
      <c r="F1311" s="11">
        <f>Speed_Calc!B$5*E1311</f>
        <v>-23850.382959914899</v>
      </c>
      <c r="G1311" s="15">
        <f>Speed_Calc!G$3+Speed_Calc!G$5*A1311^2</f>
        <v>85.187562499998975</v>
      </c>
      <c r="H1311" s="7">
        <f>(F1311-G1311)/Speed_Calc!G$2*9.806</f>
        <v>-173.86089225392629</v>
      </c>
      <c r="I1311" s="4">
        <f t="shared" si="85"/>
        <v>35.416666666666387</v>
      </c>
    </row>
    <row r="1312" spans="1:9" x14ac:dyDescent="0.2">
      <c r="A1312" s="11">
        <v>127.599999999999</v>
      </c>
      <c r="B1312" s="15">
        <v>3.133</v>
      </c>
      <c r="C1312" s="11">
        <f t="shared" si="82"/>
        <v>16535.676113748486</v>
      </c>
      <c r="D1312" s="11">
        <f t="shared" si="83"/>
        <v>-12584.88103783059</v>
      </c>
      <c r="E1312" s="11">
        <f t="shared" si="84"/>
        <v>-26629.450471898799</v>
      </c>
      <c r="F1312" s="11">
        <f>Speed_Calc!B$5*E1312</f>
        <v>-23966.505424708921</v>
      </c>
      <c r="G1312" s="15">
        <f>Speed_Calc!G$3+Speed_Calc!G$5*A1312^2</f>
        <v>85.289857599998967</v>
      </c>
      <c r="H1312" s="7">
        <f>(F1312-G1312)/Speed_Calc!G$2*9.806</f>
        <v>-174.70511447283059</v>
      </c>
      <c r="I1312" s="4">
        <f t="shared" si="85"/>
        <v>35.444444444444166</v>
      </c>
    </row>
    <row r="1313" spans="1:9" x14ac:dyDescent="0.2">
      <c r="A1313" s="11">
        <v>127.69999999999899</v>
      </c>
      <c r="B1313" s="15">
        <v>3.133</v>
      </c>
      <c r="C1313" s="11">
        <f t="shared" si="82"/>
        <v>16548.63510756804</v>
      </c>
      <c r="D1313" s="11">
        <f t="shared" si="83"/>
        <v>-12655.977827128339</v>
      </c>
      <c r="E1313" s="11">
        <f t="shared" si="84"/>
        <v>-26758.91944655191</v>
      </c>
      <c r="F1313" s="11">
        <f>Speed_Calc!B$5*E1313</f>
        <v>-24083.027501896719</v>
      </c>
      <c r="G1313" s="15">
        <f>Speed_Calc!G$3+Speed_Calc!G$5*A1313^2</f>
        <v>85.392232899998959</v>
      </c>
      <c r="H1313" s="7">
        <f>(F1313-G1313)/Speed_Calc!G$2*9.806</f>
        <v>-175.5522399403086</v>
      </c>
      <c r="I1313" s="4">
        <f t="shared" si="85"/>
        <v>35.472222222221944</v>
      </c>
    </row>
    <row r="1314" spans="1:9" x14ac:dyDescent="0.2">
      <c r="A1314" s="11">
        <v>127.799999999999</v>
      </c>
      <c r="B1314" s="15">
        <v>3.133</v>
      </c>
      <c r="C1314" s="11">
        <f t="shared" si="82"/>
        <v>16561.5941013876</v>
      </c>
      <c r="D1314" s="11">
        <f t="shared" si="83"/>
        <v>-12727.381159147191</v>
      </c>
      <c r="E1314" s="11">
        <f t="shared" si="84"/>
        <v>-26888.833434818218</v>
      </c>
      <c r="F1314" s="11">
        <f>Speed_Calc!B$5*E1314</f>
        <v>-24199.950091336395</v>
      </c>
      <c r="G1314" s="15">
        <f>Speed_Calc!G$3+Speed_Calc!G$5*A1314^2</f>
        <v>85.494688399998978</v>
      </c>
      <c r="H1314" s="7">
        <f>(F1314-G1314)/Speed_Calc!G$2*9.806</f>
        <v>-176.40227519266301</v>
      </c>
      <c r="I1314" s="4">
        <f t="shared" si="85"/>
        <v>35.499999999999723</v>
      </c>
    </row>
    <row r="1315" spans="1:9" x14ac:dyDescent="0.2">
      <c r="A1315" s="11">
        <v>127.899999999999</v>
      </c>
      <c r="B1315" s="15">
        <v>3.133</v>
      </c>
      <c r="C1315" s="11">
        <f t="shared" si="82"/>
        <v>16574.553095207149</v>
      </c>
      <c r="D1315" s="11">
        <f t="shared" si="83"/>
        <v>-12799.092002501382</v>
      </c>
      <c r="E1315" s="11">
        <f t="shared" si="84"/>
        <v>-27019.193437649727</v>
      </c>
      <c r="F1315" s="11">
        <f>Speed_Calc!B$5*E1315</f>
        <v>-24317.274093884753</v>
      </c>
      <c r="G1315" s="15">
        <f>Speed_Calc!G$3+Speed_Calc!G$5*A1315^2</f>
        <v>85.597224099998968</v>
      </c>
      <c r="H1315" s="7">
        <f>(F1315-G1315)/Speed_Calc!G$2*9.806</f>
        <v>-177.25522677345072</v>
      </c>
      <c r="I1315" s="4">
        <f t="shared" si="85"/>
        <v>35.527777777777501</v>
      </c>
    </row>
    <row r="1316" spans="1:9" x14ac:dyDescent="0.2">
      <c r="A1316" s="11">
        <v>127.99999999999901</v>
      </c>
      <c r="B1316" s="15">
        <v>3.133</v>
      </c>
      <c r="C1316" s="11">
        <f t="shared" si="82"/>
        <v>16587.512089026706</v>
      </c>
      <c r="D1316" s="11">
        <f t="shared" si="83"/>
        <v>-12871.111327814499</v>
      </c>
      <c r="E1316" s="11">
        <f t="shared" si="84"/>
        <v>-27150.000457108916</v>
      </c>
      <c r="F1316" s="11">
        <f>Speed_Calc!B$5*E1316</f>
        <v>-24435.000411398025</v>
      </c>
      <c r="G1316" s="15">
        <f>Speed_Calc!G$3+Speed_Calc!G$5*A1316^2</f>
        <v>85.699839999998972</v>
      </c>
      <c r="H1316" s="7">
        <f>(F1316-G1316)/Speed_Calc!G$2*9.806</f>
        <v>-178.11110123348814</v>
      </c>
      <c r="I1316" s="4">
        <f t="shared" si="85"/>
        <v>35.55555555555528</v>
      </c>
    </row>
    <row r="1317" spans="1:9" x14ac:dyDescent="0.2">
      <c r="A1317" s="11">
        <v>128.099999999999</v>
      </c>
      <c r="B1317" s="15">
        <v>3.133</v>
      </c>
      <c r="C1317" s="11">
        <f t="shared" si="82"/>
        <v>16600.471082846252</v>
      </c>
      <c r="D1317" s="11">
        <f t="shared" si="83"/>
        <v>-12943.44010772109</v>
      </c>
      <c r="E1317" s="11">
        <f t="shared" si="84"/>
        <v>-27281.255496367856</v>
      </c>
      <c r="F1317" s="11">
        <f>Speed_Calc!B$5*E1317</f>
        <v>-24553.129946731071</v>
      </c>
      <c r="G1317" s="15">
        <f>Speed_Calc!G$3+Speed_Calc!G$5*A1317^2</f>
        <v>85.80253609999896</v>
      </c>
      <c r="H1317" s="7">
        <f>(F1317-G1317)/Speed_Calc!G$2*9.806</f>
        <v>-178.96990513084552</v>
      </c>
      <c r="I1317" s="4">
        <f t="shared" si="85"/>
        <v>35.583333333333051</v>
      </c>
    </row>
    <row r="1318" spans="1:9" x14ac:dyDescent="0.2">
      <c r="A1318" s="11">
        <v>128.19999999999899</v>
      </c>
      <c r="B1318" s="15">
        <v>3.133</v>
      </c>
      <c r="C1318" s="11">
        <f t="shared" si="82"/>
        <v>16613.430076665805</v>
      </c>
      <c r="D1318" s="11">
        <f t="shared" si="83"/>
        <v>-13016.079316869145</v>
      </c>
      <c r="E1318" s="11">
        <f t="shared" si="84"/>
        <v>-27412.959559709019</v>
      </c>
      <c r="F1318" s="11">
        <f>Speed_Calc!B$5*E1318</f>
        <v>-24671.663603738118</v>
      </c>
      <c r="G1318" s="15">
        <f>Speed_Calc!G$3+Speed_Calc!G$5*A1318^2</f>
        <v>85.905312399998962</v>
      </c>
      <c r="H1318" s="7">
        <f>(F1318-G1318)/Speed_Calc!G$2*9.806</f>
        <v>-179.83164503085209</v>
      </c>
      <c r="I1318" s="4">
        <f t="shared" si="85"/>
        <v>35.61111111111083</v>
      </c>
    </row>
    <row r="1319" spans="1:9" x14ac:dyDescent="0.2">
      <c r="A1319" s="11">
        <v>128.29999999999899</v>
      </c>
      <c r="B1319" s="15">
        <v>3.133</v>
      </c>
      <c r="C1319" s="11">
        <f t="shared" si="82"/>
        <v>16626.389070485355</v>
      </c>
      <c r="D1319" s="11">
        <f t="shared" si="83"/>
        <v>-13089.029931921761</v>
      </c>
      <c r="E1319" s="11">
        <f t="shared" si="84"/>
        <v>-27545.113652524582</v>
      </c>
      <c r="F1319" s="11">
        <f>Speed_Calc!B$5*E1319</f>
        <v>-24790.602287272126</v>
      </c>
      <c r="G1319" s="15">
        <f>Speed_Calc!G$3+Speed_Calc!G$5*A1319^2</f>
        <v>86.00816889999895</v>
      </c>
      <c r="H1319" s="7">
        <f>(F1319-G1319)/Speed_Calc!G$2*9.806</f>
        <v>-180.69632750609173</v>
      </c>
      <c r="I1319" s="4">
        <f t="shared" si="85"/>
        <v>35.638888888888609</v>
      </c>
    </row>
    <row r="1320" spans="1:9" x14ac:dyDescent="0.2">
      <c r="A1320" s="11">
        <v>128.39999999999901</v>
      </c>
      <c r="B1320" s="15">
        <v>3.133</v>
      </c>
      <c r="C1320" s="11">
        <f t="shared" si="82"/>
        <v>16639.348064304912</v>
      </c>
      <c r="D1320" s="11">
        <f t="shared" si="83"/>
        <v>-13162.29293155951</v>
      </c>
      <c r="E1320" s="11">
        <f t="shared" si="84"/>
        <v>-27677.718781316937</v>
      </c>
      <c r="F1320" s="11">
        <f>Speed_Calc!B$5*E1320</f>
        <v>-24909.946903185242</v>
      </c>
      <c r="G1320" s="15">
        <f>Speed_Calc!G$3+Speed_Calc!G$5*A1320^2</f>
        <v>86.111105599998979</v>
      </c>
      <c r="H1320" s="7">
        <f>(F1320-G1320)/Speed_Calc!G$2*9.806</f>
        <v>-181.56395913640594</v>
      </c>
      <c r="I1320" s="4">
        <f t="shared" si="85"/>
        <v>35.666666666666394</v>
      </c>
    </row>
    <row r="1321" spans="1:9" x14ac:dyDescent="0.2">
      <c r="A1321" s="11">
        <v>128.49999999999901</v>
      </c>
      <c r="B1321" s="15">
        <v>3.133</v>
      </c>
      <c r="C1321" s="11">
        <f t="shared" si="82"/>
        <v>16652.307058124457</v>
      </c>
      <c r="D1321" s="11">
        <f t="shared" si="83"/>
        <v>-13235.869296482197</v>
      </c>
      <c r="E1321" s="11">
        <f t="shared" si="84"/>
        <v>-27810.775953698227</v>
      </c>
      <c r="F1321" s="11">
        <f>Speed_Calc!B$5*E1321</f>
        <v>-25029.698358328405</v>
      </c>
      <c r="G1321" s="15">
        <f>Speed_Calc!G$3+Speed_Calc!G$5*A1321^2</f>
        <v>86.214122499998979</v>
      </c>
      <c r="H1321" s="7">
        <f>(F1321-G1321)/Speed_Calc!G$2*9.806</f>
        <v>-182.43454650889132</v>
      </c>
      <c r="I1321" s="4">
        <f t="shared" si="85"/>
        <v>35.694444444444166</v>
      </c>
    </row>
    <row r="1322" spans="1:9" x14ac:dyDescent="0.2">
      <c r="A1322" s="11">
        <v>128.599999999999</v>
      </c>
      <c r="B1322" s="15">
        <v>3.133</v>
      </c>
      <c r="C1322" s="11">
        <f t="shared" si="82"/>
        <v>16665.266051944011</v>
      </c>
      <c r="D1322" s="11">
        <f t="shared" si="83"/>
        <v>-13309.760009411262</v>
      </c>
      <c r="E1322" s="11">
        <f t="shared" si="84"/>
        <v>-27944.286178390903</v>
      </c>
      <c r="F1322" s="11">
        <f>Speed_Calc!B$5*E1322</f>
        <v>-25149.857560551813</v>
      </c>
      <c r="G1322" s="15">
        <f>Speed_Calc!G$3+Speed_Calc!G$5*A1322^2</f>
        <v>86.317219599998964</v>
      </c>
      <c r="H1322" s="7">
        <f>(F1322-G1322)/Speed_Calc!G$2*9.806</f>
        <v>-183.30809621790269</v>
      </c>
      <c r="I1322" s="4">
        <f t="shared" si="85"/>
        <v>35.722222222221944</v>
      </c>
    </row>
    <row r="1323" spans="1:9" x14ac:dyDescent="0.2">
      <c r="A1323" s="11">
        <v>128.69999999999899</v>
      </c>
      <c r="B1323" s="15">
        <v>3.133</v>
      </c>
      <c r="C1323" s="11">
        <f t="shared" si="82"/>
        <v>16678.225045763567</v>
      </c>
      <c r="D1323" s="11">
        <f t="shared" si="83"/>
        <v>-13383.966055091596</v>
      </c>
      <c r="E1323" s="11">
        <f t="shared" si="84"/>
        <v>-28078.250465227335</v>
      </c>
      <c r="F1323" s="11">
        <f>Speed_Calc!B$5*E1323</f>
        <v>-25270.425418704603</v>
      </c>
      <c r="G1323" s="15">
        <f>Speed_Calc!G$3+Speed_Calc!G$5*A1323^2</f>
        <v>86.420396899998948</v>
      </c>
      <c r="H1323" s="7">
        <f>(F1323-G1323)/Speed_Calc!G$2*9.806</f>
        <v>-184.18461486505086</v>
      </c>
      <c r="I1323" s="4">
        <f t="shared" si="85"/>
        <v>35.749999999999723</v>
      </c>
    </row>
    <row r="1324" spans="1:9" x14ac:dyDescent="0.2">
      <c r="A1324" s="11">
        <v>128.79999999999899</v>
      </c>
      <c r="B1324" s="15">
        <v>3.133</v>
      </c>
      <c r="C1324" s="11">
        <f t="shared" si="82"/>
        <v>16691.184039583117</v>
      </c>
      <c r="D1324" s="11">
        <f t="shared" si="83"/>
        <v>-13458.488420293512</v>
      </c>
      <c r="E1324" s="11">
        <f t="shared" si="84"/>
        <v>-28212.66982514966</v>
      </c>
      <c r="F1324" s="11">
        <f>Speed_Calc!B$5*E1324</f>
        <v>-25391.402842634696</v>
      </c>
      <c r="G1324" s="15">
        <f>Speed_Calc!G$3+Speed_Calc!G$5*A1324^2</f>
        <v>86.523654399998961</v>
      </c>
      <c r="H1324" s="7">
        <f>(F1324-G1324)/Speed_Calc!G$2*9.806</f>
        <v>-185.06410905920163</v>
      </c>
      <c r="I1324" s="4">
        <f t="shared" si="85"/>
        <v>35.777777777777494</v>
      </c>
    </row>
    <row r="1325" spans="1:9" x14ac:dyDescent="0.2">
      <c r="A1325" s="11">
        <v>128.89999999999901</v>
      </c>
      <c r="B1325" s="15">
        <v>3.133</v>
      </c>
      <c r="C1325" s="11">
        <f t="shared" si="82"/>
        <v>16704.143033402674</v>
      </c>
      <c r="D1325" s="11">
        <f t="shared" si="83"/>
        <v>-13533.328093815164</v>
      </c>
      <c r="E1325" s="11">
        <f t="shared" si="84"/>
        <v>-28347.545270210412</v>
      </c>
      <c r="F1325" s="11">
        <f>Speed_Calc!B$5*E1325</f>
        <v>-25512.790743189373</v>
      </c>
      <c r="G1325" s="15">
        <f>Speed_Calc!G$3+Speed_Calc!G$5*A1325^2</f>
        <v>86.626992099998972</v>
      </c>
      <c r="H1325" s="7">
        <f>(F1325-G1325)/Speed_Calc!G$2*9.806</f>
        <v>-185.94658541647968</v>
      </c>
      <c r="I1325" s="4">
        <f t="shared" si="85"/>
        <v>35.80555555555528</v>
      </c>
    </row>
    <row r="1326" spans="1:9" x14ac:dyDescent="0.2">
      <c r="A1326" s="11">
        <v>128.99999999999901</v>
      </c>
      <c r="B1326" s="15">
        <v>3.133</v>
      </c>
      <c r="C1326" s="11">
        <f t="shared" si="82"/>
        <v>16717.102027222223</v>
      </c>
      <c r="D1326" s="11">
        <f t="shared" si="83"/>
        <v>-13608.486066484198</v>
      </c>
      <c r="E1326" s="11">
        <f t="shared" si="84"/>
        <v>-28482.877813571802</v>
      </c>
      <c r="F1326" s="11">
        <f>Speed_Calc!B$5*E1326</f>
        <v>-25634.590032214623</v>
      </c>
      <c r="G1326" s="15">
        <f>Speed_Calc!G$3+Speed_Calc!G$5*A1326^2</f>
        <v>86.730409999998955</v>
      </c>
      <c r="H1326" s="7">
        <f>(F1326-G1326)/Speed_Calc!G$2*9.806</f>
        <v>-186.83205056026412</v>
      </c>
      <c r="I1326" s="4">
        <f t="shared" si="85"/>
        <v>35.833333333333059</v>
      </c>
    </row>
    <row r="1327" spans="1:9" x14ac:dyDescent="0.2">
      <c r="A1327" s="11">
        <v>129.099999999999</v>
      </c>
      <c r="B1327" s="15">
        <v>3.133</v>
      </c>
      <c r="C1327" s="11">
        <f t="shared" si="82"/>
        <v>16730.061021041773</v>
      </c>
      <c r="D1327" s="11">
        <f t="shared" si="83"/>
        <v>-13683.963331160103</v>
      </c>
      <c r="E1327" s="11">
        <f t="shared" si="84"/>
        <v>-28618.66846950625</v>
      </c>
      <c r="F1327" s="11">
        <f>Speed_Calc!B$5*E1327</f>
        <v>-25756.801622555628</v>
      </c>
      <c r="G1327" s="15">
        <f>Speed_Calc!G$3+Speed_Calc!G$5*A1327^2</f>
        <v>86.833908099998965</v>
      </c>
      <c r="H1327" s="7">
        <f>(F1327-G1327)/Speed_Calc!G$2*9.806</f>
        <v>-187.72051112119186</v>
      </c>
      <c r="I1327" s="4">
        <f t="shared" si="85"/>
        <v>35.86111111111083</v>
      </c>
    </row>
    <row r="1328" spans="1:9" x14ac:dyDescent="0.2">
      <c r="A1328" s="11">
        <v>129.19999999999899</v>
      </c>
      <c r="B1328" s="15">
        <v>3.133</v>
      </c>
      <c r="C1328" s="11">
        <f t="shared" si="82"/>
        <v>16743.020014861326</v>
      </c>
      <c r="D1328" s="11">
        <f t="shared" si="83"/>
        <v>-13759.760882736111</v>
      </c>
      <c r="E1328" s="11">
        <f t="shared" si="84"/>
        <v>-28754.918253396121</v>
      </c>
      <c r="F1328" s="11">
        <f>Speed_Calc!B$5*E1328</f>
        <v>-25879.426428056511</v>
      </c>
      <c r="G1328" s="15">
        <f>Speed_Calc!G$3+Speed_Calc!G$5*A1328^2</f>
        <v>86.93748639999896</v>
      </c>
      <c r="H1328" s="7">
        <f>(F1328-G1328)/Speed_Calc!G$2*9.806</f>
        <v>-188.61197373715595</v>
      </c>
      <c r="I1328" s="4">
        <f t="shared" si="85"/>
        <v>35.888888888888609</v>
      </c>
    </row>
    <row r="1329" spans="1:9" x14ac:dyDescent="0.2">
      <c r="A1329" s="11">
        <v>129.29999999999899</v>
      </c>
      <c r="B1329" s="15">
        <v>3.133</v>
      </c>
      <c r="C1329" s="11">
        <f t="shared" si="82"/>
        <v>16755.979008680879</v>
      </c>
      <c r="D1329" s="11">
        <f t="shared" si="83"/>
        <v>-13835.879718141296</v>
      </c>
      <c r="E1329" s="11">
        <f t="shared" si="84"/>
        <v>-28891.628181733788</v>
      </c>
      <c r="F1329" s="11">
        <f>Speed_Calc!B$5*E1329</f>
        <v>-26002.465363560408</v>
      </c>
      <c r="G1329" s="15">
        <f>Speed_Calc!G$3+Speed_Calc!G$5*A1329^2</f>
        <v>87.041144899998955</v>
      </c>
      <c r="H1329" s="7">
        <f>(F1329-G1329)/Speed_Calc!G$2*9.806</f>
        <v>-189.50644505330573</v>
      </c>
      <c r="I1329" s="4">
        <f t="shared" si="85"/>
        <v>35.916666666666387</v>
      </c>
    </row>
    <row r="1330" spans="1:9" x14ac:dyDescent="0.2">
      <c r="A1330" s="11">
        <v>129.39999999999901</v>
      </c>
      <c r="B1330" s="15">
        <v>3.133</v>
      </c>
      <c r="C1330" s="11">
        <f t="shared" si="82"/>
        <v>16768.938002500428</v>
      </c>
      <c r="D1330" s="11">
        <f t="shared" si="83"/>
        <v>-13912.3208363426</v>
      </c>
      <c r="E1330" s="11">
        <f t="shared" si="84"/>
        <v>-29028.799272121571</v>
      </c>
      <c r="F1330" s="11">
        <f>Speed_Calc!B$5*E1330</f>
        <v>-26125.919344909413</v>
      </c>
      <c r="G1330" s="15">
        <f>Speed_Calc!G$3+Speed_Calc!G$5*A1330^2</f>
        <v>87.144883599998963</v>
      </c>
      <c r="H1330" s="7">
        <f>(F1330-G1330)/Speed_Calc!G$2*9.806</f>
        <v>-190.40393172204685</v>
      </c>
      <c r="I1330" s="4">
        <f t="shared" si="85"/>
        <v>35.944444444444166</v>
      </c>
    </row>
    <row r="1331" spans="1:9" x14ac:dyDescent="0.2">
      <c r="A1331" s="11">
        <v>129.49999999999901</v>
      </c>
      <c r="B1331" s="15">
        <v>3.133</v>
      </c>
      <c r="C1331" s="11">
        <f t="shared" si="82"/>
        <v>16781.896996319985</v>
      </c>
      <c r="D1331" s="11">
        <f t="shared" si="83"/>
        <v>-13989.08523834703</v>
      </c>
      <c r="E1331" s="11">
        <f t="shared" si="84"/>
        <v>-29166.432543272018</v>
      </c>
      <c r="F1331" s="11">
        <f>Speed_Calc!B$5*E1331</f>
        <v>-26249.789288944816</v>
      </c>
      <c r="G1331" s="15">
        <f>Speed_Calc!G$3+Speed_Calc!G$5*A1331^2</f>
        <v>87.248702499998956</v>
      </c>
      <c r="H1331" s="7">
        <f>(F1331-G1331)/Speed_Calc!G$2*9.806</f>
        <v>-191.30444040304283</v>
      </c>
      <c r="I1331" s="4">
        <f t="shared" si="85"/>
        <v>35.972222222221944</v>
      </c>
    </row>
    <row r="1332" spans="1:9" x14ac:dyDescent="0.2">
      <c r="A1332" s="11">
        <v>129.599999999999</v>
      </c>
      <c r="B1332" s="15">
        <v>3.133</v>
      </c>
      <c r="C1332" s="11">
        <f t="shared" si="82"/>
        <v>16794.855990139538</v>
      </c>
      <c r="D1332" s="11">
        <f t="shared" si="83"/>
        <v>-14066.173927203445</v>
      </c>
      <c r="E1332" s="11">
        <f t="shared" si="84"/>
        <v>-29304.529015007403</v>
      </c>
      <c r="F1332" s="11">
        <f>Speed_Calc!B$5*E1332</f>
        <v>-26374.076113506664</v>
      </c>
      <c r="G1332" s="15">
        <f>Speed_Calc!G$3+Speed_Calc!G$5*A1332^2</f>
        <v>87.352601599998962</v>
      </c>
      <c r="H1332" s="7">
        <f>(F1332-G1332)/Speed_Calc!G$2*9.806</f>
        <v>-192.2079777632118</v>
      </c>
      <c r="I1332" s="4">
        <f t="shared" si="85"/>
        <v>35.999999999999723</v>
      </c>
    </row>
    <row r="1333" spans="1:9" x14ac:dyDescent="0.2">
      <c r="A1333" s="11">
        <v>129.69999999999899</v>
      </c>
      <c r="B1333" s="15">
        <v>3.133</v>
      </c>
      <c r="C1333" s="11">
        <f t="shared" si="82"/>
        <v>16807.814983959088</v>
      </c>
      <c r="D1333" s="11">
        <f t="shared" si="83"/>
        <v>-14143.587908004851</v>
      </c>
      <c r="E1333" s="11">
        <f t="shared" si="84"/>
        <v>-29443.089708260133</v>
      </c>
      <c r="F1333" s="11">
        <f>Speed_Calc!B$5*E1333</f>
        <v>-26498.780737434121</v>
      </c>
      <c r="G1333" s="15">
        <f>Speed_Calc!G$3+Speed_Calc!G$5*A1333^2</f>
        <v>87.45658089999894</v>
      </c>
      <c r="H1333" s="7">
        <f>(F1333-G1333)/Speed_Calc!G$2*9.806</f>
        <v>-193.11455047672914</v>
      </c>
      <c r="I1333" s="4">
        <f t="shared" si="85"/>
        <v>36.027777777777494</v>
      </c>
    </row>
    <row r="1334" spans="1:9" x14ac:dyDescent="0.2">
      <c r="A1334" s="11">
        <v>129.79999999999899</v>
      </c>
      <c r="B1334" s="15">
        <v>3.133</v>
      </c>
      <c r="C1334" s="11">
        <f t="shared" si="82"/>
        <v>16820.773977778637</v>
      </c>
      <c r="D1334" s="11">
        <f t="shared" si="83"/>
        <v>-14221.328187890349</v>
      </c>
      <c r="E1334" s="11">
        <f t="shared" si="84"/>
        <v>-29582.115645072605</v>
      </c>
      <c r="F1334" s="11">
        <f>Speed_Calc!B$5*E1334</f>
        <v>-26623.904080565346</v>
      </c>
      <c r="G1334" s="15">
        <f>Speed_Calc!G$3+Speed_Calc!G$5*A1334^2</f>
        <v>87.560640399998945</v>
      </c>
      <c r="H1334" s="7">
        <f>(F1334-G1334)/Speed_Calc!G$2*9.806</f>
        <v>-194.02416522502676</v>
      </c>
      <c r="I1334" s="4">
        <f t="shared" si="85"/>
        <v>36.055555555555273</v>
      </c>
    </row>
    <row r="1335" spans="1:9" x14ac:dyDescent="0.2">
      <c r="A1335" s="11">
        <v>129.89999999999901</v>
      </c>
      <c r="B1335" s="15">
        <v>3.133</v>
      </c>
      <c r="C1335" s="11">
        <f t="shared" si="82"/>
        <v>16833.73297159819</v>
      </c>
      <c r="D1335" s="11">
        <f t="shared" si="83"/>
        <v>-14299.39577604728</v>
      </c>
      <c r="E1335" s="11">
        <f t="shared" si="84"/>
        <v>-29721.607848597348</v>
      </c>
      <c r="F1335" s="11">
        <f>Speed_Calc!B$5*E1335</f>
        <v>-26749.447063737614</v>
      </c>
      <c r="G1335" s="15">
        <f>Speed_Calc!G$3+Speed_Calc!G$5*A1335^2</f>
        <v>87.664780099998964</v>
      </c>
      <c r="H1335" s="7">
        <f>(F1335-G1335)/Speed_Calc!G$2*9.806</f>
        <v>-194.93682869679381</v>
      </c>
      <c r="I1335" s="4">
        <f t="shared" si="85"/>
        <v>36.083333333333059</v>
      </c>
    </row>
    <row r="1336" spans="1:9" x14ac:dyDescent="0.2">
      <c r="A1336" s="11">
        <v>129.99999999999901</v>
      </c>
      <c r="B1336" s="15">
        <v>3.133</v>
      </c>
      <c r="C1336" s="11">
        <f t="shared" si="82"/>
        <v>16846.691965417744</v>
      </c>
      <c r="D1336" s="11">
        <f t="shared" si="83"/>
        <v>-14377.791683713145</v>
      </c>
      <c r="E1336" s="11">
        <f t="shared" si="84"/>
        <v>-29861.567343096765</v>
      </c>
      <c r="F1336" s="11">
        <f>Speed_Calc!B$5*E1336</f>
        <v>-26875.41060878709</v>
      </c>
      <c r="G1336" s="15">
        <f>Speed_Calc!G$3+Speed_Calc!G$5*A1336^2</f>
        <v>87.768999999998954</v>
      </c>
      <c r="H1336" s="7">
        <f>(F1336-G1336)/Speed_Calc!G$2*9.806</f>
        <v>-195.85254758797493</v>
      </c>
      <c r="I1336" s="4">
        <f t="shared" si="85"/>
        <v>36.111111111110837</v>
      </c>
    </row>
    <row r="1337" spans="1:9" x14ac:dyDescent="0.2">
      <c r="A1337" s="11">
        <v>130.099999999999</v>
      </c>
      <c r="B1337" s="15">
        <v>3.133</v>
      </c>
      <c r="C1337" s="11">
        <f t="shared" si="82"/>
        <v>16859.650959237293</v>
      </c>
      <c r="D1337" s="11">
        <f t="shared" si="83"/>
        <v>-14456.516924177726</v>
      </c>
      <c r="E1337" s="11">
        <f t="shared" si="84"/>
        <v>-30001.995153943251</v>
      </c>
      <c r="F1337" s="11">
        <f>Speed_Calc!B$5*E1337</f>
        <v>-27001.795638548927</v>
      </c>
      <c r="G1337" s="15">
        <f>Speed_Calc!G$3+Speed_Calc!G$5*A1337^2</f>
        <v>87.873300099998957</v>
      </c>
      <c r="H1337" s="7">
        <f>(F1337-G1337)/Speed_Calc!G$2*9.806</f>
        <v>-196.77132860177139</v>
      </c>
      <c r="I1337" s="4">
        <f t="shared" si="85"/>
        <v>36.138888888888609</v>
      </c>
    </row>
    <row r="1338" spans="1:9" x14ac:dyDescent="0.2">
      <c r="A1338" s="11">
        <v>130.19999999999899</v>
      </c>
      <c r="B1338" s="15">
        <v>3.133</v>
      </c>
      <c r="C1338" s="11">
        <f t="shared" si="82"/>
        <v>16872.609953056846</v>
      </c>
      <c r="D1338" s="11">
        <f t="shared" si="83"/>
        <v>-14535.572512785198</v>
      </c>
      <c r="E1338" s="11">
        <f t="shared" si="84"/>
        <v>-30142.892307619313</v>
      </c>
      <c r="F1338" s="11">
        <f>Speed_Calc!B$5*E1338</f>
        <v>-27128.603076857384</v>
      </c>
      <c r="G1338" s="15">
        <f>Speed_Calc!G$3+Speed_Calc!G$5*A1338^2</f>
        <v>87.977680399998945</v>
      </c>
      <c r="H1338" s="7">
        <f>(F1338-G1338)/Speed_Calc!G$2*9.806</f>
        <v>-197.69317844864136</v>
      </c>
      <c r="I1338" s="4">
        <f t="shared" si="85"/>
        <v>36.166666666666387</v>
      </c>
    </row>
    <row r="1339" spans="1:9" x14ac:dyDescent="0.2">
      <c r="A1339" s="11">
        <v>130.29999999999899</v>
      </c>
      <c r="B1339" s="15">
        <v>3.133</v>
      </c>
      <c r="C1339" s="11">
        <f t="shared" si="82"/>
        <v>16885.568946876403</v>
      </c>
      <c r="D1339" s="11">
        <f t="shared" si="83"/>
        <v>-14614.959466936109</v>
      </c>
      <c r="E1339" s="11">
        <f t="shared" si="84"/>
        <v>-30284.259831717412</v>
      </c>
      <c r="F1339" s="11">
        <f>Speed_Calc!B$5*E1339</f>
        <v>-27255.833848545673</v>
      </c>
      <c r="G1339" s="15">
        <f>Speed_Calc!G$3+Speed_Calc!G$5*A1339^2</f>
        <v>88.082140899998933</v>
      </c>
      <c r="H1339" s="7">
        <f>(F1339-G1339)/Speed_Calc!G$2*9.806</f>
        <v>-198.61810384629942</v>
      </c>
      <c r="I1339" s="4">
        <f t="shared" si="85"/>
        <v>36.194444444444166</v>
      </c>
    </row>
    <row r="1340" spans="1:9" x14ac:dyDescent="0.2">
      <c r="A1340" s="11">
        <v>130.39999999999901</v>
      </c>
      <c r="B1340" s="15">
        <v>3.133</v>
      </c>
      <c r="C1340" s="11">
        <f t="shared" si="82"/>
        <v>16898.527940695956</v>
      </c>
      <c r="D1340" s="11">
        <f t="shared" si="83"/>
        <v>-14694.67880608942</v>
      </c>
      <c r="E1340" s="11">
        <f t="shared" si="84"/>
        <v>-30426.09875493998</v>
      </c>
      <c r="F1340" s="11">
        <f>Speed_Calc!B$5*E1340</f>
        <v>-27383.488879445984</v>
      </c>
      <c r="G1340" s="15">
        <f>Speed_Calc!G$3+Speed_Calc!G$5*A1340^2</f>
        <v>88.186681599998963</v>
      </c>
      <c r="H1340" s="7">
        <f>(F1340-G1340)/Speed_Calc!G$2*9.806</f>
        <v>-199.54611151971622</v>
      </c>
      <c r="I1340" s="4">
        <f t="shared" si="85"/>
        <v>36.222222222221944</v>
      </c>
    </row>
    <row r="1341" spans="1:9" x14ac:dyDescent="0.2">
      <c r="A1341" s="11">
        <v>130.49999999999901</v>
      </c>
      <c r="B1341" s="15">
        <v>3.133</v>
      </c>
      <c r="C1341" s="11">
        <f t="shared" si="82"/>
        <v>16911.486934515506</v>
      </c>
      <c r="D1341" s="11">
        <f t="shared" si="83"/>
        <v>-14774.73155176464</v>
      </c>
      <c r="E1341" s="11">
        <f t="shared" si="84"/>
        <v>-30568.410107099498</v>
      </c>
      <c r="F1341" s="11">
        <f>Speed_Calc!B$5*E1341</f>
        <v>-27511.56909638955</v>
      </c>
      <c r="G1341" s="15">
        <f>Speed_Calc!G$3+Speed_Calc!G$5*A1341^2</f>
        <v>88.291302499998963</v>
      </c>
      <c r="H1341" s="7">
        <f>(F1341-G1341)/Speed_Calc!G$2*9.806</f>
        <v>-200.4772082011192</v>
      </c>
      <c r="I1341" s="4">
        <f t="shared" si="85"/>
        <v>36.249999999999723</v>
      </c>
    </row>
    <row r="1342" spans="1:9" x14ac:dyDescent="0.2">
      <c r="A1342" s="11">
        <v>130.599999999999</v>
      </c>
      <c r="B1342" s="15">
        <v>3.133</v>
      </c>
      <c r="C1342" s="11">
        <f t="shared" si="82"/>
        <v>16924.445928335059</v>
      </c>
      <c r="D1342" s="11">
        <f t="shared" si="83"/>
        <v>-14855.118727543841</v>
      </c>
      <c r="E1342" s="11">
        <f t="shared" si="84"/>
        <v>-30711.194919118436</v>
      </c>
      <c r="F1342" s="11">
        <f>Speed_Calc!B$5*E1342</f>
        <v>-27640.075427206593</v>
      </c>
      <c r="G1342" s="15">
        <f>Speed_Calc!G$3+Speed_Calc!G$5*A1342^2</f>
        <v>88.396003599998949</v>
      </c>
      <c r="H1342" s="7">
        <f>(F1342-G1342)/Speed_Calc!G$2*9.806</f>
        <v>-201.41140062999216</v>
      </c>
      <c r="I1342" s="4">
        <f t="shared" si="85"/>
        <v>36.277777777777501</v>
      </c>
    </row>
    <row r="1343" spans="1:9" x14ac:dyDescent="0.2">
      <c r="A1343" s="11">
        <v>130.69999999999899</v>
      </c>
      <c r="B1343" s="15">
        <v>3.133</v>
      </c>
      <c r="C1343" s="11">
        <f t="shared" si="82"/>
        <v>16937.404922154608</v>
      </c>
      <c r="D1343" s="11">
        <f t="shared" si="83"/>
        <v>-14935.8413590737</v>
      </c>
      <c r="E1343" s="11">
        <f t="shared" si="84"/>
        <v>-30854.454223029301</v>
      </c>
      <c r="F1343" s="11">
        <f>Speed_Calc!B$5*E1343</f>
        <v>-27769.008800726373</v>
      </c>
      <c r="G1343" s="15">
        <f>Speed_Calc!G$3+Speed_Calc!G$5*A1343^2</f>
        <v>88.500784899998933</v>
      </c>
      <c r="H1343" s="7">
        <f>(F1343-G1343)/Speed_Calc!G$2*9.806</f>
        <v>-202.34869555307569</v>
      </c>
      <c r="I1343" s="4">
        <f t="shared" si="85"/>
        <v>36.305555555555273</v>
      </c>
    </row>
    <row r="1344" spans="1:9" x14ac:dyDescent="0.2">
      <c r="A1344" s="11">
        <v>130.79999999999899</v>
      </c>
      <c r="B1344" s="15">
        <v>3.133</v>
      </c>
      <c r="C1344" s="11">
        <f t="shared" si="82"/>
        <v>16950.363915974162</v>
      </c>
      <c r="D1344" s="11">
        <f t="shared" si="83"/>
        <v>-15016.90047406761</v>
      </c>
      <c r="E1344" s="11">
        <f t="shared" si="84"/>
        <v>-30998.189051974667</v>
      </c>
      <c r="F1344" s="11">
        <f>Speed_Calc!B$5*E1344</f>
        <v>-27898.370146777201</v>
      </c>
      <c r="G1344" s="15">
        <f>Speed_Calc!G$3+Speed_Calc!G$5*A1344^2</f>
        <v>88.605646399998932</v>
      </c>
      <c r="H1344" s="7">
        <f>(F1344-G1344)/Speed_Calc!G$2*9.806</f>
        <v>-203.28909972436713</v>
      </c>
      <c r="I1344" s="4">
        <f t="shared" si="85"/>
        <v>36.333333333333051</v>
      </c>
    </row>
    <row r="1345" spans="1:9" x14ac:dyDescent="0.2">
      <c r="A1345" s="11">
        <v>130.89999999999901</v>
      </c>
      <c r="B1345" s="15">
        <v>3.133</v>
      </c>
      <c r="C1345" s="11">
        <f t="shared" si="82"/>
        <v>16963.322909793715</v>
      </c>
      <c r="D1345" s="11">
        <f t="shared" si="83"/>
        <v>-15098.29710230765</v>
      </c>
      <c r="E1345" s="11">
        <f t="shared" si="84"/>
        <v>-31142.400440207006</v>
      </c>
      <c r="F1345" s="11">
        <f>Speed_Calc!B$5*E1345</f>
        <v>-28028.160396186307</v>
      </c>
      <c r="G1345" s="15">
        <f>Speed_Calc!G$3+Speed_Calc!G$5*A1345^2</f>
        <v>88.710588099998944</v>
      </c>
      <c r="H1345" s="7">
        <f>(F1345-G1345)/Speed_Calc!G$2*9.806</f>
        <v>-204.23261990511963</v>
      </c>
      <c r="I1345" s="4">
        <f t="shared" si="85"/>
        <v>36.361111111110837</v>
      </c>
    </row>
    <row r="1346" spans="1:9" x14ac:dyDescent="0.2">
      <c r="A1346" s="11">
        <v>130.99999999999901</v>
      </c>
      <c r="B1346" s="15">
        <v>3.133</v>
      </c>
      <c r="C1346" s="11">
        <f t="shared" si="82"/>
        <v>16976.281903613261</v>
      </c>
      <c r="D1346" s="11">
        <f t="shared" si="83"/>
        <v>-15180.032275646645</v>
      </c>
      <c r="E1346" s="11">
        <f t="shared" si="84"/>
        <v>-31287.089423088757</v>
      </c>
      <c r="F1346" s="11">
        <f>Speed_Calc!B$5*E1346</f>
        <v>-28158.380480779881</v>
      </c>
      <c r="G1346" s="15">
        <f>Speed_Calc!G$3+Speed_Calc!G$5*A1346^2</f>
        <v>88.815609999998941</v>
      </c>
      <c r="H1346" s="7">
        <f>(F1346-G1346)/Speed_Calc!G$2*9.806</f>
        <v>-205.17926286384258</v>
      </c>
      <c r="I1346" s="4">
        <f t="shared" si="85"/>
        <v>36.388888888888609</v>
      </c>
    </row>
    <row r="1347" spans="1:9" x14ac:dyDescent="0.2">
      <c r="A1347" s="11">
        <v>131.099999999999</v>
      </c>
      <c r="B1347" s="15">
        <v>3.133</v>
      </c>
      <c r="C1347" s="11">
        <f t="shared" si="82"/>
        <v>16989.240897432814</v>
      </c>
      <c r="D1347" s="11">
        <f t="shared" si="83"/>
        <v>-15262.107028010381</v>
      </c>
      <c r="E1347" s="11">
        <f t="shared" si="84"/>
        <v>-31432.257037092575</v>
      </c>
      <c r="F1347" s="11">
        <f>Speed_Calc!B$5*E1347</f>
        <v>-28289.031333383318</v>
      </c>
      <c r="G1347" s="15">
        <f>Speed_Calc!G$3+Speed_Calc!G$5*A1347^2</f>
        <v>88.920712099998937</v>
      </c>
      <c r="H1347" s="7">
        <f>(F1347-G1347)/Speed_Calc!G$2*9.806</f>
        <v>-206.12903537630325</v>
      </c>
      <c r="I1347" s="4">
        <f t="shared" si="85"/>
        <v>36.416666666666387</v>
      </c>
    </row>
    <row r="1348" spans="1:9" x14ac:dyDescent="0.2">
      <c r="A1348" s="11">
        <v>131.19999999999899</v>
      </c>
      <c r="B1348" s="15">
        <v>3.133</v>
      </c>
      <c r="C1348" s="11">
        <f t="shared" si="82"/>
        <v>17002.199891252367</v>
      </c>
      <c r="D1348" s="11">
        <f t="shared" si="83"/>
        <v>-15344.522395399461</v>
      </c>
      <c r="E1348" s="11">
        <f t="shared" si="84"/>
        <v>-31577.904319800971</v>
      </c>
      <c r="F1348" s="11">
        <f>Speed_Calc!B$5*E1348</f>
        <v>-28420.113887820873</v>
      </c>
      <c r="G1348" s="15">
        <f>Speed_Calc!G$3+Speed_Calc!G$5*A1348^2</f>
        <v>89.025894399998933</v>
      </c>
      <c r="H1348" s="7">
        <f>(F1348-G1348)/Speed_Calc!G$2*9.806</f>
        <v>-207.08194422552432</v>
      </c>
      <c r="I1348" s="4">
        <f t="shared" si="85"/>
        <v>36.444444444444166</v>
      </c>
    </row>
    <row r="1349" spans="1:9" x14ac:dyDescent="0.2">
      <c r="A1349" s="11">
        <v>131.29999999999899</v>
      </c>
      <c r="B1349" s="15">
        <v>3.133</v>
      </c>
      <c r="C1349" s="11">
        <f t="shared" si="82"/>
        <v>17015.15888507192</v>
      </c>
      <c r="D1349" s="11">
        <f t="shared" si="83"/>
        <v>-15427.279415891413</v>
      </c>
      <c r="E1349" s="11">
        <f t="shared" si="84"/>
        <v>-31724.032309906426</v>
      </c>
      <c r="F1349" s="11">
        <f>Speed_Calc!B$5*E1349</f>
        <v>-28551.629078915783</v>
      </c>
      <c r="G1349" s="15">
        <f>Speed_Calc!G$3+Speed_Calc!G$5*A1349^2</f>
        <v>89.131156899998928</v>
      </c>
      <c r="H1349" s="7">
        <f>(F1349-G1349)/Speed_Calc!G$2*9.806</f>
        <v>-208.03799620178484</v>
      </c>
      <c r="I1349" s="4">
        <f t="shared" si="85"/>
        <v>36.472222222221937</v>
      </c>
    </row>
    <row r="1350" spans="1:9" x14ac:dyDescent="0.2">
      <c r="A1350" s="11">
        <v>131.39999999999901</v>
      </c>
      <c r="B1350" s="15">
        <v>3.133</v>
      </c>
      <c r="C1350" s="11">
        <f t="shared" si="82"/>
        <v>17028.117878891473</v>
      </c>
      <c r="D1350" s="11">
        <f t="shared" si="83"/>
        <v>-15510.379129642855</v>
      </c>
      <c r="E1350" s="11">
        <f t="shared" si="84"/>
        <v>-31870.642047211601</v>
      </c>
      <c r="F1350" s="11">
        <f>Speed_Calc!B$5*E1350</f>
        <v>-28683.577842490442</v>
      </c>
      <c r="G1350" s="15">
        <f>Speed_Calc!G$3+Speed_Calc!G$5*A1350^2</f>
        <v>89.23649959999895</v>
      </c>
      <c r="H1350" s="7">
        <f>(F1350-G1350)/Speed_Calc!G$2*9.806</f>
        <v>-208.99719810262135</v>
      </c>
      <c r="I1350" s="4">
        <f t="shared" si="85"/>
        <v>36.499999999999723</v>
      </c>
    </row>
    <row r="1351" spans="1:9" x14ac:dyDescent="0.2">
      <c r="A1351" s="11">
        <v>131.49999999999901</v>
      </c>
      <c r="B1351" s="15">
        <v>3.133</v>
      </c>
      <c r="C1351" s="11">
        <f t="shared" si="82"/>
        <v>17041.076872711026</v>
      </c>
      <c r="D1351" s="11">
        <f t="shared" si="83"/>
        <v>-15593.822578891413</v>
      </c>
      <c r="E1351" s="11">
        <f t="shared" si="84"/>
        <v>-32017.734572629</v>
      </c>
      <c r="F1351" s="11">
        <f>Speed_Calc!B$5*E1351</f>
        <v>-28815.961115366103</v>
      </c>
      <c r="G1351" s="15">
        <f>Speed_Calc!G$3+Speed_Calc!G$5*A1351^2</f>
        <v>89.341922499998944</v>
      </c>
      <c r="H1351" s="7">
        <f>(F1351-G1351)/Speed_Calc!G$2*9.806</f>
        <v>-209.95955673282589</v>
      </c>
      <c r="I1351" s="4">
        <f t="shared" si="85"/>
        <v>36.527777777777501</v>
      </c>
    </row>
    <row r="1352" spans="1:9" x14ac:dyDescent="0.2">
      <c r="A1352" s="11">
        <v>131.599999999999</v>
      </c>
      <c r="B1352" s="15">
        <v>3.133</v>
      </c>
      <c r="C1352" s="11">
        <f t="shared" si="82"/>
        <v>17054.035866530583</v>
      </c>
      <c r="D1352" s="11">
        <f t="shared" si="83"/>
        <v>-15677.610807957841</v>
      </c>
      <c r="E1352" s="11">
        <f t="shared" si="84"/>
        <v>-32165.310928181218</v>
      </c>
      <c r="F1352" s="11">
        <f>Speed_Calc!B$5*E1352</f>
        <v>-28948.779835363097</v>
      </c>
      <c r="G1352" s="15">
        <f>Speed_Calc!G$3+Speed_Calc!G$5*A1352^2</f>
        <v>89.447425599998937</v>
      </c>
      <c r="H1352" s="7">
        <f>(F1352-G1352)/Speed_Calc!G$2*9.806</f>
        <v>-210.92507890444747</v>
      </c>
      <c r="I1352" s="4">
        <f t="shared" si="85"/>
        <v>36.55555555555528</v>
      </c>
    </row>
    <row r="1353" spans="1:9" x14ac:dyDescent="0.2">
      <c r="A1353" s="11">
        <v>131.69999999999899</v>
      </c>
      <c r="B1353" s="15">
        <v>3.133</v>
      </c>
      <c r="C1353" s="11">
        <f t="shared" si="82"/>
        <v>17066.994860350133</v>
      </c>
      <c r="D1353" s="11">
        <f t="shared" si="83"/>
        <v>-15761.74486324801</v>
      </c>
      <c r="E1353" s="11">
        <f t="shared" si="84"/>
        <v>-32313.372157000718</v>
      </c>
      <c r="F1353" s="11">
        <f>Speed_Calc!B$5*E1353</f>
        <v>-29082.034941300648</v>
      </c>
      <c r="G1353" s="15">
        <f>Speed_Calc!G$3+Speed_Calc!G$5*A1353^2</f>
        <v>89.553008899998929</v>
      </c>
      <c r="H1353" s="7">
        <f>(F1353-G1353)/Speed_Calc!G$2*9.806</f>
        <v>-211.89377143679073</v>
      </c>
      <c r="I1353" s="4">
        <f t="shared" si="85"/>
        <v>36.583333333333051</v>
      </c>
    </row>
    <row r="1354" spans="1:9" x14ac:dyDescent="0.2">
      <c r="A1354" s="11">
        <v>131.79999999999899</v>
      </c>
      <c r="B1354" s="15">
        <v>3.133</v>
      </c>
      <c r="C1354" s="11">
        <f t="shared" si="82"/>
        <v>17079.953854169682</v>
      </c>
      <c r="D1354" s="11">
        <f t="shared" si="83"/>
        <v>-15846.225793255164</v>
      </c>
      <c r="E1354" s="11">
        <f t="shared" si="84"/>
        <v>-32461.919303330254</v>
      </c>
      <c r="F1354" s="11">
        <f>Speed_Calc!B$5*E1354</f>
        <v>-29215.727372997229</v>
      </c>
      <c r="G1354" s="15">
        <f>Speed_Calc!G$3+Speed_Calc!G$5*A1354^2</f>
        <v>89.65867239999892</v>
      </c>
      <c r="H1354" s="7">
        <f>(F1354-G1354)/Speed_Calc!G$2*9.806</f>
        <v>-212.86564115641863</v>
      </c>
      <c r="I1354" s="4">
        <f t="shared" si="85"/>
        <v>36.61111111111083</v>
      </c>
    </row>
    <row r="1355" spans="1:9" x14ac:dyDescent="0.2">
      <c r="A1355" s="11">
        <v>131.89999999999901</v>
      </c>
      <c r="B1355" s="15">
        <v>3.133</v>
      </c>
      <c r="C1355" s="11">
        <f t="shared" si="82"/>
        <v>17092.912847989242</v>
      </c>
      <c r="D1355" s="11">
        <f t="shared" si="83"/>
        <v>-15931.054648561785</v>
      </c>
      <c r="E1355" s="11">
        <f t="shared" si="84"/>
        <v>-32610.953412522467</v>
      </c>
      <c r="F1355" s="11">
        <f>Speed_Calc!B$5*E1355</f>
        <v>-29349.858071270221</v>
      </c>
      <c r="G1355" s="15">
        <f>Speed_Calc!G$3+Speed_Calc!G$5*A1355^2</f>
        <v>89.76441609999894</v>
      </c>
      <c r="H1355" s="7">
        <f>(F1355-G1355)/Speed_Calc!G$2*9.806</f>
        <v>-213.84069489714992</v>
      </c>
      <c r="I1355" s="4">
        <f t="shared" si="85"/>
        <v>36.638888888888616</v>
      </c>
    </row>
    <row r="1356" spans="1:9" x14ac:dyDescent="0.2">
      <c r="A1356" s="11">
        <v>131.99999999999901</v>
      </c>
      <c r="B1356" s="15">
        <v>3.133</v>
      </c>
      <c r="C1356" s="11">
        <f t="shared" si="82"/>
        <v>17105.871841808788</v>
      </c>
      <c r="D1356" s="11">
        <f t="shared" si="83"/>
        <v>-16016.232481841493</v>
      </c>
      <c r="E1356" s="11">
        <f t="shared" si="84"/>
        <v>-32760.475531039665</v>
      </c>
      <c r="F1356" s="11">
        <f>Speed_Calc!B$5*E1356</f>
        <v>-29484.427977935698</v>
      </c>
      <c r="G1356" s="15">
        <f>Speed_Calc!G$3+Speed_Calc!G$5*A1356^2</f>
        <v>89.870239999998944</v>
      </c>
      <c r="H1356" s="7">
        <f>(F1356-G1356)/Speed_Calc!G$2*9.806</f>
        <v>-214.81893950005738</v>
      </c>
      <c r="I1356" s="4">
        <f t="shared" si="85"/>
        <v>36.666666666666387</v>
      </c>
    </row>
    <row r="1357" spans="1:9" x14ac:dyDescent="0.2">
      <c r="A1357" s="11">
        <v>132.099999999998</v>
      </c>
      <c r="B1357" s="15">
        <v>3.133</v>
      </c>
      <c r="C1357" s="11">
        <f t="shared" si="82"/>
        <v>17118.83083562821</v>
      </c>
      <c r="D1357" s="11">
        <f t="shared" si="83"/>
        <v>-16101.760347860771</v>
      </c>
      <c r="E1357" s="11">
        <f t="shared" si="84"/>
        <v>-32910.486706453252</v>
      </c>
      <c r="F1357" s="11">
        <f>Speed_Calc!B$5*E1357</f>
        <v>-29619.438035807929</v>
      </c>
      <c r="G1357" s="15">
        <f>Speed_Calc!G$3+Speed_Calc!G$5*A1357^2</f>
        <v>89.976144099997882</v>
      </c>
      <c r="H1357" s="7">
        <f>(F1357-G1357)/Speed_Calc!G$2*9.806</f>
        <v>-215.80038181346453</v>
      </c>
      <c r="I1357" s="4">
        <f t="shared" si="85"/>
        <v>36.694444444443889</v>
      </c>
    </row>
    <row r="1358" spans="1:9" x14ac:dyDescent="0.2">
      <c r="A1358" s="11">
        <v>132.19999999999899</v>
      </c>
      <c r="B1358" s="15">
        <v>3.133</v>
      </c>
      <c r="C1358" s="11">
        <f t="shared" si="82"/>
        <v>17131.789829447891</v>
      </c>
      <c r="D1358" s="11">
        <f t="shared" si="83"/>
        <v>-16187.639303484784</v>
      </c>
      <c r="E1358" s="11">
        <f t="shared" si="84"/>
        <v>-33060.987987450266</v>
      </c>
      <c r="F1358" s="11">
        <f>Speed_Calc!B$5*E1358</f>
        <v>-29754.889188705241</v>
      </c>
      <c r="G1358" s="15">
        <f>Speed_Calc!G$3+Speed_Calc!G$5*A1358^2</f>
        <v>90.082128399998936</v>
      </c>
      <c r="H1358" s="7">
        <f>(F1358-G1358)/Speed_Calc!G$2*9.806</f>
        <v>-216.78502869298811</v>
      </c>
      <c r="I1358" s="4">
        <f t="shared" si="85"/>
        <v>36.722222222221944</v>
      </c>
    </row>
    <row r="1359" spans="1:9" x14ac:dyDescent="0.2">
      <c r="A1359" s="11">
        <v>132.29999999999899</v>
      </c>
      <c r="B1359" s="15">
        <v>3.133</v>
      </c>
      <c r="C1359" s="11">
        <f t="shared" ref="C1359:C1422" si="86">A1359/3.6/B$23/2/PI()*B$32*B$31*B1359*60</f>
        <v>17144.74882326744</v>
      </c>
      <c r="D1359" s="11">
        <f t="shared" ref="D1359:D1422" si="87">-4.687*10^(-17)*C1359^5+9.129*10^(-13)*C1359^4-6.175*10^(-9)*C1359^3+1.799*10^(-5)*C1359^2+6.502*10^(-3)*C1359</f>
        <v>-16273.870407671091</v>
      </c>
      <c r="E1359" s="11">
        <f t="shared" ref="E1359:E1422" si="88">D1359*75*B1359*B$31*B$32/B$23/C1359/2/PI()*60</f>
        <v>-33211.980423818815</v>
      </c>
      <c r="F1359" s="11">
        <f>Speed_Calc!B$5*E1359</f>
        <v>-29890.782381436933</v>
      </c>
      <c r="G1359" s="15">
        <f>Speed_Calc!G$3+Speed_Calc!G$5*A1359^2</f>
        <v>90.188192899998924</v>
      </c>
      <c r="H1359" s="7">
        <f>(F1359-G1359)/Speed_Calc!G$2*9.806</f>
        <v>-217.77288700144291</v>
      </c>
      <c r="I1359" s="4">
        <f t="shared" ref="I1359:I1422" si="89">A1359/3.6</f>
        <v>36.749999999999716</v>
      </c>
    </row>
    <row r="1360" spans="1:9" x14ac:dyDescent="0.2">
      <c r="A1360" s="11">
        <v>132.39999999999799</v>
      </c>
      <c r="B1360" s="15">
        <v>3.133</v>
      </c>
      <c r="C1360" s="11">
        <f t="shared" si="86"/>
        <v>17157.707817086863</v>
      </c>
      <c r="D1360" s="11">
        <f t="shared" si="87"/>
        <v>-16360.454721479424</v>
      </c>
      <c r="E1360" s="11">
        <f t="shared" si="88"/>
        <v>-33363.465066461576</v>
      </c>
      <c r="F1360" s="11">
        <f>Speed_Calc!B$5*E1360</f>
        <v>-30027.118559815419</v>
      </c>
      <c r="G1360" s="15">
        <f>Speed_Calc!G$3+Speed_Calc!G$5*A1360^2</f>
        <v>90.29433759999786</v>
      </c>
      <c r="H1360" s="7">
        <f>(F1360-G1360)/Speed_Calc!G$2*9.806</f>
        <v>-218.76396360893</v>
      </c>
      <c r="I1360" s="4">
        <f t="shared" si="89"/>
        <v>36.777777777777217</v>
      </c>
    </row>
    <row r="1361" spans="1:9" x14ac:dyDescent="0.2">
      <c r="A1361" s="11">
        <v>132.49999999999801</v>
      </c>
      <c r="B1361" s="15">
        <v>3.133</v>
      </c>
      <c r="C1361" s="11">
        <f t="shared" si="86"/>
        <v>17170.666810906423</v>
      </c>
      <c r="D1361" s="11">
        <f t="shared" si="87"/>
        <v>-16447.393308072878</v>
      </c>
      <c r="E1361" s="11">
        <f t="shared" si="88"/>
        <v>-33515.442967394287</v>
      </c>
      <c r="F1361" s="11">
        <f>Speed_Calc!B$5*E1361</f>
        <v>-30163.89867065486</v>
      </c>
      <c r="G1361" s="15">
        <f>Speed_Calc!G$3+Speed_Calc!G$5*A1361^2</f>
        <v>90.400562499997875</v>
      </c>
      <c r="H1361" s="7">
        <f>(F1361-G1361)/Speed_Calc!G$2*9.806</f>
        <v>-219.75826539282704</v>
      </c>
      <c r="I1361" s="4">
        <f t="shared" si="89"/>
        <v>36.805555555555003</v>
      </c>
    </row>
    <row r="1362" spans="1:9" x14ac:dyDescent="0.2">
      <c r="A1362" s="11">
        <v>132.599999999998</v>
      </c>
      <c r="B1362" s="15">
        <v>3.133</v>
      </c>
      <c r="C1362" s="11">
        <f t="shared" si="86"/>
        <v>17183.625804725976</v>
      </c>
      <c r="D1362" s="11">
        <f t="shared" si="87"/>
        <v>-16534.687232715522</v>
      </c>
      <c r="E1362" s="11">
        <f t="shared" si="88"/>
        <v>-33667.915179737989</v>
      </c>
      <c r="F1362" s="11">
        <f>Speed_Calc!B$5*E1362</f>
        <v>-30301.123661764192</v>
      </c>
      <c r="G1362" s="15">
        <f>Speed_Calc!G$3+Speed_Calc!G$5*A1362^2</f>
        <v>90.506867599997875</v>
      </c>
      <c r="H1362" s="7">
        <f>(F1362-G1362)/Speed_Calc!G$2*9.806</f>
        <v>-220.75579923773719</v>
      </c>
      <c r="I1362" s="4">
        <f t="shared" si="89"/>
        <v>36.833333333332781</v>
      </c>
    </row>
    <row r="1363" spans="1:9" x14ac:dyDescent="0.2">
      <c r="A1363" s="11">
        <v>132.69999999999899</v>
      </c>
      <c r="B1363" s="15">
        <v>3.133</v>
      </c>
      <c r="C1363" s="11">
        <f t="shared" si="86"/>
        <v>17196.584798545657</v>
      </c>
      <c r="D1363" s="11">
        <f t="shared" si="87"/>
        <v>-16622.337562778965</v>
      </c>
      <c r="E1363" s="11">
        <f t="shared" si="88"/>
        <v>-33820.882757726853</v>
      </c>
      <c r="F1363" s="11">
        <f>Speed_Calc!B$5*E1363</f>
        <v>-30438.79448195417</v>
      </c>
      <c r="G1363" s="15">
        <f>Speed_Calc!G$3+Speed_Calc!G$5*A1363^2</f>
        <v>90.613252899998912</v>
      </c>
      <c r="H1363" s="7">
        <f>(F1363-G1363)/Speed_Calc!G$2*9.806</f>
        <v>-221.7565720355407</v>
      </c>
      <c r="I1363" s="4">
        <f t="shared" si="89"/>
        <v>36.86111111111083</v>
      </c>
    </row>
    <row r="1364" spans="1:9" x14ac:dyDescent="0.2">
      <c r="A1364" s="11">
        <v>132.79999999999899</v>
      </c>
      <c r="B1364" s="15">
        <v>3.133</v>
      </c>
      <c r="C1364" s="11">
        <f t="shared" si="86"/>
        <v>17209.54379236521</v>
      </c>
      <c r="D1364" s="11">
        <f t="shared" si="87"/>
        <v>-16710.345367740036</v>
      </c>
      <c r="E1364" s="11">
        <f t="shared" si="88"/>
        <v>-33974.346756700623</v>
      </c>
      <c r="F1364" s="11">
        <f>Speed_Calc!B$5*E1364</f>
        <v>-30576.912081030561</v>
      </c>
      <c r="G1364" s="15">
        <f>Speed_Calc!G$3+Speed_Calc!G$5*A1364^2</f>
        <v>90.719718399998911</v>
      </c>
      <c r="H1364" s="7">
        <f>(F1364-G1364)/Speed_Calc!G$2*9.806</f>
        <v>-222.76059068534525</v>
      </c>
      <c r="I1364" s="4">
        <f t="shared" si="89"/>
        <v>36.888888888888609</v>
      </c>
    </row>
    <row r="1365" spans="1:9" x14ac:dyDescent="0.2">
      <c r="A1365" s="11">
        <v>132.89999999999799</v>
      </c>
      <c r="B1365" s="15">
        <v>3.133</v>
      </c>
      <c r="C1365" s="11">
        <f t="shared" si="86"/>
        <v>17222.502786184632</v>
      </c>
      <c r="D1365" s="11">
        <f t="shared" si="87"/>
        <v>-16798.711719187035</v>
      </c>
      <c r="E1365" s="11">
        <f t="shared" si="88"/>
        <v>-34128.308233111871</v>
      </c>
      <c r="F1365" s="11">
        <f>Speed_Calc!B$5*E1365</f>
        <v>-30715.477409800686</v>
      </c>
      <c r="G1365" s="15">
        <f>Speed_Calc!G$3+Speed_Calc!G$5*A1365^2</f>
        <v>90.826264099997843</v>
      </c>
      <c r="H1365" s="7">
        <f>(F1365-G1365)/Speed_Calc!G$2*9.806</f>
        <v>-223.76786209353338</v>
      </c>
      <c r="I1365" s="4">
        <f t="shared" si="89"/>
        <v>36.91666666666611</v>
      </c>
    </row>
    <row r="1366" spans="1:9" x14ac:dyDescent="0.2">
      <c r="A1366" s="11">
        <v>132.99999999999801</v>
      </c>
      <c r="B1366" s="15">
        <v>3.133</v>
      </c>
      <c r="C1366" s="11">
        <f t="shared" si="86"/>
        <v>17235.461780004181</v>
      </c>
      <c r="D1366" s="11">
        <f t="shared" si="87"/>
        <v>-16887.437690821975</v>
      </c>
      <c r="E1366" s="11">
        <f t="shared" si="88"/>
        <v>-34282.768244526334</v>
      </c>
      <c r="F1366" s="11">
        <f>Speed_Calc!B$5*E1366</f>
        <v>-30854.4914200737</v>
      </c>
      <c r="G1366" s="15">
        <f>Speed_Calc!G$3+Speed_Calc!G$5*A1366^2</f>
        <v>90.932889999997883</v>
      </c>
      <c r="H1366" s="7">
        <f>(F1366-G1366)/Speed_Calc!G$2*9.806</f>
        <v>-224.77839317376493</v>
      </c>
      <c r="I1366" s="4">
        <f t="shared" si="89"/>
        <v>36.944444444443889</v>
      </c>
    </row>
    <row r="1367" spans="1:9" x14ac:dyDescent="0.2">
      <c r="A1367" s="11">
        <v>133.099999999998</v>
      </c>
      <c r="B1367" s="15">
        <v>3.133</v>
      </c>
      <c r="C1367" s="11">
        <f t="shared" si="86"/>
        <v>17248.420773823735</v>
      </c>
      <c r="D1367" s="11">
        <f t="shared" si="87"/>
        <v>-16976.524358458264</v>
      </c>
      <c r="E1367" s="11">
        <f t="shared" si="88"/>
        <v>-34437.727849615323</v>
      </c>
      <c r="F1367" s="11">
        <f>Speed_Calc!B$5*E1367</f>
        <v>-30993.95506465379</v>
      </c>
      <c r="G1367" s="15">
        <f>Speed_Calc!G$3+Speed_Calc!G$5*A1367^2</f>
        <v>91.039596099997866</v>
      </c>
      <c r="H1367" s="7">
        <f>(F1367-G1367)/Speed_Calc!G$2*9.806</f>
        <v>-225.79219084692713</v>
      </c>
      <c r="I1367" s="4">
        <f t="shared" si="89"/>
        <v>36.972222222221667</v>
      </c>
    </row>
    <row r="1368" spans="1:9" x14ac:dyDescent="0.2">
      <c r="A1368" s="11">
        <v>133.19999999999899</v>
      </c>
      <c r="B1368" s="15">
        <v>3.133</v>
      </c>
      <c r="C1368" s="11">
        <f t="shared" si="86"/>
        <v>17261.379767643411</v>
      </c>
      <c r="D1368" s="11">
        <f t="shared" si="87"/>
        <v>-17065.972800026942</v>
      </c>
      <c r="E1368" s="11">
        <f t="shared" si="88"/>
        <v>-34593.188108162991</v>
      </c>
      <c r="F1368" s="11">
        <f>Speed_Calc!B$5*E1368</f>
        <v>-31133.869297346693</v>
      </c>
      <c r="G1368" s="15">
        <f>Speed_Calc!G$3+Speed_Calc!G$5*A1368^2</f>
        <v>91.146382399998927</v>
      </c>
      <c r="H1368" s="7">
        <f>(F1368-G1368)/Speed_Calc!G$2*9.806</f>
        <v>-226.80926204118225</v>
      </c>
      <c r="I1368" s="4">
        <f t="shared" si="89"/>
        <v>36.999999999999723</v>
      </c>
    </row>
    <row r="1369" spans="1:9" x14ac:dyDescent="0.2">
      <c r="A1369" s="11">
        <v>133.29999999999899</v>
      </c>
      <c r="B1369" s="15">
        <v>3.133</v>
      </c>
      <c r="C1369" s="11">
        <f t="shared" si="86"/>
        <v>17274.338761462965</v>
      </c>
      <c r="D1369" s="11">
        <f t="shared" si="87"/>
        <v>-17155.784095574574</v>
      </c>
      <c r="E1369" s="11">
        <f t="shared" si="88"/>
        <v>-34749.150081059051</v>
      </c>
      <c r="F1369" s="11">
        <f>Speed_Calc!B$5*E1369</f>
        <v>-31274.235072953146</v>
      </c>
      <c r="G1369" s="15">
        <f>Speed_Calc!G$3+Speed_Calc!G$5*A1369^2</f>
        <v>91.253248899998908</v>
      </c>
      <c r="H1369" s="7">
        <f>(F1369-G1369)/Speed_Calc!G$2*9.806</f>
        <v>-227.82961369191997</v>
      </c>
      <c r="I1369" s="4">
        <f t="shared" si="89"/>
        <v>37.027777777777494</v>
      </c>
    </row>
    <row r="1370" spans="1:9" x14ac:dyDescent="0.2">
      <c r="A1370" s="11">
        <v>133.39999999999799</v>
      </c>
      <c r="B1370" s="15">
        <v>3.133</v>
      </c>
      <c r="C1370" s="11">
        <f t="shared" si="86"/>
        <v>17287.297755282387</v>
      </c>
      <c r="D1370" s="11">
        <f t="shared" si="87"/>
        <v>-17245.959327269506</v>
      </c>
      <c r="E1370" s="11">
        <f t="shared" si="88"/>
        <v>-34905.614830306127</v>
      </c>
      <c r="F1370" s="11">
        <f>Speed_Calc!B$5*E1370</f>
        <v>-31415.053347275516</v>
      </c>
      <c r="G1370" s="15">
        <f>Speed_Calc!G$3+Speed_Calc!G$5*A1370^2</f>
        <v>91.360195599997837</v>
      </c>
      <c r="H1370" s="7">
        <f>(F1370-G1370)/Speed_Calc!G$2*9.806</f>
        <v>-228.85325274180539</v>
      </c>
      <c r="I1370" s="4">
        <f t="shared" si="89"/>
        <v>37.055555555554996</v>
      </c>
    </row>
    <row r="1371" spans="1:9" x14ac:dyDescent="0.2">
      <c r="A1371" s="11">
        <v>133.49999999999801</v>
      </c>
      <c r="B1371" s="15">
        <v>3.133</v>
      </c>
      <c r="C1371" s="11">
        <f t="shared" si="86"/>
        <v>17300.256749101944</v>
      </c>
      <c r="D1371" s="11">
        <f t="shared" si="87"/>
        <v>-17336.499579404164</v>
      </c>
      <c r="E1371" s="11">
        <f t="shared" si="88"/>
        <v>-35062.583419020179</v>
      </c>
      <c r="F1371" s="11">
        <f>Speed_Calc!B$5*E1371</f>
        <v>-31556.325077118163</v>
      </c>
      <c r="G1371" s="15">
        <f>Speed_Calc!G$3+Speed_Calc!G$5*A1371^2</f>
        <v>91.46722249999786</v>
      </c>
      <c r="H1371" s="7">
        <f>(F1371-G1371)/Speed_Calc!G$2*9.806</f>
        <v>-229.88018614078197</v>
      </c>
      <c r="I1371" s="4">
        <f t="shared" si="89"/>
        <v>37.083333333332781</v>
      </c>
    </row>
    <row r="1372" spans="1:9" x14ac:dyDescent="0.2">
      <c r="A1372" s="11">
        <v>133.599999999998</v>
      </c>
      <c r="B1372" s="15">
        <v>3.133</v>
      </c>
      <c r="C1372" s="11">
        <f t="shared" si="86"/>
        <v>17313.215742921497</v>
      </c>
      <c r="D1372" s="11">
        <f t="shared" si="87"/>
        <v>-17427.405938392414</v>
      </c>
      <c r="E1372" s="11">
        <f t="shared" si="88"/>
        <v>-35220.056911422325</v>
      </c>
      <c r="F1372" s="11">
        <f>Speed_Calc!B$5*E1372</f>
        <v>-31698.051220280093</v>
      </c>
      <c r="G1372" s="15">
        <f>Speed_Calc!G$3+Speed_Calc!G$5*A1372^2</f>
        <v>91.574329599997867</v>
      </c>
      <c r="H1372" s="7">
        <f>(F1372-G1372)/Speed_Calc!G$2*9.806</f>
        <v>-230.9104208460179</v>
      </c>
      <c r="I1372" s="4">
        <f t="shared" si="89"/>
        <v>37.111111111110553</v>
      </c>
    </row>
    <row r="1373" spans="1:9" x14ac:dyDescent="0.2">
      <c r="A1373" s="11">
        <v>133.69999999999899</v>
      </c>
      <c r="B1373" s="15">
        <v>3.133</v>
      </c>
      <c r="C1373" s="11">
        <f t="shared" si="86"/>
        <v>17326.174736741177</v>
      </c>
      <c r="D1373" s="11">
        <f t="shared" si="87"/>
        <v>-17518.679492776278</v>
      </c>
      <c r="E1373" s="11">
        <f t="shared" si="88"/>
        <v>-35378.036372846902</v>
      </c>
      <c r="F1373" s="11">
        <f>Speed_Calc!B$5*E1373</f>
        <v>-31840.232735562211</v>
      </c>
      <c r="G1373" s="15">
        <f>Speed_Calc!G$3+Speed_Calc!G$5*A1373^2</f>
        <v>91.681516899998911</v>
      </c>
      <c r="H1373" s="7">
        <f>(F1373-G1373)/Speed_Calc!G$2*9.806</f>
        <v>-231.94396382195885</v>
      </c>
      <c r="I1373" s="4">
        <f t="shared" si="89"/>
        <v>37.138888888888609</v>
      </c>
    </row>
    <row r="1374" spans="1:9" x14ac:dyDescent="0.2">
      <c r="A1374" s="11">
        <v>133.79999999999799</v>
      </c>
      <c r="B1374" s="15">
        <v>3.133</v>
      </c>
      <c r="C1374" s="11">
        <f t="shared" si="86"/>
        <v>17339.133730560603</v>
      </c>
      <c r="D1374" s="11">
        <f t="shared" si="87"/>
        <v>-17610.321333222462</v>
      </c>
      <c r="E1374" s="11">
        <f t="shared" si="88"/>
        <v>-35536.522869731947</v>
      </c>
      <c r="F1374" s="11">
        <f>Speed_Calc!B$5*E1374</f>
        <v>-31982.870582758755</v>
      </c>
      <c r="G1374" s="15">
        <f>Speed_Calc!G$3+Speed_Calc!G$5*A1374^2</f>
        <v>91.788784399997851</v>
      </c>
      <c r="H1374" s="7">
        <f>(F1374-G1374)/Speed_Calc!G$2*9.806</f>
        <v>-232.98082204026571</v>
      </c>
      <c r="I1374" s="4">
        <f t="shared" si="89"/>
        <v>37.16666666666611</v>
      </c>
    </row>
    <row r="1375" spans="1:9" x14ac:dyDescent="0.2">
      <c r="A1375" s="11">
        <v>133.89999999999799</v>
      </c>
      <c r="B1375" s="15">
        <v>3.133</v>
      </c>
      <c r="C1375" s="11">
        <f t="shared" si="86"/>
        <v>17352.092724380149</v>
      </c>
      <c r="D1375" s="11">
        <f t="shared" si="87"/>
        <v>-17702.332552533491</v>
      </c>
      <c r="E1375" s="11">
        <f t="shared" si="88"/>
        <v>-35695.517469634913</v>
      </c>
      <c r="F1375" s="11">
        <f>Speed_Calc!B$5*E1375</f>
        <v>-32125.965722671423</v>
      </c>
      <c r="G1375" s="15">
        <f>Speed_Calc!G$3+Speed_Calc!G$5*A1375^2</f>
        <v>91.896132099997828</v>
      </c>
      <c r="H1375" s="7">
        <f>(F1375-G1375)/Speed_Calc!G$2*9.806</f>
        <v>-234.02100247991743</v>
      </c>
      <c r="I1375" s="4">
        <f t="shared" si="89"/>
        <v>37.194444444443882</v>
      </c>
    </row>
    <row r="1376" spans="1:9" x14ac:dyDescent="0.2">
      <c r="A1376" s="11">
        <v>133.99999999999801</v>
      </c>
      <c r="B1376" s="15">
        <v>3.133</v>
      </c>
      <c r="C1376" s="11">
        <f t="shared" si="86"/>
        <v>17365.051718199706</v>
      </c>
      <c r="D1376" s="11">
        <f t="shared" si="87"/>
        <v>-17794.71424564084</v>
      </c>
      <c r="E1376" s="11">
        <f t="shared" si="88"/>
        <v>-35855.021241217153</v>
      </c>
      <c r="F1376" s="11">
        <f>Speed_Calc!B$5*E1376</f>
        <v>-32269.519117095439</v>
      </c>
      <c r="G1376" s="15">
        <f>Speed_Calc!G$3+Speed_Calc!G$5*A1376^2</f>
        <v>92.003559999997847</v>
      </c>
      <c r="H1376" s="7">
        <f>(F1376-G1376)/Speed_Calc!G$2*9.806</f>
        <v>-235.06451212710951</v>
      </c>
      <c r="I1376" s="4">
        <f t="shared" si="89"/>
        <v>37.222222222221667</v>
      </c>
    </row>
    <row r="1377" spans="1:9" x14ac:dyDescent="0.2">
      <c r="A1377" s="11">
        <v>134.099999999998</v>
      </c>
      <c r="B1377" s="15">
        <v>3.133</v>
      </c>
      <c r="C1377" s="11">
        <f t="shared" si="86"/>
        <v>17378.010712019259</v>
      </c>
      <c r="D1377" s="11">
        <f t="shared" si="87"/>
        <v>-17887.467509611244</v>
      </c>
      <c r="E1377" s="11">
        <f t="shared" si="88"/>
        <v>-36015.035254251357</v>
      </c>
      <c r="F1377" s="11">
        <f>Speed_Calc!B$5*E1377</f>
        <v>-32413.531728826223</v>
      </c>
      <c r="G1377" s="15">
        <f>Speed_Calc!G$3+Speed_Calc!G$5*A1377^2</f>
        <v>92.111068099997851</v>
      </c>
      <c r="H1377" s="7">
        <f>(F1377-G1377)/Speed_Calc!G$2*9.806</f>
        <v>-236.11135797530261</v>
      </c>
      <c r="I1377" s="4">
        <f t="shared" si="89"/>
        <v>37.249999999999446</v>
      </c>
    </row>
    <row r="1378" spans="1:9" x14ac:dyDescent="0.2">
      <c r="A1378" s="11">
        <v>134.199999999998</v>
      </c>
      <c r="B1378" s="15">
        <v>3.133</v>
      </c>
      <c r="C1378" s="11">
        <f t="shared" si="86"/>
        <v>17390.969705838812</v>
      </c>
      <c r="D1378" s="11">
        <f t="shared" si="87"/>
        <v>-17980.593443648035</v>
      </c>
      <c r="E1378" s="11">
        <f t="shared" si="88"/>
        <v>-36175.56057962028</v>
      </c>
      <c r="F1378" s="11">
        <f>Speed_Calc!B$5*E1378</f>
        <v>-32558.004521658251</v>
      </c>
      <c r="G1378" s="15">
        <f>Speed_Calc!G$3+Speed_Calc!G$5*A1378^2</f>
        <v>92.21865639999784</v>
      </c>
      <c r="H1378" s="7">
        <f>(F1378-G1378)/Speed_Calc!G$2*9.806</f>
        <v>-237.16154702521419</v>
      </c>
      <c r="I1378" s="4">
        <f t="shared" si="89"/>
        <v>37.277777777777224</v>
      </c>
    </row>
    <row r="1379" spans="1:9" x14ac:dyDescent="0.2">
      <c r="A1379" s="11">
        <v>134.29999999999799</v>
      </c>
      <c r="B1379" s="15">
        <v>3.133</v>
      </c>
      <c r="C1379" s="11">
        <f t="shared" si="86"/>
        <v>17403.928699658358</v>
      </c>
      <c r="D1379" s="11">
        <f t="shared" si="87"/>
        <v>-18074.093149093213</v>
      </c>
      <c r="E1379" s="11">
        <f t="shared" si="88"/>
        <v>-36336.598289316753</v>
      </c>
      <c r="F1379" s="11">
        <f>Speed_Calc!B$5*E1379</f>
        <v>-32702.938460385078</v>
      </c>
      <c r="G1379" s="15">
        <f>Speed_Calc!G$3+Speed_Calc!G$5*A1379^2</f>
        <v>92.326324899997829</v>
      </c>
      <c r="H1379" s="7">
        <f>(F1379-G1379)/Speed_Calc!G$2*9.806</f>
        <v>-238.21508628481885</v>
      </c>
      <c r="I1379" s="4">
        <f t="shared" si="89"/>
        <v>37.305555555554996</v>
      </c>
    </row>
    <row r="1380" spans="1:9" x14ac:dyDescent="0.2">
      <c r="A1380" s="11">
        <v>134.39999999999799</v>
      </c>
      <c r="B1380" s="15">
        <v>3.133</v>
      </c>
      <c r="C1380" s="11">
        <f t="shared" si="86"/>
        <v>17416.887693477911</v>
      </c>
      <c r="D1380" s="11">
        <f t="shared" si="87"/>
        <v>-18167.967729429474</v>
      </c>
      <c r="E1380" s="11">
        <f t="shared" si="88"/>
        <v>-36498.14945644368</v>
      </c>
      <c r="F1380" s="11">
        <f>Speed_Calc!B$5*E1380</f>
        <v>-32848.334510799315</v>
      </c>
      <c r="G1380" s="15">
        <f>Speed_Calc!G$3+Speed_Calc!G$5*A1380^2</f>
        <v>92.434073599997816</v>
      </c>
      <c r="H1380" s="7">
        <f>(F1380-G1380)/Speed_Calc!G$2*9.806</f>
        <v>-239.27198276934791</v>
      </c>
      <c r="I1380" s="4">
        <f t="shared" si="89"/>
        <v>37.333333333332774</v>
      </c>
    </row>
    <row r="1381" spans="1:9" x14ac:dyDescent="0.2">
      <c r="A1381" s="11">
        <v>134.49999999999801</v>
      </c>
      <c r="B1381" s="15">
        <v>3.133</v>
      </c>
      <c r="C1381" s="11">
        <f t="shared" si="86"/>
        <v>17429.846687297464</v>
      </c>
      <c r="D1381" s="11">
        <f t="shared" si="87"/>
        <v>-18262.218290282184</v>
      </c>
      <c r="E1381" s="11">
        <f t="shared" si="88"/>
        <v>-36660.21515521386</v>
      </c>
      <c r="F1381" s="11">
        <f>Speed_Calc!B$5*E1381</f>
        <v>-32994.193639692472</v>
      </c>
      <c r="G1381" s="15">
        <f>Speed_Calc!G$3+Speed_Calc!G$5*A1381^2</f>
        <v>92.541902499997846</v>
      </c>
      <c r="H1381" s="7">
        <f>(F1381-G1381)/Speed_Calc!G$2*9.806</f>
        <v>-240.33224350128845</v>
      </c>
      <c r="I1381" s="4">
        <f t="shared" si="89"/>
        <v>37.36111111111056</v>
      </c>
    </row>
    <row r="1382" spans="1:9" x14ac:dyDescent="0.2">
      <c r="A1382" s="11">
        <v>134.599999999998</v>
      </c>
      <c r="B1382" s="15">
        <v>3.133</v>
      </c>
      <c r="C1382" s="11">
        <f t="shared" si="86"/>
        <v>17442.805681117017</v>
      </c>
      <c r="D1382" s="11">
        <f t="shared" si="87"/>
        <v>-18356.845939421521</v>
      </c>
      <c r="E1382" s="11">
        <f t="shared" si="88"/>
        <v>-36822.796460950107</v>
      </c>
      <c r="F1382" s="11">
        <f>Speed_Calc!B$5*E1382</f>
        <v>-33140.516814855095</v>
      </c>
      <c r="G1382" s="15">
        <f>Speed_Calc!G$3+Speed_Calc!G$5*A1382^2</f>
        <v>92.649811599997832</v>
      </c>
      <c r="H1382" s="7">
        <f>(F1382-G1382)/Speed_Calc!G$2*9.806</f>
        <v>-241.39587551038417</v>
      </c>
      <c r="I1382" s="4">
        <f t="shared" si="89"/>
        <v>37.388888888888332</v>
      </c>
    </row>
    <row r="1383" spans="1:9" x14ac:dyDescent="0.2">
      <c r="A1383" s="11">
        <v>134.699999999998</v>
      </c>
      <c r="B1383" s="15">
        <v>3.133</v>
      </c>
      <c r="C1383" s="11">
        <f t="shared" si="86"/>
        <v>17455.76467493657</v>
      </c>
      <c r="D1383" s="11">
        <f t="shared" si="87"/>
        <v>-18451.851786764466</v>
      </c>
      <c r="E1383" s="11">
        <f t="shared" si="88"/>
        <v>-36985.894450085223</v>
      </c>
      <c r="F1383" s="11">
        <f>Speed_Calc!B$5*E1383</f>
        <v>-33287.305005076705</v>
      </c>
      <c r="G1383" s="15">
        <f>Speed_Calc!G$3+Speed_Calc!G$5*A1383^2</f>
        <v>92.757800899997832</v>
      </c>
      <c r="H1383" s="7">
        <f>(F1383-G1383)/Speed_Calc!G$2*9.806</f>
        <v>-242.46288583363523</v>
      </c>
      <c r="I1383" s="4">
        <f t="shared" si="89"/>
        <v>37.41666666666611</v>
      </c>
    </row>
    <row r="1384" spans="1:9" x14ac:dyDescent="0.2">
      <c r="A1384" s="11">
        <v>134.79999999999799</v>
      </c>
      <c r="B1384" s="15">
        <v>3.133</v>
      </c>
      <c r="C1384" s="11">
        <f t="shared" si="86"/>
        <v>17468.723668756127</v>
      </c>
      <c r="D1384" s="11">
        <f t="shared" si="87"/>
        <v>-18547.236944376978</v>
      </c>
      <c r="E1384" s="11">
        <f t="shared" si="88"/>
        <v>-37149.510200162149</v>
      </c>
      <c r="F1384" s="11">
        <f>Speed_Calc!B$5*E1384</f>
        <v>-33434.559180145938</v>
      </c>
      <c r="G1384" s="15">
        <f>Speed_Calc!G$3+Speed_Calc!G$5*A1384^2</f>
        <v>92.865870399997817</v>
      </c>
      <c r="H1384" s="7">
        <f>(F1384-G1384)/Speed_Calc!G$2*9.806</f>
        <v>-243.53328151529882</v>
      </c>
      <c r="I1384" s="4">
        <f t="shared" si="89"/>
        <v>37.444444444443889</v>
      </c>
    </row>
    <row r="1385" spans="1:9" x14ac:dyDescent="0.2">
      <c r="A1385" s="11">
        <v>134.89999999999799</v>
      </c>
      <c r="B1385" s="15">
        <v>3.133</v>
      </c>
      <c r="C1385" s="11">
        <f t="shared" si="86"/>
        <v>17481.682662575669</v>
      </c>
      <c r="D1385" s="11">
        <f t="shared" si="87"/>
        <v>-18643.002526475811</v>
      </c>
      <c r="E1385" s="11">
        <f t="shared" si="88"/>
        <v>-37313.644789833539</v>
      </c>
      <c r="F1385" s="11">
        <f>Speed_Calc!B$5*E1385</f>
        <v>-33582.280310850183</v>
      </c>
      <c r="G1385" s="15">
        <f>Speed_Calc!G$3+Speed_Calc!G$5*A1385^2</f>
        <v>92.974020099997816</v>
      </c>
      <c r="H1385" s="7">
        <f>(F1385-G1385)/Speed_Calc!G$2*9.806</f>
        <v>-244.60706960688697</v>
      </c>
      <c r="I1385" s="4">
        <f t="shared" si="89"/>
        <v>37.47222222222166</v>
      </c>
    </row>
    <row r="1386" spans="1:9" x14ac:dyDescent="0.2">
      <c r="A1386" s="11">
        <v>134.99999999999801</v>
      </c>
      <c r="B1386" s="15">
        <v>3.133</v>
      </c>
      <c r="C1386" s="11">
        <f t="shared" si="86"/>
        <v>17494.64165639523</v>
      </c>
      <c r="D1386" s="11">
        <f t="shared" si="87"/>
        <v>-18739.149649431034</v>
      </c>
      <c r="E1386" s="11">
        <f t="shared" si="88"/>
        <v>-37478.299298862614</v>
      </c>
      <c r="F1386" s="11">
        <f>Speed_Calc!B$5*E1386</f>
        <v>-33730.469368976352</v>
      </c>
      <c r="G1386" s="15">
        <f>Speed_Calc!G$3+Speed_Calc!G$5*A1386^2</f>
        <v>93.082249999997842</v>
      </c>
      <c r="H1386" s="7">
        <f>(F1386-G1386)/Speed_Calc!G$2*9.806</f>
        <v>-245.68425716717189</v>
      </c>
      <c r="I1386" s="4">
        <f t="shared" si="89"/>
        <v>37.499999999999446</v>
      </c>
    </row>
    <row r="1387" spans="1:9" x14ac:dyDescent="0.2">
      <c r="A1387" s="11">
        <v>135.099999999998</v>
      </c>
      <c r="B1387" s="15">
        <v>3.133</v>
      </c>
      <c r="C1387" s="11">
        <f t="shared" si="86"/>
        <v>17507.600650214783</v>
      </c>
      <c r="D1387" s="11">
        <f t="shared" si="87"/>
        <v>-18835.679431767425</v>
      </c>
      <c r="E1387" s="11">
        <f t="shared" si="88"/>
        <v>-37643.474808121966</v>
      </c>
      <c r="F1387" s="11">
        <f>Speed_Calc!B$5*E1387</f>
        <v>-33879.127327309769</v>
      </c>
      <c r="G1387" s="15">
        <f>Speed_Calc!G$3+Speed_Calc!G$5*A1387^2</f>
        <v>93.190560099997825</v>
      </c>
      <c r="H1387" s="7">
        <f>(F1387-G1387)/Speed_Calc!G$2*9.806</f>
        <v>-246.76485126217787</v>
      </c>
      <c r="I1387" s="4">
        <f t="shared" si="89"/>
        <v>37.527777777777224</v>
      </c>
    </row>
    <row r="1388" spans="1:9" x14ac:dyDescent="0.2">
      <c r="A1388" s="11">
        <v>135.199999999998</v>
      </c>
      <c r="B1388" s="15">
        <v>3.133</v>
      </c>
      <c r="C1388" s="11">
        <f t="shared" si="86"/>
        <v>17520.559644034329</v>
      </c>
      <c r="D1388" s="11">
        <f t="shared" si="87"/>
        <v>-18932.592994167029</v>
      </c>
      <c r="E1388" s="11">
        <f t="shared" si="88"/>
        <v>-37809.172399594478</v>
      </c>
      <c r="F1388" s="11">
        <f>Speed_Calc!B$5*E1388</f>
        <v>-34028.255159635031</v>
      </c>
      <c r="G1388" s="15">
        <f>Speed_Calc!G$3+Speed_Calc!G$5*A1388^2</f>
        <v>93.298950399997821</v>
      </c>
      <c r="H1388" s="7">
        <f>(F1388-G1388)/Speed_Calc!G$2*9.806</f>
        <v>-247.84885896518776</v>
      </c>
      <c r="I1388" s="4">
        <f t="shared" si="89"/>
        <v>37.555555555554996</v>
      </c>
    </row>
    <row r="1389" spans="1:9" x14ac:dyDescent="0.2">
      <c r="A1389" s="11">
        <v>135.29999999999799</v>
      </c>
      <c r="B1389" s="15">
        <v>3.133</v>
      </c>
      <c r="C1389" s="11">
        <f t="shared" si="86"/>
        <v>17533.518637853882</v>
      </c>
      <c r="D1389" s="11">
        <f t="shared" si="87"/>
        <v>-19029.891459471204</v>
      </c>
      <c r="E1389" s="11">
        <f t="shared" si="88"/>
        <v>-37975.393156373255</v>
      </c>
      <c r="F1389" s="11">
        <f>Speed_Calc!B$5*E1389</f>
        <v>-34177.85384073593</v>
      </c>
      <c r="G1389" s="15">
        <f>Speed_Calc!G$3+Speed_Calc!G$5*A1389^2</f>
        <v>93.407420899997817</v>
      </c>
      <c r="H1389" s="7">
        <f>(F1389-G1389)/Speed_Calc!G$2*9.806</f>
        <v>-248.93628735674213</v>
      </c>
      <c r="I1389" s="4">
        <f t="shared" si="89"/>
        <v>37.583333333332774</v>
      </c>
    </row>
    <row r="1390" spans="1:9" x14ac:dyDescent="0.2">
      <c r="A1390" s="11">
        <v>135.39999999999799</v>
      </c>
      <c r="B1390" s="15">
        <v>3.133</v>
      </c>
      <c r="C1390" s="11">
        <f t="shared" si="86"/>
        <v>17546.477631673431</v>
      </c>
      <c r="D1390" s="11">
        <f t="shared" si="87"/>
        <v>-19127.575952682291</v>
      </c>
      <c r="E1390" s="11">
        <f t="shared" si="88"/>
        <v>-38142.138162660973</v>
      </c>
      <c r="F1390" s="11">
        <f>Speed_Calc!B$5*E1390</f>
        <v>-34327.924346394873</v>
      </c>
      <c r="G1390" s="15">
        <f>Speed_Calc!G$3+Speed_Calc!G$5*A1390^2</f>
        <v>93.515971599997812</v>
      </c>
      <c r="H1390" s="7">
        <f>(F1390-G1390)/Speed_Calc!G$2*9.806</f>
        <v>-250.02714352463531</v>
      </c>
      <c r="I1390" s="4">
        <f t="shared" si="89"/>
        <v>37.611111111110553</v>
      </c>
    </row>
    <row r="1391" spans="1:9" x14ac:dyDescent="0.2">
      <c r="A1391" s="11">
        <v>135.49999999999801</v>
      </c>
      <c r="B1391" s="15">
        <v>3.133</v>
      </c>
      <c r="C1391" s="11">
        <f t="shared" si="86"/>
        <v>17559.436625492992</v>
      </c>
      <c r="D1391" s="11">
        <f t="shared" si="87"/>
        <v>-19225.647600966196</v>
      </c>
      <c r="E1391" s="11">
        <f t="shared" si="88"/>
        <v>-38309.408503770836</v>
      </c>
      <c r="F1391" s="11">
        <f>Speed_Calc!B$5*E1391</f>
        <v>-34478.467653393753</v>
      </c>
      <c r="G1391" s="15">
        <f>Speed_Calc!G$3+Speed_Calc!G$5*A1391^2</f>
        <v>93.624602499997835</v>
      </c>
      <c r="H1391" s="7">
        <f>(F1391-G1391)/Speed_Calc!G$2*9.806</f>
        <v>-251.12143456392155</v>
      </c>
      <c r="I1391" s="4">
        <f t="shared" si="89"/>
        <v>37.638888888888339</v>
      </c>
    </row>
    <row r="1392" spans="1:9" x14ac:dyDescent="0.2">
      <c r="A1392" s="11">
        <v>135.599999999998</v>
      </c>
      <c r="B1392" s="15">
        <v>3.133</v>
      </c>
      <c r="C1392" s="11">
        <f t="shared" si="86"/>
        <v>17572.395619312541</v>
      </c>
      <c r="D1392" s="11">
        <f t="shared" si="87"/>
        <v>-19324.107533653831</v>
      </c>
      <c r="E1392" s="11">
        <f t="shared" si="88"/>
        <v>-38477.205266125457</v>
      </c>
      <c r="F1392" s="11">
        <f>Speed_Calc!B$5*E1392</f>
        <v>-34629.484739512911</v>
      </c>
      <c r="G1392" s="15">
        <f>Speed_Calc!G$3+Speed_Calc!G$5*A1392^2</f>
        <v>93.733313599997828</v>
      </c>
      <c r="H1392" s="7">
        <f>(F1392-G1392)/Speed_Calc!G$2*9.806</f>
        <v>-252.21916757690749</v>
      </c>
      <c r="I1392" s="4">
        <f t="shared" si="89"/>
        <v>37.66666666666611</v>
      </c>
    </row>
    <row r="1393" spans="1:9" x14ac:dyDescent="0.2">
      <c r="A1393" s="11">
        <v>135.699999999998</v>
      </c>
      <c r="B1393" s="15">
        <v>3.133</v>
      </c>
      <c r="C1393" s="11">
        <f t="shared" si="86"/>
        <v>17585.354613132091</v>
      </c>
      <c r="D1393" s="11">
        <f t="shared" si="87"/>
        <v>-19422.956882243758</v>
      </c>
      <c r="E1393" s="11">
        <f t="shared" si="88"/>
        <v>-38645.529537257855</v>
      </c>
      <c r="F1393" s="11">
        <f>Speed_Calc!B$5*E1393</f>
        <v>-34780.976583532072</v>
      </c>
      <c r="G1393" s="15">
        <f>Speed_Calc!G$3+Speed_Calc!G$5*A1393^2</f>
        <v>93.842104899997807</v>
      </c>
      <c r="H1393" s="7">
        <f>(F1393-G1393)/Speed_Calc!G$2*9.806</f>
        <v>-253.32034967315911</v>
      </c>
      <c r="I1393" s="4">
        <f t="shared" si="89"/>
        <v>37.694444444443889</v>
      </c>
    </row>
    <row r="1394" spans="1:9" x14ac:dyDescent="0.2">
      <c r="A1394" s="11">
        <v>135.79999999999799</v>
      </c>
      <c r="B1394" s="15">
        <v>3.133</v>
      </c>
      <c r="C1394" s="11">
        <f t="shared" si="86"/>
        <v>17598.313606951644</v>
      </c>
      <c r="D1394" s="11">
        <f t="shared" si="87"/>
        <v>-19522.196780403941</v>
      </c>
      <c r="E1394" s="11">
        <f t="shared" si="88"/>
        <v>-38814.382405811062</v>
      </c>
      <c r="F1394" s="11">
        <f>Speed_Calc!B$5*E1394</f>
        <v>-34932.944165229957</v>
      </c>
      <c r="G1394" s="15">
        <f>Speed_Calc!G$3+Speed_Calc!G$5*A1394^2</f>
        <v>93.950976399997799</v>
      </c>
      <c r="H1394" s="7">
        <f>(F1394-G1394)/Speed_Calc!G$2*9.806</f>
        <v>-254.42498796949874</v>
      </c>
      <c r="I1394" s="4">
        <f t="shared" si="89"/>
        <v>37.722222222221667</v>
      </c>
    </row>
    <row r="1395" spans="1:9" x14ac:dyDescent="0.2">
      <c r="A1395" s="11">
        <v>135.89999999999799</v>
      </c>
      <c r="B1395" s="15">
        <v>3.133</v>
      </c>
      <c r="C1395" s="11">
        <f t="shared" si="86"/>
        <v>17611.272600771194</v>
      </c>
      <c r="D1395" s="11">
        <f t="shared" si="87"/>
        <v>-19621.828363973793</v>
      </c>
      <c r="E1395" s="11">
        <f t="shared" si="88"/>
        <v>-38983.764961537912</v>
      </c>
      <c r="F1395" s="11">
        <f>Speed_Calc!B$5*E1395</f>
        <v>-35085.388465384123</v>
      </c>
      <c r="G1395" s="15">
        <f>Speed_Calc!G$3+Speed_Calc!G$5*A1395^2</f>
        <v>94.059928099997791</v>
      </c>
      <c r="H1395" s="7">
        <f>(F1395-G1395)/Speed_Calc!G$2*9.806</f>
        <v>-255.5330895900039</v>
      </c>
      <c r="I1395" s="4">
        <f t="shared" si="89"/>
        <v>37.749999999999439</v>
      </c>
    </row>
    <row r="1396" spans="1:9" x14ac:dyDescent="0.2">
      <c r="A1396" s="11">
        <v>135.99999999999801</v>
      </c>
      <c r="B1396" s="15">
        <v>3.133</v>
      </c>
      <c r="C1396" s="11">
        <f t="shared" si="86"/>
        <v>17624.231594590754</v>
      </c>
      <c r="D1396" s="11">
        <f t="shared" si="87"/>
        <v>-19721.85277096643</v>
      </c>
      <c r="E1396" s="11">
        <f t="shared" si="88"/>
        <v>-39153.678295301565</v>
      </c>
      <c r="F1396" s="11">
        <f>Speed_Calc!B$5*E1396</f>
        <v>-35238.310465771407</v>
      </c>
      <c r="G1396" s="15">
        <f>Speed_Calc!G$3+Speed_Calc!G$5*A1396^2</f>
        <v>94.168959999997824</v>
      </c>
      <c r="H1396" s="7">
        <f>(F1396-G1396)/Speed_Calc!G$2*9.806</f>
        <v>-256.64466166601062</v>
      </c>
      <c r="I1396" s="4">
        <f t="shared" si="89"/>
        <v>37.777777777777224</v>
      </c>
    </row>
    <row r="1397" spans="1:9" x14ac:dyDescent="0.2">
      <c r="A1397" s="11">
        <v>136.099999999998</v>
      </c>
      <c r="B1397" s="15">
        <v>3.133</v>
      </c>
      <c r="C1397" s="11">
        <f t="shared" si="86"/>
        <v>17637.190588410303</v>
      </c>
      <c r="D1397" s="11">
        <f t="shared" si="87"/>
        <v>-19822.271141570316</v>
      </c>
      <c r="E1397" s="11">
        <f t="shared" si="88"/>
        <v>-39324.123499074674</v>
      </c>
      <c r="F1397" s="11">
        <f>Speed_Calc!B$5*E1397</f>
        <v>-35391.711149167211</v>
      </c>
      <c r="G1397" s="15">
        <f>Speed_Calc!G$3+Speed_Calc!G$5*A1397^2</f>
        <v>94.278072099997814</v>
      </c>
      <c r="H1397" s="7">
        <f>(F1397-G1397)/Speed_Calc!G$2*9.806</f>
        <v>-257.7597113361083</v>
      </c>
      <c r="I1397" s="4">
        <f t="shared" si="89"/>
        <v>37.805555555555003</v>
      </c>
    </row>
    <row r="1398" spans="1:9" x14ac:dyDescent="0.2">
      <c r="A1398" s="11">
        <v>136.199999999998</v>
      </c>
      <c r="B1398" s="15">
        <v>3.133</v>
      </c>
      <c r="C1398" s="11">
        <f t="shared" si="86"/>
        <v>17650.149582229853</v>
      </c>
      <c r="D1398" s="11">
        <f t="shared" si="87"/>
        <v>-19923.084618151857</v>
      </c>
      <c r="E1398" s="11">
        <f t="shared" si="88"/>
        <v>-39495.10166594039</v>
      </c>
      <c r="F1398" s="11">
        <f>Speed_Calc!B$5*E1398</f>
        <v>-35545.591499346352</v>
      </c>
      <c r="G1398" s="15">
        <f>Speed_Calc!G$3+Speed_Calc!G$5*A1398^2</f>
        <v>94.387264399997818</v>
      </c>
      <c r="H1398" s="7">
        <f>(F1398-G1398)/Speed_Calc!G$2*9.806</f>
        <v>-258.87824574614569</v>
      </c>
      <c r="I1398" s="4">
        <f t="shared" si="89"/>
        <v>37.833333333332774</v>
      </c>
    </row>
    <row r="1399" spans="1:9" x14ac:dyDescent="0.2">
      <c r="A1399" s="11">
        <v>136.29999999999799</v>
      </c>
      <c r="B1399" s="15">
        <v>3.133</v>
      </c>
      <c r="C1399" s="11">
        <f t="shared" si="86"/>
        <v>17663.108576049402</v>
      </c>
      <c r="D1399" s="11">
        <f t="shared" si="87"/>
        <v>-20024.294345257102</v>
      </c>
      <c r="E1399" s="11">
        <f t="shared" si="88"/>
        <v>-39666.613890091692</v>
      </c>
      <c r="F1399" s="11">
        <f>Speed_Calc!B$5*E1399</f>
        <v>-35699.952501082524</v>
      </c>
      <c r="G1399" s="15">
        <f>Speed_Calc!G$3+Speed_Calc!G$5*A1399^2</f>
        <v>94.496536899997807</v>
      </c>
      <c r="H1399" s="7">
        <f>(F1399-G1399)/Speed_Calc!G$2*9.806</f>
        <v>-260.00027204922708</v>
      </c>
      <c r="I1399" s="4">
        <f t="shared" si="89"/>
        <v>37.861111111110553</v>
      </c>
    </row>
    <row r="1400" spans="1:9" x14ac:dyDescent="0.2">
      <c r="A1400" s="11">
        <v>136.39999999999799</v>
      </c>
      <c r="B1400" s="15">
        <v>3.133</v>
      </c>
      <c r="C1400" s="11">
        <f t="shared" si="86"/>
        <v>17676.067569868959</v>
      </c>
      <c r="D1400" s="11">
        <f t="shared" si="87"/>
        <v>-20125.901469613917</v>
      </c>
      <c r="E1400" s="11">
        <f t="shared" si="88"/>
        <v>-39838.661266831637</v>
      </c>
      <c r="F1400" s="11">
        <f>Speed_Calc!B$5*E1400</f>
        <v>-35854.795140148475</v>
      </c>
      <c r="G1400" s="15">
        <f>Speed_Calc!G$3+Speed_Calc!G$5*A1400^2</f>
        <v>94.605889599997781</v>
      </c>
      <c r="H1400" s="7">
        <f>(F1400-G1400)/Speed_Calc!G$2*9.806</f>
        <v>-261.12579740571368</v>
      </c>
      <c r="I1400" s="4">
        <f t="shared" si="89"/>
        <v>37.888888888888332</v>
      </c>
    </row>
    <row r="1401" spans="1:9" x14ac:dyDescent="0.2">
      <c r="A1401" s="11">
        <v>136.49999999999801</v>
      </c>
      <c r="B1401" s="15">
        <v>3.133</v>
      </c>
      <c r="C1401" s="11">
        <f t="shared" si="86"/>
        <v>17689.026563688509</v>
      </c>
      <c r="D1401" s="11">
        <f t="shared" si="87"/>
        <v>-20227.907140133862</v>
      </c>
      <c r="E1401" s="11">
        <f t="shared" si="88"/>
        <v>-40011.244892573071</v>
      </c>
      <c r="F1401" s="11">
        <f>Speed_Calc!B$5*E1401</f>
        <v>-36010.120403315763</v>
      </c>
      <c r="G1401" s="15">
        <f>Speed_Calc!G$3+Speed_Calc!G$5*A1401^2</f>
        <v>94.715322499997825</v>
      </c>
      <c r="H1401" s="7">
        <f>(F1401-G1401)/Speed_Calc!G$2*9.806</f>
        <v>-262.25482898322173</v>
      </c>
      <c r="I1401" s="4">
        <f t="shared" si="89"/>
        <v>37.91666666666611</v>
      </c>
    </row>
    <row r="1402" spans="1:9" x14ac:dyDescent="0.2">
      <c r="A1402" s="11">
        <v>136.599999999998</v>
      </c>
      <c r="B1402" s="15">
        <v>3.133</v>
      </c>
      <c r="C1402" s="11">
        <f t="shared" si="86"/>
        <v>17701.985557508062</v>
      </c>
      <c r="D1402" s="11">
        <f t="shared" si="87"/>
        <v>-20330.312507914594</v>
      </c>
      <c r="E1402" s="11">
        <f t="shared" si="88"/>
        <v>-40184.365864839092</v>
      </c>
      <c r="F1402" s="11">
        <f>Speed_Calc!B$5*E1402</f>
        <v>-36165.929278355186</v>
      </c>
      <c r="G1402" s="15">
        <f>Speed_Calc!G$3+Speed_Calc!G$5*A1402^2</f>
        <v>94.824835599997812</v>
      </c>
      <c r="H1402" s="7">
        <f>(F1402-G1402)/Speed_Calc!G$2*9.806</f>
        <v>-263.38737395662554</v>
      </c>
      <c r="I1402" s="4">
        <f t="shared" si="89"/>
        <v>37.944444444443889</v>
      </c>
    </row>
    <row r="1403" spans="1:9" x14ac:dyDescent="0.2">
      <c r="A1403" s="11">
        <v>136.699999999998</v>
      </c>
      <c r="B1403" s="15">
        <v>3.133</v>
      </c>
      <c r="C1403" s="11">
        <f t="shared" si="86"/>
        <v>17714.944551327615</v>
      </c>
      <c r="D1403" s="11">
        <f t="shared" si="87"/>
        <v>-20433.118726241613</v>
      </c>
      <c r="E1403" s="11">
        <f t="shared" si="88"/>
        <v>-40358.02528226273</v>
      </c>
      <c r="F1403" s="11">
        <f>Speed_Calc!B$5*E1403</f>
        <v>-36322.222754036455</v>
      </c>
      <c r="G1403" s="15">
        <f>Speed_Calc!G$3+Speed_Calc!G$5*A1403^2</f>
        <v>94.934428899997798</v>
      </c>
      <c r="H1403" s="7">
        <f>(F1403-G1403)/Speed_Calc!G$2*9.806</f>
        <v>-264.52343950805545</v>
      </c>
      <c r="I1403" s="4">
        <f t="shared" si="89"/>
        <v>37.972222222221667</v>
      </c>
    </row>
    <row r="1404" spans="1:9" x14ac:dyDescent="0.2">
      <c r="A1404" s="11">
        <v>136.79999999999799</v>
      </c>
      <c r="B1404" s="15">
        <v>3.133</v>
      </c>
      <c r="C1404" s="11">
        <f t="shared" si="86"/>
        <v>17727.903545147161</v>
      </c>
      <c r="D1404" s="11">
        <f t="shared" si="87"/>
        <v>-20536.32695059037</v>
      </c>
      <c r="E1404" s="11">
        <f t="shared" si="88"/>
        <v>-40532.224244586861</v>
      </c>
      <c r="F1404" s="11">
        <f>Speed_Calc!B$5*E1404</f>
        <v>-36479.001820128178</v>
      </c>
      <c r="G1404" s="15">
        <f>Speed_Calc!G$3+Speed_Calc!G$5*A1404^2</f>
        <v>95.044102399997797</v>
      </c>
      <c r="H1404" s="7">
        <f>(F1404-G1404)/Speed_Calc!G$2*9.806</f>
        <v>-265.66303282689722</v>
      </c>
      <c r="I1404" s="4">
        <f t="shared" si="89"/>
        <v>37.999999999999439</v>
      </c>
    </row>
    <row r="1405" spans="1:9" x14ac:dyDescent="0.2">
      <c r="A1405" s="11">
        <v>136.89999999999799</v>
      </c>
      <c r="B1405" s="15">
        <v>3.133</v>
      </c>
      <c r="C1405" s="11">
        <f t="shared" si="86"/>
        <v>17740.862538966714</v>
      </c>
      <c r="D1405" s="11">
        <f t="shared" si="87"/>
        <v>-20639.938338628595</v>
      </c>
      <c r="E1405" s="11">
        <f t="shared" si="88"/>
        <v>-40706.96385266474</v>
      </c>
      <c r="F1405" s="11">
        <f>Speed_Calc!B$5*E1405</f>
        <v>-36636.267467398269</v>
      </c>
      <c r="G1405" s="15">
        <f>Speed_Calc!G$3+Speed_Calc!G$5*A1405^2</f>
        <v>95.153856099997782</v>
      </c>
      <c r="H1405" s="7">
        <f>(F1405-G1405)/Speed_Calc!G$2*9.806</f>
        <v>-266.80616110979554</v>
      </c>
      <c r="I1405" s="4">
        <f t="shared" si="89"/>
        <v>38.027777777777217</v>
      </c>
    </row>
    <row r="1406" spans="1:9" x14ac:dyDescent="0.2">
      <c r="A1406" s="11">
        <v>136.99999999999801</v>
      </c>
      <c r="B1406" s="15">
        <v>3.133</v>
      </c>
      <c r="C1406" s="11">
        <f t="shared" si="86"/>
        <v>17753.821532786271</v>
      </c>
      <c r="D1406" s="11">
        <f t="shared" si="87"/>
        <v>-20743.954050217988</v>
      </c>
      <c r="E1406" s="11">
        <f t="shared" si="88"/>
        <v>-40882.245208459397</v>
      </c>
      <c r="F1406" s="11">
        <f>Speed_Calc!B$5*E1406</f>
        <v>-36794.020687613462</v>
      </c>
      <c r="G1406" s="15">
        <f>Speed_Calc!G$3+Speed_Calc!G$5*A1406^2</f>
        <v>95.263689999997808</v>
      </c>
      <c r="H1406" s="7">
        <f>(F1406-G1406)/Speed_Calc!G$2*9.806</f>
        <v>-267.95283156065005</v>
      </c>
      <c r="I1406" s="4">
        <f t="shared" si="89"/>
        <v>38.055555555555003</v>
      </c>
    </row>
    <row r="1407" spans="1:9" x14ac:dyDescent="0.2">
      <c r="A1407" s="11">
        <v>137.099999999998</v>
      </c>
      <c r="B1407" s="15">
        <v>3.133</v>
      </c>
      <c r="C1407" s="11">
        <f t="shared" si="86"/>
        <v>17766.780526605828</v>
      </c>
      <c r="D1407" s="11">
        <f t="shared" si="87"/>
        <v>-20848.375247416367</v>
      </c>
      <c r="E1407" s="11">
        <f t="shared" si="88"/>
        <v>-41058.069415043763</v>
      </c>
      <c r="F1407" s="11">
        <f>Speed_Calc!B$5*E1407</f>
        <v>-36952.262473539391</v>
      </c>
      <c r="G1407" s="15">
        <f>Speed_Calc!G$3+Speed_Calc!G$5*A1407^2</f>
        <v>95.373604099997806</v>
      </c>
      <c r="H1407" s="7">
        <f>(F1407-G1407)/Speed_Calc!G$2*9.806</f>
        <v>-269.1030513906162</v>
      </c>
      <c r="I1407" s="4">
        <f t="shared" si="89"/>
        <v>38.083333333332781</v>
      </c>
    </row>
    <row r="1408" spans="1:9" x14ac:dyDescent="0.2">
      <c r="A1408" s="11">
        <v>137.199999999998</v>
      </c>
      <c r="B1408" s="15">
        <v>3.133</v>
      </c>
      <c r="C1408" s="11">
        <f t="shared" si="86"/>
        <v>17779.739520425373</v>
      </c>
      <c r="D1408" s="11">
        <f t="shared" si="87"/>
        <v>-20953.20309447977</v>
      </c>
      <c r="E1408" s="11">
        <f t="shared" si="88"/>
        <v>-41234.437576600729</v>
      </c>
      <c r="F1408" s="11">
        <f>Speed_Calc!B$5*E1408</f>
        <v>-37110.99381894066</v>
      </c>
      <c r="G1408" s="15">
        <f>Speed_Calc!G$3+Speed_Calc!G$5*A1408^2</f>
        <v>95.483598399997788</v>
      </c>
      <c r="H1408" s="7">
        <f>(F1408-G1408)/Speed_Calc!G$2*9.806</f>
        <v>-270.25682781810553</v>
      </c>
      <c r="I1408" s="4">
        <f t="shared" si="89"/>
        <v>38.111111111110553</v>
      </c>
    </row>
    <row r="1409" spans="1:9" x14ac:dyDescent="0.2">
      <c r="A1409" s="11">
        <v>137.29999999999799</v>
      </c>
      <c r="B1409" s="15">
        <v>3.133</v>
      </c>
      <c r="C1409" s="11">
        <f t="shared" si="86"/>
        <v>17792.69851424493</v>
      </c>
      <c r="D1409" s="11">
        <f t="shared" si="87"/>
        <v>-21058.438757864842</v>
      </c>
      <c r="E1409" s="11">
        <f t="shared" si="88"/>
        <v>-41411.350798423817</v>
      </c>
      <c r="F1409" s="11">
        <f>Speed_Calc!B$5*E1409</f>
        <v>-37270.215718581436</v>
      </c>
      <c r="G1409" s="15">
        <f>Speed_Calc!G$3+Speed_Calc!G$5*A1409^2</f>
        <v>95.593672899997784</v>
      </c>
      <c r="H1409" s="7">
        <f>(F1409-G1409)/Speed_Calc!G$2*9.806</f>
        <v>-271.41416806879027</v>
      </c>
      <c r="I1409" s="4">
        <f t="shared" si="89"/>
        <v>38.138888888888332</v>
      </c>
    </row>
    <row r="1410" spans="1:9" x14ac:dyDescent="0.2">
      <c r="A1410" s="11">
        <v>137.39999999999799</v>
      </c>
      <c r="B1410" s="15">
        <v>3.133</v>
      </c>
      <c r="C1410" s="11">
        <f t="shared" si="86"/>
        <v>17805.65750806448</v>
      </c>
      <c r="D1410" s="11">
        <f t="shared" si="87"/>
        <v>-21164.083406230122</v>
      </c>
      <c r="E1410" s="11">
        <f t="shared" si="88"/>
        <v>-41588.810186915696</v>
      </c>
      <c r="F1410" s="11">
        <f>Speed_Calc!B$5*E1410</f>
        <v>-37429.929168224131</v>
      </c>
      <c r="G1410" s="15">
        <f>Speed_Calc!G$3+Speed_Calc!G$5*A1410^2</f>
        <v>95.703827599997766</v>
      </c>
      <c r="H1410" s="7">
        <f>(F1410-G1410)/Speed_Calc!G$2*9.806</f>
        <v>-272.57507937559359</v>
      </c>
      <c r="I1410" s="4">
        <f t="shared" si="89"/>
        <v>38.16666666666611</v>
      </c>
    </row>
    <row r="1411" spans="1:9" x14ac:dyDescent="0.2">
      <c r="A1411" s="11">
        <v>137.49999999999801</v>
      </c>
      <c r="B1411" s="15">
        <v>3.133</v>
      </c>
      <c r="C1411" s="11">
        <f t="shared" si="86"/>
        <v>17818.616501884033</v>
      </c>
      <c r="D1411" s="11">
        <f t="shared" si="87"/>
        <v>-21270.138210438872</v>
      </c>
      <c r="E1411" s="11">
        <f t="shared" si="88"/>
        <v>-41766.816849589661</v>
      </c>
      <c r="F1411" s="11">
        <f>Speed_Calc!B$5*E1411</f>
        <v>-37590.135164630694</v>
      </c>
      <c r="G1411" s="15">
        <f>Speed_Calc!G$3+Speed_Calc!G$5*A1411^2</f>
        <v>95.814062499997803</v>
      </c>
      <c r="H1411" s="7">
        <f>(F1411-G1411)/Speed_Calc!G$2*9.806</f>
        <v>-273.73956897869886</v>
      </c>
      <c r="I1411" s="4">
        <f t="shared" si="89"/>
        <v>38.194444444443889</v>
      </c>
    </row>
    <row r="1412" spans="1:9" x14ac:dyDescent="0.2">
      <c r="A1412" s="11">
        <v>137.599999999998</v>
      </c>
      <c r="B1412" s="15">
        <v>3.133</v>
      </c>
      <c r="C1412" s="11">
        <f t="shared" si="86"/>
        <v>17831.575495703586</v>
      </c>
      <c r="D1412" s="11">
        <f t="shared" si="87"/>
        <v>-21376.604343560663</v>
      </c>
      <c r="E1412" s="11">
        <f t="shared" si="88"/>
        <v>-41945.371895068769</v>
      </c>
      <c r="F1412" s="11">
        <f>Speed_Calc!B$5*E1412</f>
        <v>-37750.834705561894</v>
      </c>
      <c r="G1412" s="15">
        <f>Speed_Calc!G$3+Speed_Calc!G$5*A1412^2</f>
        <v>95.924377599997797</v>
      </c>
      <c r="H1412" s="7">
        <f>(F1412-G1412)/Speed_Calc!G$2*9.806</f>
        <v>-274.90764412554483</v>
      </c>
      <c r="I1412" s="4">
        <f t="shared" si="89"/>
        <v>38.222222222221667</v>
      </c>
    </row>
    <row r="1413" spans="1:9" x14ac:dyDescent="0.2">
      <c r="A1413" s="11">
        <v>137.699999999998</v>
      </c>
      <c r="B1413" s="15">
        <v>3.133</v>
      </c>
      <c r="C1413" s="11">
        <f t="shared" si="86"/>
        <v>17844.534489523136</v>
      </c>
      <c r="D1413" s="11">
        <f t="shared" si="87"/>
        <v>-21483.482980873574</v>
      </c>
      <c r="E1413" s="11">
        <f t="shared" si="88"/>
        <v>-42124.476433086049</v>
      </c>
      <c r="F1413" s="11">
        <f>Speed_Calc!B$5*E1413</f>
        <v>-37912.028789777447</v>
      </c>
      <c r="G1413" s="15">
        <f>Speed_Calc!G$3+Speed_Calc!G$5*A1413^2</f>
        <v>96.034772899997776</v>
      </c>
      <c r="H1413" s="7">
        <f>(F1413-G1413)/Speed_Calc!G$2*9.806</f>
        <v>-276.07931207082595</v>
      </c>
      <c r="I1413" s="4">
        <f t="shared" si="89"/>
        <v>38.249999999999446</v>
      </c>
    </row>
    <row r="1414" spans="1:9" x14ac:dyDescent="0.2">
      <c r="A1414" s="11">
        <v>137.79999999999799</v>
      </c>
      <c r="B1414" s="15">
        <v>3.133</v>
      </c>
      <c r="C1414" s="11">
        <f t="shared" si="86"/>
        <v>17857.493483342681</v>
      </c>
      <c r="D1414" s="11">
        <f t="shared" si="87"/>
        <v>-21590.775299866269</v>
      </c>
      <c r="E1414" s="11">
        <f t="shared" si="88"/>
        <v>-42304.131574484607</v>
      </c>
      <c r="F1414" s="11">
        <f>Speed_Calc!B$5*E1414</f>
        <v>-38073.718417036151</v>
      </c>
      <c r="G1414" s="15">
        <f>Speed_Calc!G$3+Speed_Calc!G$5*A1414^2</f>
        <v>96.145248399997783</v>
      </c>
      <c r="H1414" s="7">
        <f>(F1414-G1414)/Speed_Calc!G$2*9.806</f>
        <v>-277.25458007649394</v>
      </c>
      <c r="I1414" s="4">
        <f t="shared" si="89"/>
        <v>38.277777777777217</v>
      </c>
    </row>
    <row r="1415" spans="1:9" x14ac:dyDescent="0.2">
      <c r="A1415" s="11">
        <v>137.89999999999799</v>
      </c>
      <c r="B1415" s="15">
        <v>3.133</v>
      </c>
      <c r="C1415" s="11">
        <f t="shared" si="86"/>
        <v>17870.452477162235</v>
      </c>
      <c r="D1415" s="11">
        <f t="shared" si="87"/>
        <v>-21698.482480240164</v>
      </c>
      <c r="E1415" s="11">
        <f t="shared" si="88"/>
        <v>-42484.338431217766</v>
      </c>
      <c r="F1415" s="11">
        <f>Speed_Calc!B$5*E1415</f>
        <v>-38235.904588095989</v>
      </c>
      <c r="G1415" s="15">
        <f>Speed_Calc!G$3+Speed_Calc!G$5*A1415^2</f>
        <v>96.255804099997761</v>
      </c>
      <c r="H1415" s="7">
        <f>(F1415-G1415)/Speed_Calc!G$2*9.806</f>
        <v>-278.43345541175842</v>
      </c>
      <c r="I1415" s="4">
        <f t="shared" si="89"/>
        <v>38.305555555554996</v>
      </c>
    </row>
    <row r="1416" spans="1:9" x14ac:dyDescent="0.2">
      <c r="A1416" s="11">
        <v>137.99999999999801</v>
      </c>
      <c r="B1416" s="15">
        <v>3.133</v>
      </c>
      <c r="C1416" s="11">
        <f t="shared" si="86"/>
        <v>17883.411470981795</v>
      </c>
      <c r="D1416" s="11">
        <f t="shared" si="87"/>
        <v>-21806.605703911202</v>
      </c>
      <c r="E1416" s="11">
        <f t="shared" si="88"/>
        <v>-42665.098116348621</v>
      </c>
      <c r="F1416" s="11">
        <f>Speed_Calc!B$5*E1416</f>
        <v>-38398.588304713761</v>
      </c>
      <c r="G1416" s="15">
        <f>Speed_Calc!G$3+Speed_Calc!G$5*A1416^2</f>
        <v>96.366439999997795</v>
      </c>
      <c r="H1416" s="7">
        <f>(F1416-G1416)/Speed_Calc!G$2*9.806</f>
        <v>-279.61594535308376</v>
      </c>
      <c r="I1416" s="4">
        <f t="shared" si="89"/>
        <v>38.333333333332781</v>
      </c>
    </row>
    <row r="1417" spans="1:9" x14ac:dyDescent="0.2">
      <c r="A1417" s="11">
        <v>138.099999999998</v>
      </c>
      <c r="B1417" s="15">
        <v>3.133</v>
      </c>
      <c r="C1417" s="11">
        <f t="shared" si="86"/>
        <v>17896.370464801337</v>
      </c>
      <c r="D1417" s="11">
        <f t="shared" si="87"/>
        <v>-21915.146155011869</v>
      </c>
      <c r="E1417" s="11">
        <f t="shared" si="88"/>
        <v>-42846.41174404991</v>
      </c>
      <c r="F1417" s="11">
        <f>Speed_Calc!B$5*E1417</f>
        <v>-38561.770569644919</v>
      </c>
      <c r="G1417" s="15">
        <f>Speed_Calc!G$3+Speed_Calc!G$5*A1417^2</f>
        <v>96.477156099997785</v>
      </c>
      <c r="H1417" s="7">
        <f>(F1417-G1417)/Speed_Calc!G$2*9.806</f>
        <v>-280.80205718418858</v>
      </c>
      <c r="I1417" s="4">
        <f t="shared" si="89"/>
        <v>38.361111111110553</v>
      </c>
    </row>
    <row r="1418" spans="1:9" x14ac:dyDescent="0.2">
      <c r="A1418" s="11">
        <v>138.199999999998</v>
      </c>
      <c r="B1418" s="15">
        <v>3.133</v>
      </c>
      <c r="C1418" s="11">
        <f t="shared" si="86"/>
        <v>17909.329458620894</v>
      </c>
      <c r="D1418" s="11">
        <f t="shared" si="87"/>
        <v>-22024.105019893937</v>
      </c>
      <c r="E1418" s="11">
        <f t="shared" si="88"/>
        <v>-43028.280429605278</v>
      </c>
      <c r="F1418" s="11">
        <f>Speed_Calc!B$5*E1418</f>
        <v>-38725.452386644749</v>
      </c>
      <c r="G1418" s="15">
        <f>Speed_Calc!G$3+Speed_Calc!G$5*A1418^2</f>
        <v>96.587952399997789</v>
      </c>
      <c r="H1418" s="7">
        <f>(F1418-G1418)/Speed_Calc!G$2*9.806</f>
        <v>-281.99179819605388</v>
      </c>
      <c r="I1418" s="4">
        <f t="shared" si="89"/>
        <v>38.388888888888332</v>
      </c>
    </row>
    <row r="1419" spans="1:9" x14ac:dyDescent="0.2">
      <c r="A1419" s="11">
        <v>138.29999999999799</v>
      </c>
      <c r="B1419" s="15">
        <v>3.133</v>
      </c>
      <c r="C1419" s="11">
        <f t="shared" si="86"/>
        <v>17922.288452440451</v>
      </c>
      <c r="D1419" s="11">
        <f t="shared" si="87"/>
        <v>-22133.483487129652</v>
      </c>
      <c r="E1419" s="11">
        <f t="shared" si="88"/>
        <v>-43210.705289407757</v>
      </c>
      <c r="F1419" s="11">
        <f>Speed_Calc!B$5*E1419</f>
        <v>-38889.634760466979</v>
      </c>
      <c r="G1419" s="15">
        <f>Speed_Calc!G$3+Speed_Calc!G$5*A1419^2</f>
        <v>96.698828899997778</v>
      </c>
      <c r="H1419" s="7">
        <f>(F1419-G1419)/Speed_Calc!G$2*9.806</f>
        <v>-283.185175686913</v>
      </c>
      <c r="I1419" s="4">
        <f t="shared" si="89"/>
        <v>38.41666666666611</v>
      </c>
    </row>
    <row r="1420" spans="1:9" x14ac:dyDescent="0.2">
      <c r="A1420" s="11">
        <v>138.39999999999799</v>
      </c>
      <c r="B1420" s="15">
        <v>3.133</v>
      </c>
      <c r="C1420" s="11">
        <f t="shared" si="86"/>
        <v>17935.24744626</v>
      </c>
      <c r="D1420" s="11">
        <f t="shared" si="87"/>
        <v>-22243.282747514106</v>
      </c>
      <c r="E1420" s="11">
        <f t="shared" si="88"/>
        <v>-43393.687440960217</v>
      </c>
      <c r="F1420" s="11">
        <f>Speed_Calc!B$5*E1420</f>
        <v>-39054.318696864197</v>
      </c>
      <c r="G1420" s="15">
        <f>Speed_Calc!G$3+Speed_Calc!G$5*A1420^2</f>
        <v>96.809785599997767</v>
      </c>
      <c r="H1420" s="7">
        <f>(F1420-G1420)/Speed_Calc!G$2*9.806</f>
        <v>-284.38219696225468</v>
      </c>
      <c r="I1420" s="4">
        <f t="shared" si="89"/>
        <v>38.444444444443882</v>
      </c>
    </row>
    <row r="1421" spans="1:9" x14ac:dyDescent="0.2">
      <c r="A1421" s="11">
        <v>138.49999999999801</v>
      </c>
      <c r="B1421" s="15">
        <v>3.133</v>
      </c>
      <c r="C1421" s="11">
        <f t="shared" si="86"/>
        <v>17948.206440079557</v>
      </c>
      <c r="D1421" s="11">
        <f t="shared" si="87"/>
        <v>-22353.503994067672</v>
      </c>
      <c r="E1421" s="11">
        <f t="shared" si="88"/>
        <v>-43577.228002876232</v>
      </c>
      <c r="F1421" s="11">
        <f>Speed_Calc!B$5*E1421</f>
        <v>-39219.505202588611</v>
      </c>
      <c r="G1421" s="15">
        <f>Speed_Calc!G$3+Speed_Calc!G$5*A1421^2</f>
        <v>96.920822499997797</v>
      </c>
      <c r="H1421" s="7">
        <f>(F1421-G1421)/Speed_Calc!G$2*9.806</f>
        <v>-285.58286933482879</v>
      </c>
      <c r="I1421" s="4">
        <f t="shared" si="89"/>
        <v>38.472222222221667</v>
      </c>
    </row>
    <row r="1422" spans="1:9" x14ac:dyDescent="0.2">
      <c r="A1422" s="11">
        <v>138.599999999998</v>
      </c>
      <c r="B1422" s="15">
        <v>3.133</v>
      </c>
      <c r="C1422" s="11">
        <f t="shared" si="86"/>
        <v>17961.165433899107</v>
      </c>
      <c r="D1422" s="11">
        <f t="shared" si="87"/>
        <v>-22464.148422037415</v>
      </c>
      <c r="E1422" s="11">
        <f t="shared" si="88"/>
        <v>-43761.328094878707</v>
      </c>
      <c r="F1422" s="11">
        <f>Speed_Calc!B$5*E1422</f>
        <v>-39385.195285390837</v>
      </c>
      <c r="G1422" s="15">
        <f>Speed_Calc!G$3+Speed_Calc!G$5*A1422^2</f>
        <v>97.03193959999777</v>
      </c>
      <c r="H1422" s="7">
        <f>(F1422-G1422)/Speed_Calc!G$2*9.806</f>
        <v>-286.78720012463714</v>
      </c>
      <c r="I1422" s="4">
        <f t="shared" si="89"/>
        <v>38.499999999999446</v>
      </c>
    </row>
    <row r="1423" spans="1:9" x14ac:dyDescent="0.2">
      <c r="A1423" s="11">
        <v>138.699999999998</v>
      </c>
      <c r="B1423" s="15">
        <v>3.133</v>
      </c>
      <c r="C1423" s="11">
        <f t="shared" ref="C1423:C1486" si="90">A1423/3.6/B$23/2/PI()*B$32*B$31*B1423*60</f>
        <v>17974.12442771866</v>
      </c>
      <c r="D1423" s="11">
        <f t="shared" ref="D1423:D1486" si="91">-4.687*10^(-17)*C1423^5+9.129*10^(-13)*C1423^4-6.175*10^(-9)*C1423^3+1.799*10^(-5)*C1423^2+6.502*10^(-3)*C1423</f>
        <v>-22575.217228899652</v>
      </c>
      <c r="E1423" s="11">
        <f t="shared" ref="E1423:E1486" si="92">D1423*75*B1423*B$31*B$32/B$23/C1423/2/PI()*60</f>
        <v>-43945.988837800956</v>
      </c>
      <c r="F1423" s="11">
        <f>Speed_Calc!B$5*E1423</f>
        <v>-39551.389954020859</v>
      </c>
      <c r="G1423" s="15">
        <f>Speed_Calc!G$3+Speed_Calc!G$5*A1423^2</f>
        <v>97.143136899997771</v>
      </c>
      <c r="H1423" s="7">
        <f>(F1423-G1423)/Speed_Calc!G$2*9.806</f>
        <v>-287.99519665894064</v>
      </c>
      <c r="I1423" s="4">
        <f t="shared" ref="I1423:I1486" si="93">A1423/3.6</f>
        <v>38.527777777777224</v>
      </c>
    </row>
    <row r="1424" spans="1:9" x14ac:dyDescent="0.2">
      <c r="A1424" s="11">
        <v>138.79999999999799</v>
      </c>
      <c r="B1424" s="15">
        <v>3.133</v>
      </c>
      <c r="C1424" s="11">
        <f t="shared" si="90"/>
        <v>17987.083421538206</v>
      </c>
      <c r="D1424" s="11">
        <f t="shared" si="91"/>
        <v>-22686.711614361655</v>
      </c>
      <c r="E1424" s="11">
        <f t="shared" si="92"/>
        <v>-44131.21135358599</v>
      </c>
      <c r="F1424" s="11">
        <f>Speed_Calc!B$5*E1424</f>
        <v>-39718.090218227393</v>
      </c>
      <c r="G1424" s="15">
        <f>Speed_Calc!G$3+Speed_Calc!G$5*A1424^2</f>
        <v>97.254414399997756</v>
      </c>
      <c r="H1424" s="7">
        <f>(F1424-G1424)/Speed_Calc!G$2*9.806</f>
        <v>-289.2068662722549</v>
      </c>
      <c r="I1424" s="4">
        <f t="shared" si="93"/>
        <v>38.555555555554996</v>
      </c>
    </row>
    <row r="1425" spans="1:9" x14ac:dyDescent="0.2">
      <c r="A1425" s="11">
        <v>138.89999999999799</v>
      </c>
      <c r="B1425" s="15">
        <v>3.133</v>
      </c>
      <c r="C1425" s="11">
        <f t="shared" si="90"/>
        <v>18000.042415357762</v>
      </c>
      <c r="D1425" s="11">
        <f t="shared" si="91"/>
        <v>-22798.632780364169</v>
      </c>
      <c r="E1425" s="11">
        <f t="shared" si="92"/>
        <v>-44316.99676528736</v>
      </c>
      <c r="F1425" s="11">
        <f>Speed_Calc!B$5*E1425</f>
        <v>-39885.297088758627</v>
      </c>
      <c r="G1425" s="15">
        <f>Speed_Calc!G$3+Speed_Calc!G$5*A1425^2</f>
        <v>97.365772099997756</v>
      </c>
      <c r="H1425" s="7">
        <f>(F1425-G1425)/Speed_Calc!G$2*9.806</f>
        <v>-290.42221630635532</v>
      </c>
      <c r="I1425" s="4">
        <f t="shared" si="93"/>
        <v>38.583333333332774</v>
      </c>
    </row>
    <row r="1426" spans="1:9" x14ac:dyDescent="0.2">
      <c r="A1426" s="11">
        <v>138.99999999999801</v>
      </c>
      <c r="B1426" s="15">
        <v>3.133</v>
      </c>
      <c r="C1426" s="11">
        <f t="shared" si="90"/>
        <v>18013.001409177316</v>
      </c>
      <c r="D1426" s="11">
        <f t="shared" si="91"/>
        <v>-22910.981931082893</v>
      </c>
      <c r="E1426" s="11">
        <f t="shared" si="92"/>
        <v>-44503.346197068131</v>
      </c>
      <c r="F1426" s="11">
        <f>Speed_Calc!B$5*E1426</f>
        <v>-40053.011577361322</v>
      </c>
      <c r="G1426" s="15">
        <f>Speed_Calc!G$3+Speed_Calc!G$5*A1426^2</f>
        <v>97.477209999997783</v>
      </c>
      <c r="H1426" s="7">
        <f>(F1426-G1426)/Speed_Calc!G$2*9.806</f>
        <v>-291.64125411027044</v>
      </c>
      <c r="I1426" s="4">
        <f t="shared" si="93"/>
        <v>38.61111111111056</v>
      </c>
    </row>
    <row r="1427" spans="1:9" x14ac:dyDescent="0.2">
      <c r="A1427" s="11">
        <v>139.099999999998</v>
      </c>
      <c r="B1427" s="15">
        <v>3.133</v>
      </c>
      <c r="C1427" s="11">
        <f t="shared" si="90"/>
        <v>18025.960402996865</v>
      </c>
      <c r="D1427" s="11">
        <f t="shared" si="91"/>
        <v>-23023.760272930806</v>
      </c>
      <c r="E1427" s="11">
        <f t="shared" si="92"/>
        <v>-44690.260774201342</v>
      </c>
      <c r="F1427" s="11">
        <f>Speed_Calc!B$5*E1427</f>
        <v>-40221.234696781212</v>
      </c>
      <c r="G1427" s="15">
        <f>Speed_Calc!G$3+Speed_Calc!G$5*A1427^2</f>
        <v>97.588728099997766</v>
      </c>
      <c r="H1427" s="7">
        <f>(F1427-G1427)/Speed_Calc!G$2*9.806</f>
        <v>-292.86398704028522</v>
      </c>
      <c r="I1427" s="4">
        <f t="shared" si="93"/>
        <v>38.638888888888332</v>
      </c>
    </row>
    <row r="1428" spans="1:9" x14ac:dyDescent="0.2">
      <c r="A1428" s="11">
        <v>139.199999999998</v>
      </c>
      <c r="B1428" s="15">
        <v>3.133</v>
      </c>
      <c r="C1428" s="11">
        <f t="shared" si="90"/>
        <v>18038.919396816415</v>
      </c>
      <c r="D1428" s="11">
        <f t="shared" si="91"/>
        <v>-23136.969014560393</v>
      </c>
      <c r="E1428" s="11">
        <f t="shared" si="92"/>
        <v>-44877.741623070375</v>
      </c>
      <c r="F1428" s="11">
        <f>Speed_Calc!B$5*E1428</f>
        <v>-40389.967460763335</v>
      </c>
      <c r="G1428" s="15">
        <f>Speed_Calc!G$3+Speed_Calc!G$5*A1428^2</f>
        <v>97.700326399997763</v>
      </c>
      <c r="H1428" s="7">
        <f>(F1428-G1428)/Speed_Calc!G$2*9.806</f>
        <v>-294.09042245994345</v>
      </c>
      <c r="I1428" s="4">
        <f t="shared" si="93"/>
        <v>38.66666666666611</v>
      </c>
    </row>
    <row r="1429" spans="1:9" x14ac:dyDescent="0.2">
      <c r="A1429" s="11">
        <v>139.29999999999799</v>
      </c>
      <c r="B1429" s="15">
        <v>3.133</v>
      </c>
      <c r="C1429" s="11">
        <f t="shared" si="90"/>
        <v>18051.878390635968</v>
      </c>
      <c r="D1429" s="11">
        <f t="shared" si="91"/>
        <v>-23250.609366865523</v>
      </c>
      <c r="E1429" s="11">
        <f t="shared" si="92"/>
        <v>-45065.78987116857</v>
      </c>
      <c r="F1429" s="11">
        <f>Speed_Calc!B$5*E1429</f>
        <v>-40559.210884051718</v>
      </c>
      <c r="G1429" s="15">
        <f>Speed_Calc!G$3+Speed_Calc!G$5*A1429^2</f>
        <v>97.81200489999776</v>
      </c>
      <c r="H1429" s="7">
        <f>(F1429-G1429)/Speed_Calc!G$2*9.806</f>
        <v>-295.32056774004485</v>
      </c>
      <c r="I1429" s="4">
        <f t="shared" si="93"/>
        <v>38.694444444443889</v>
      </c>
    </row>
    <row r="1430" spans="1:9" x14ac:dyDescent="0.2">
      <c r="A1430" s="11">
        <v>139.39999999999799</v>
      </c>
      <c r="B1430" s="15">
        <v>3.133</v>
      </c>
      <c r="C1430" s="11">
        <f t="shared" si="90"/>
        <v>18064.837384455517</v>
      </c>
      <c r="D1430" s="11">
        <f t="shared" si="91"/>
        <v>-23364.682542983363</v>
      </c>
      <c r="E1430" s="11">
        <f t="shared" si="92"/>
        <v>-45254.406647098993</v>
      </c>
      <c r="F1430" s="11">
        <f>Speed_Calc!B$5*E1430</f>
        <v>-40728.965982389098</v>
      </c>
      <c r="G1430" s="15">
        <f>Speed_Calc!G$3+Speed_Calc!G$5*A1430^2</f>
        <v>97.923763599997756</v>
      </c>
      <c r="H1430" s="7">
        <f>(F1430-G1430)/Speed_Calc!G$2*9.806</f>
        <v>-296.55443025864372</v>
      </c>
      <c r="I1430" s="4">
        <f t="shared" si="93"/>
        <v>38.72222222222166</v>
      </c>
    </row>
    <row r="1431" spans="1:9" x14ac:dyDescent="0.2">
      <c r="A1431" s="11">
        <v>139.49999999999801</v>
      </c>
      <c r="B1431" s="15">
        <v>3.133</v>
      </c>
      <c r="C1431" s="11">
        <f t="shared" si="90"/>
        <v>18077.796378275078</v>
      </c>
      <c r="D1431" s="11">
        <f t="shared" si="91"/>
        <v>-23479.189758296838</v>
      </c>
      <c r="E1431" s="11">
        <f t="shared" si="92"/>
        <v>-45443.59308057517</v>
      </c>
      <c r="F1431" s="11">
        <f>Speed_Calc!B$5*E1431</f>
        <v>-40899.233772517655</v>
      </c>
      <c r="G1431" s="15">
        <f>Speed_Calc!G$3+Speed_Calc!G$5*A1431^2</f>
        <v>98.035602499997765</v>
      </c>
      <c r="H1431" s="7">
        <f>(F1431-G1431)/Speed_Calc!G$2*9.806</f>
        <v>-297.79201740105412</v>
      </c>
      <c r="I1431" s="4">
        <f t="shared" si="93"/>
        <v>38.749999999999446</v>
      </c>
    </row>
    <row r="1432" spans="1:9" x14ac:dyDescent="0.2">
      <c r="A1432" s="11">
        <v>139.599999999998</v>
      </c>
      <c r="B1432" s="15">
        <v>3.133</v>
      </c>
      <c r="C1432" s="11">
        <f t="shared" si="90"/>
        <v>18090.755372094634</v>
      </c>
      <c r="D1432" s="11">
        <f t="shared" si="91"/>
        <v>-23594.132230436167</v>
      </c>
      <c r="E1432" s="11">
        <f t="shared" si="92"/>
        <v>-45633.350302420164</v>
      </c>
      <c r="F1432" s="11">
        <f>Speed_Calc!B$5*E1432</f>
        <v>-41070.015272178149</v>
      </c>
      <c r="G1432" s="15">
        <f>Speed_Calc!G$3+Speed_Calc!G$5*A1432^2</f>
        <v>98.147521599997759</v>
      </c>
      <c r="H1432" s="7">
        <f>(F1432-G1432)/Speed_Calc!G$2*9.806</f>
        <v>-299.03333655984329</v>
      </c>
      <c r="I1432" s="4">
        <f t="shared" si="93"/>
        <v>38.777777777777224</v>
      </c>
    </row>
    <row r="1433" spans="1:9" x14ac:dyDescent="0.2">
      <c r="A1433" s="11">
        <v>139.699999999998</v>
      </c>
      <c r="B1433" s="15">
        <v>3.133</v>
      </c>
      <c r="C1433" s="11">
        <f t="shared" si="90"/>
        <v>18103.71436591418</v>
      </c>
      <c r="D1433" s="11">
        <f t="shared" si="91"/>
        <v>-23709.511179281217</v>
      </c>
      <c r="E1433" s="11">
        <f t="shared" si="92"/>
        <v>-45823.679444567075</v>
      </c>
      <c r="F1433" s="11">
        <f>Speed_Calc!B$5*E1433</f>
        <v>-41241.311500110365</v>
      </c>
      <c r="G1433" s="15">
        <f>Speed_Calc!G$3+Speed_Calc!G$5*A1433^2</f>
        <v>98.259520899997753</v>
      </c>
      <c r="H1433" s="7">
        <f>(F1433-G1433)/Speed_Calc!G$2*9.806</f>
        <v>-300.27839513483525</v>
      </c>
      <c r="I1433" s="4">
        <f t="shared" si="93"/>
        <v>38.805555555554996</v>
      </c>
    </row>
    <row r="1434" spans="1:9" x14ac:dyDescent="0.2">
      <c r="A1434" s="11">
        <v>139.79999999999799</v>
      </c>
      <c r="B1434" s="15">
        <v>3.133</v>
      </c>
      <c r="C1434" s="11">
        <f t="shared" si="90"/>
        <v>18116.67335973373</v>
      </c>
      <c r="D1434" s="11">
        <f t="shared" si="91"/>
        <v>-23825.327826963781</v>
      </c>
      <c r="E1434" s="11">
        <f t="shared" si="92"/>
        <v>-46014.581640059463</v>
      </c>
      <c r="F1434" s="11">
        <f>Speed_Calc!B$5*E1434</f>
        <v>-41413.123476053515</v>
      </c>
      <c r="G1434" s="15">
        <f>Speed_Calc!G$3+Speed_Calc!G$5*A1434^2</f>
        <v>98.371600399997746</v>
      </c>
      <c r="H1434" s="7">
        <f>(F1434-G1434)/Speed_Calc!G$2*9.806</f>
        <v>-301.52720053311339</v>
      </c>
      <c r="I1434" s="4">
        <f t="shared" si="93"/>
        <v>38.833333333332774</v>
      </c>
    </row>
    <row r="1435" spans="1:9" x14ac:dyDescent="0.2">
      <c r="A1435" s="11">
        <v>139.89999999999799</v>
      </c>
      <c r="B1435" s="15">
        <v>3.133</v>
      </c>
      <c r="C1435" s="11">
        <f t="shared" si="90"/>
        <v>18129.632353553283</v>
      </c>
      <c r="D1435" s="11">
        <f t="shared" si="91"/>
        <v>-23941.583397869217</v>
      </c>
      <c r="E1435" s="11">
        <f t="shared" si="92"/>
        <v>-46206.058023050617</v>
      </c>
      <c r="F1435" s="11">
        <f>Speed_Calc!B$5*E1435</f>
        <v>-41585.452220745559</v>
      </c>
      <c r="G1435" s="15">
        <f>Speed_Calc!G$3+Speed_Calc!G$5*A1435^2</f>
        <v>98.483760099997738</v>
      </c>
      <c r="H1435" s="7">
        <f>(F1435-G1435)/Speed_Calc!G$2*9.806</f>
        <v>-302.77976016901596</v>
      </c>
      <c r="I1435" s="4">
        <f t="shared" si="93"/>
        <v>38.861111111110553</v>
      </c>
    </row>
    <row r="1436" spans="1:9" x14ac:dyDescent="0.2">
      <c r="A1436" s="11">
        <v>139.99999999999801</v>
      </c>
      <c r="B1436" s="15">
        <v>3.133</v>
      </c>
      <c r="C1436" s="11">
        <f t="shared" si="90"/>
        <v>18142.59134737284</v>
      </c>
      <c r="D1436" s="11">
        <f t="shared" si="91"/>
        <v>-24058.279118638668</v>
      </c>
      <c r="E1436" s="11">
        <f t="shared" si="92"/>
        <v>-46398.109728803807</v>
      </c>
      <c r="F1436" s="11">
        <f>Speed_Calc!B$5*E1436</f>
        <v>-41758.298755923424</v>
      </c>
      <c r="G1436" s="15">
        <f>Speed_Calc!G$3+Speed_Calc!G$5*A1436^2</f>
        <v>98.595999999997758</v>
      </c>
      <c r="H1436" s="7">
        <f>(F1436-G1436)/Speed_Calc!G$2*9.806</f>
        <v>-304.03608146413711</v>
      </c>
      <c r="I1436" s="4">
        <f t="shared" si="93"/>
        <v>38.888888888888339</v>
      </c>
    </row>
    <row r="1437" spans="1:9" x14ac:dyDescent="0.2">
      <c r="A1437" s="11">
        <v>140.099999999998</v>
      </c>
      <c r="B1437" s="15">
        <v>3.133</v>
      </c>
      <c r="C1437" s="11">
        <f t="shared" si="90"/>
        <v>18155.550341192386</v>
      </c>
      <c r="D1437" s="11">
        <f t="shared" si="91"/>
        <v>-24175.416218171038</v>
      </c>
      <c r="E1437" s="11">
        <f t="shared" si="92"/>
        <v>-46590.737893692189</v>
      </c>
      <c r="F1437" s="11">
        <f>Speed_Calc!B$5*E1437</f>
        <v>-41931.664104322968</v>
      </c>
      <c r="G1437" s="15">
        <f>Speed_Calc!G$3+Speed_Calc!G$5*A1437^2</f>
        <v>98.708320099997749</v>
      </c>
      <c r="H1437" s="7">
        <f>(F1437-G1437)/Speed_Calc!G$2*9.806</f>
        <v>-305.29617184732712</v>
      </c>
      <c r="I1437" s="4">
        <f t="shared" si="93"/>
        <v>38.91666666666611</v>
      </c>
    </row>
    <row r="1438" spans="1:9" x14ac:dyDescent="0.2">
      <c r="A1438" s="11">
        <v>140.199999999998</v>
      </c>
      <c r="B1438" s="15">
        <v>3.133</v>
      </c>
      <c r="C1438" s="11">
        <f t="shared" si="90"/>
        <v>18168.509335011939</v>
      </c>
      <c r="D1438" s="11">
        <f t="shared" si="91"/>
        <v>-24292.995927625343</v>
      </c>
      <c r="E1438" s="11">
        <f t="shared" si="92"/>
        <v>-46783.943655199269</v>
      </c>
      <c r="F1438" s="11">
        <f>Speed_Calc!B$5*E1438</f>
        <v>-42105.549289679344</v>
      </c>
      <c r="G1438" s="15">
        <f>Speed_Calc!G$3+Speed_Calc!G$5*A1438^2</f>
        <v>98.820720399997754</v>
      </c>
      <c r="H1438" s="7">
        <f>(F1438-G1438)/Speed_Calc!G$2*9.806</f>
        <v>-306.5600387546948</v>
      </c>
      <c r="I1438" s="4">
        <f t="shared" si="93"/>
        <v>38.944444444443889</v>
      </c>
    </row>
    <row r="1439" spans="1:9" x14ac:dyDescent="0.2">
      <c r="A1439" s="11">
        <v>140.29999999999799</v>
      </c>
      <c r="B1439" s="15">
        <v>3.133</v>
      </c>
      <c r="C1439" s="11">
        <f t="shared" si="90"/>
        <v>18181.468328831492</v>
      </c>
      <c r="D1439" s="11">
        <f t="shared" si="91"/>
        <v>-24411.019480422401</v>
      </c>
      <c r="E1439" s="11">
        <f t="shared" si="92"/>
        <v>-46977.728151918331</v>
      </c>
      <c r="F1439" s="11">
        <f>Speed_Calc!B$5*E1439</f>
        <v>-42279.955336726496</v>
      </c>
      <c r="G1439" s="15">
        <f>Speed_Calc!G$3+Speed_Calc!G$5*A1439^2</f>
        <v>98.933200899997729</v>
      </c>
      <c r="H1439" s="7">
        <f>(F1439-G1439)/Speed_Calc!G$2*9.806</f>
        <v>-307.82768962960398</v>
      </c>
      <c r="I1439" s="4">
        <f t="shared" si="93"/>
        <v>38.972222222221667</v>
      </c>
    </row>
    <row r="1440" spans="1:9" x14ac:dyDescent="0.2">
      <c r="A1440" s="11">
        <v>140.39999999999799</v>
      </c>
      <c r="B1440" s="15">
        <v>3.133</v>
      </c>
      <c r="C1440" s="11">
        <f t="shared" si="90"/>
        <v>18194.427322651038</v>
      </c>
      <c r="D1440" s="11">
        <f t="shared" si="91"/>
        <v>-24529.488112246992</v>
      </c>
      <c r="E1440" s="11">
        <f t="shared" si="92"/>
        <v>-47172.092523552601</v>
      </c>
      <c r="F1440" s="11">
        <f>Speed_Calc!B$5*E1440</f>
        <v>-42454.883271197345</v>
      </c>
      <c r="G1440" s="15">
        <f>Speed_Calc!G$3+Speed_Calc!G$5*A1440^2</f>
        <v>99.045761599997732</v>
      </c>
      <c r="H1440" s="7">
        <f>(F1440-G1440)/Speed_Calc!G$2*9.806</f>
        <v>-309.09913192267459</v>
      </c>
      <c r="I1440" s="4">
        <f t="shared" si="93"/>
        <v>38.999999999999439</v>
      </c>
    </row>
    <row r="1441" spans="1:9" x14ac:dyDescent="0.2">
      <c r="A1441" s="11">
        <v>140.49999999999801</v>
      </c>
      <c r="B1441" s="15">
        <v>3.133</v>
      </c>
      <c r="C1441" s="11">
        <f t="shared" si="90"/>
        <v>18207.386316470598</v>
      </c>
      <c r="D1441" s="11">
        <f t="shared" si="91"/>
        <v>-24648.403061050227</v>
      </c>
      <c r="E1441" s="11">
        <f t="shared" si="92"/>
        <v>-47367.037910915707</v>
      </c>
      <c r="F1441" s="11">
        <f>Speed_Calc!B$5*E1441</f>
        <v>-42630.33411982414</v>
      </c>
      <c r="G1441" s="15">
        <f>Speed_Calc!G$3+Speed_Calc!G$5*A1441^2</f>
        <v>99.158402499997749</v>
      </c>
      <c r="H1441" s="7">
        <f>(F1441-G1441)/Speed_Calc!G$2*9.806</f>
        <v>-310.37437309178551</v>
      </c>
      <c r="I1441" s="4">
        <f t="shared" si="93"/>
        <v>39.027777777777224</v>
      </c>
    </row>
    <row r="1442" spans="1:9" x14ac:dyDescent="0.2">
      <c r="A1442" s="11">
        <v>140.599999999998</v>
      </c>
      <c r="B1442" s="15">
        <v>3.133</v>
      </c>
      <c r="C1442" s="11">
        <f t="shared" si="90"/>
        <v>18220.345310290151</v>
      </c>
      <c r="D1442" s="11">
        <f t="shared" si="91"/>
        <v>-24767.76556705097</v>
      </c>
      <c r="E1442" s="11">
        <f t="shared" si="92"/>
        <v>-47562.565455930708</v>
      </c>
      <c r="F1442" s="11">
        <f>Speed_Calc!B$5*E1442</f>
        <v>-42806.308910337641</v>
      </c>
      <c r="G1442" s="15">
        <f>Speed_Calc!G$3+Speed_Calc!G$5*A1442^2</f>
        <v>99.27112359999775</v>
      </c>
      <c r="H1442" s="7">
        <f>(F1442-G1442)/Speed_Calc!G$2*9.806</f>
        <v>-311.65342060206848</v>
      </c>
      <c r="I1442" s="4">
        <f t="shared" si="93"/>
        <v>39.055555555555003</v>
      </c>
    </row>
    <row r="1443" spans="1:9" x14ac:dyDescent="0.2">
      <c r="A1443" s="11">
        <v>140.699999999998</v>
      </c>
      <c r="B1443" s="15">
        <v>3.133</v>
      </c>
      <c r="C1443" s="11">
        <f t="shared" si="90"/>
        <v>18233.304304109704</v>
      </c>
      <c r="D1443" s="11">
        <f t="shared" si="91"/>
        <v>-24887.57687273854</v>
      </c>
      <c r="E1443" s="11">
        <f t="shared" si="92"/>
        <v>-47758.676301631131</v>
      </c>
      <c r="F1443" s="11">
        <f>Speed_Calc!B$5*E1443</f>
        <v>-42982.808671468018</v>
      </c>
      <c r="G1443" s="15">
        <f>Speed_Calc!G$3+Speed_Calc!G$5*A1443^2</f>
        <v>99.383924899997737</v>
      </c>
      <c r="H1443" s="7">
        <f>(F1443-G1443)/Speed_Calc!G$2*9.806</f>
        <v>-312.93628192591467</v>
      </c>
      <c r="I1443" s="4">
        <f t="shared" si="93"/>
        <v>39.083333333332774</v>
      </c>
    </row>
    <row r="1444" spans="1:9" x14ac:dyDescent="0.2">
      <c r="A1444" s="11">
        <v>140.79999999999799</v>
      </c>
      <c r="B1444" s="15">
        <v>3.133</v>
      </c>
      <c r="C1444" s="11">
        <f t="shared" si="90"/>
        <v>18246.263297929254</v>
      </c>
      <c r="D1444" s="11">
        <f t="shared" si="91"/>
        <v>-25007.838222874288</v>
      </c>
      <c r="E1444" s="11">
        <f t="shared" si="92"/>
        <v>-47955.371592160191</v>
      </c>
      <c r="F1444" s="11">
        <f>Speed_Calc!B$5*E1444</f>
        <v>-43159.834432944175</v>
      </c>
      <c r="G1444" s="15">
        <f>Speed_Calc!G$3+Speed_Calc!G$5*A1444^2</f>
        <v>99.496806399997723</v>
      </c>
      <c r="H1444" s="7">
        <f>(F1444-G1444)/Speed_Calc!G$2*9.806</f>
        <v>-314.22296454296958</v>
      </c>
      <c r="I1444" s="4">
        <f t="shared" si="93"/>
        <v>39.111111111110553</v>
      </c>
    </row>
    <row r="1445" spans="1:9" x14ac:dyDescent="0.2">
      <c r="A1445" s="11">
        <v>140.89999999999799</v>
      </c>
      <c r="B1445" s="15">
        <v>3.133</v>
      </c>
      <c r="C1445" s="11">
        <f t="shared" si="90"/>
        <v>18259.222291748803</v>
      </c>
      <c r="D1445" s="11">
        <f t="shared" si="91"/>
        <v>-25128.550864494035</v>
      </c>
      <c r="E1445" s="11">
        <f t="shared" si="92"/>
        <v>-48152.652472771384</v>
      </c>
      <c r="F1445" s="11">
        <f>Speed_Calc!B$5*E1445</f>
        <v>-43337.387225494247</v>
      </c>
      <c r="G1445" s="15">
        <f>Speed_Calc!G$3+Speed_Calc!G$5*A1445^2</f>
        <v>99.609768099997723</v>
      </c>
      <c r="H1445" s="7">
        <f>(F1445-G1445)/Speed_Calc!G$2*9.806</f>
        <v>-315.51347594013714</v>
      </c>
      <c r="I1445" s="4">
        <f t="shared" si="93"/>
        <v>39.138888888888332</v>
      </c>
    </row>
    <row r="1446" spans="1:9" x14ac:dyDescent="0.2">
      <c r="A1446" s="11">
        <v>140.99999999999801</v>
      </c>
      <c r="B1446" s="15">
        <v>3.133</v>
      </c>
      <c r="C1446" s="11">
        <f t="shared" si="90"/>
        <v>18272.18128556836</v>
      </c>
      <c r="D1446" s="11">
        <f t="shared" si="91"/>
        <v>-25249.716046909911</v>
      </c>
      <c r="E1446" s="11">
        <f t="shared" si="92"/>
        <v>-48350.520089828169</v>
      </c>
      <c r="F1446" s="11">
        <f>Speed_Calc!B$5*E1446</f>
        <v>-43515.468080845356</v>
      </c>
      <c r="G1446" s="15">
        <f>Speed_Calc!G$3+Speed_Calc!G$5*A1446^2</f>
        <v>99.72280999999775</v>
      </c>
      <c r="H1446" s="7">
        <f>(F1446-G1446)/Speed_Calc!G$2*9.806</f>
        <v>-316.80782361157742</v>
      </c>
      <c r="I1446" s="4">
        <f t="shared" si="93"/>
        <v>39.16666666666611</v>
      </c>
    </row>
    <row r="1447" spans="1:9" x14ac:dyDescent="0.2">
      <c r="A1447" s="11">
        <v>141.099999999998</v>
      </c>
      <c r="B1447" s="15">
        <v>3.133</v>
      </c>
      <c r="C1447" s="11">
        <f t="shared" si="90"/>
        <v>18285.14027938791</v>
      </c>
      <c r="D1447" s="11">
        <f t="shared" si="91"/>
        <v>-25371.33502171229</v>
      </c>
      <c r="E1447" s="11">
        <f t="shared" si="92"/>
        <v>-48548.975590803806</v>
      </c>
      <c r="F1447" s="11">
        <f>Speed_Calc!B$5*E1447</f>
        <v>-43694.078031723424</v>
      </c>
      <c r="G1447" s="15">
        <f>Speed_Calc!G$3+Speed_Calc!G$5*A1447^2</f>
        <v>99.835932099997734</v>
      </c>
      <c r="H1447" s="7">
        <f>(F1447-G1447)/Speed_Calc!G$2*9.806</f>
        <v>-318.10601505870551</v>
      </c>
      <c r="I1447" s="4">
        <f t="shared" si="93"/>
        <v>39.194444444443889</v>
      </c>
    </row>
    <row r="1448" spans="1:9" x14ac:dyDescent="0.2">
      <c r="A1448" s="11">
        <v>141.199999999998</v>
      </c>
      <c r="B1448" s="15">
        <v>3.133</v>
      </c>
      <c r="C1448" s="11">
        <f t="shared" si="90"/>
        <v>18298.099273207459</v>
      </c>
      <c r="D1448" s="11">
        <f t="shared" si="91"/>
        <v>-25493.409042772146</v>
      </c>
      <c r="E1448" s="11">
        <f t="shared" si="92"/>
        <v>-48748.020124281713</v>
      </c>
      <c r="F1448" s="11">
        <f>Speed_Calc!B$5*E1448</f>
        <v>-43873.218111853545</v>
      </c>
      <c r="G1448" s="15">
        <f>Speed_Calc!G$3+Speed_Calc!G$5*A1448^2</f>
        <v>99.949134399997732</v>
      </c>
      <c r="H1448" s="7">
        <f>(F1448-G1448)/Speed_Calc!G$2*9.806</f>
        <v>-319.40805779019422</v>
      </c>
      <c r="I1448" s="4">
        <f t="shared" si="93"/>
        <v>39.222222222221667</v>
      </c>
    </row>
    <row r="1449" spans="1:9" x14ac:dyDescent="0.2">
      <c r="A1449" s="11">
        <v>141.29999999999799</v>
      </c>
      <c r="B1449" s="15">
        <v>3.133</v>
      </c>
      <c r="C1449" s="11">
        <f t="shared" si="90"/>
        <v>18311.058267027009</v>
      </c>
      <c r="D1449" s="11">
        <f t="shared" si="91"/>
        <v>-25615.939366242939</v>
      </c>
      <c r="E1449" s="11">
        <f t="shared" si="92"/>
        <v>-48947.654839955372</v>
      </c>
      <c r="F1449" s="11">
        <f>Speed_Calc!B$5*E1449</f>
        <v>-44052.889355959836</v>
      </c>
      <c r="G1449" s="15">
        <f>Speed_Calc!G$3+Speed_Calc!G$5*A1449^2</f>
        <v>100.06241689999771</v>
      </c>
      <c r="H1449" s="7">
        <f>(F1449-G1449)/Speed_Calc!G$2*9.806</f>
        <v>-320.71395932197299</v>
      </c>
      <c r="I1449" s="4">
        <f t="shared" si="93"/>
        <v>39.249999999999439</v>
      </c>
    </row>
    <row r="1450" spans="1:9" x14ac:dyDescent="0.2">
      <c r="A1450" s="11">
        <v>141.39999999999799</v>
      </c>
      <c r="B1450" s="15">
        <v>3.133</v>
      </c>
      <c r="C1450" s="11">
        <f t="shared" si="90"/>
        <v>18324.017260846562</v>
      </c>
      <c r="D1450" s="11">
        <f t="shared" si="91"/>
        <v>-25738.927250562709</v>
      </c>
      <c r="E1450" s="11">
        <f t="shared" si="92"/>
        <v>-49147.880888628235</v>
      </c>
      <c r="F1450" s="11">
        <f>Speed_Calc!B$5*E1450</f>
        <v>-44233.092799765414</v>
      </c>
      <c r="G1450" s="15">
        <f>Speed_Calc!G$3+Speed_Calc!G$5*A1450^2</f>
        <v>100.17577959999771</v>
      </c>
      <c r="H1450" s="7">
        <f>(F1450-G1450)/Speed_Calc!G$2*9.806</f>
        <v>-322.0237271772275</v>
      </c>
      <c r="I1450" s="4">
        <f t="shared" si="93"/>
        <v>39.277777777777217</v>
      </c>
    </row>
    <row r="1451" spans="1:9" x14ac:dyDescent="0.2">
      <c r="A1451" s="11">
        <v>141.49999999999801</v>
      </c>
      <c r="B1451" s="15">
        <v>3.133</v>
      </c>
      <c r="C1451" s="11">
        <f t="shared" si="90"/>
        <v>18336.976254666119</v>
      </c>
      <c r="D1451" s="11">
        <f t="shared" si="91"/>
        <v>-25862.373956456104</v>
      </c>
      <c r="E1451" s="11">
        <f t="shared" si="92"/>
        <v>-49348.699422213766</v>
      </c>
      <c r="F1451" s="11">
        <f>Speed_Calc!B$5*E1451</f>
        <v>-44413.82947999239</v>
      </c>
      <c r="G1451" s="15">
        <f>Speed_Calc!G$3+Speed_Calc!G$5*A1451^2</f>
        <v>100.28922249999773</v>
      </c>
      <c r="H1451" s="7">
        <f>(F1451-G1451)/Speed_Calc!G$2*9.806</f>
        <v>-323.33736888640021</v>
      </c>
      <c r="I1451" s="4">
        <f t="shared" si="93"/>
        <v>39.305555555555003</v>
      </c>
    </row>
    <row r="1452" spans="1:9" x14ac:dyDescent="0.2">
      <c r="A1452" s="11">
        <v>141.599999999998</v>
      </c>
      <c r="B1452" s="15">
        <v>3.133</v>
      </c>
      <c r="C1452" s="11">
        <f t="shared" si="90"/>
        <v>18349.935248485672</v>
      </c>
      <c r="D1452" s="11">
        <f t="shared" si="91"/>
        <v>-25986.280746936325</v>
      </c>
      <c r="E1452" s="11">
        <f t="shared" si="92"/>
        <v>-49550.111593735208</v>
      </c>
      <c r="F1452" s="11">
        <f>Speed_Calc!B$5*E1452</f>
        <v>-44595.100434361688</v>
      </c>
      <c r="G1452" s="15">
        <f>Speed_Calc!G$3+Speed_Calc!G$5*A1452^2</f>
        <v>100.40274559999773</v>
      </c>
      <c r="H1452" s="7">
        <f>(F1452-G1452)/Speed_Calc!G$2*9.806</f>
        <v>-324.65489198718831</v>
      </c>
      <c r="I1452" s="4">
        <f t="shared" si="93"/>
        <v>39.333333333332781</v>
      </c>
    </row>
    <row r="1453" spans="1:9" x14ac:dyDescent="0.2">
      <c r="A1453" s="11">
        <v>141.699999999998</v>
      </c>
      <c r="B1453" s="15">
        <v>3.133</v>
      </c>
      <c r="C1453" s="11">
        <f t="shared" si="90"/>
        <v>18362.894242305221</v>
      </c>
      <c r="D1453" s="11">
        <f t="shared" si="91"/>
        <v>-26110.648887307449</v>
      </c>
      <c r="E1453" s="11">
        <f t="shared" si="92"/>
        <v>-49752.118557326117</v>
      </c>
      <c r="F1453" s="11">
        <f>Speed_Calc!B$5*E1453</f>
        <v>-44776.906701593507</v>
      </c>
      <c r="G1453" s="15">
        <f>Speed_Calc!G$3+Speed_Calc!G$5*A1453^2</f>
        <v>100.51634889999771</v>
      </c>
      <c r="H1453" s="7">
        <f>(F1453-G1453)/Speed_Calc!G$2*9.806</f>
        <v>-325.97630402454757</v>
      </c>
      <c r="I1453" s="4">
        <f t="shared" si="93"/>
        <v>39.361111111110553</v>
      </c>
    </row>
    <row r="1454" spans="1:9" x14ac:dyDescent="0.2">
      <c r="A1454" s="11">
        <v>141.79999999999799</v>
      </c>
      <c r="B1454" s="15">
        <v>3.133</v>
      </c>
      <c r="C1454" s="11">
        <f t="shared" si="90"/>
        <v>18375.853236124774</v>
      </c>
      <c r="D1454" s="11">
        <f t="shared" si="91"/>
        <v>-26235.479645166371</v>
      </c>
      <c r="E1454" s="11">
        <f t="shared" si="92"/>
        <v>-49954.721468230047</v>
      </c>
      <c r="F1454" s="11">
        <f>Speed_Calc!B$5*E1454</f>
        <v>-44959.249321407042</v>
      </c>
      <c r="G1454" s="15">
        <f>Speed_Calc!G$3+Speed_Calc!G$5*A1454^2</f>
        <v>100.6300323999977</v>
      </c>
      <c r="H1454" s="7">
        <f>(F1454-G1454)/Speed_Calc!G$2*9.806</f>
        <v>-327.30161255069021</v>
      </c>
      <c r="I1454" s="4">
        <f t="shared" si="93"/>
        <v>39.388888888888332</v>
      </c>
    </row>
    <row r="1455" spans="1:9" x14ac:dyDescent="0.2">
      <c r="A1455" s="11">
        <v>141.89999999999799</v>
      </c>
      <c r="B1455" s="15">
        <v>3.133</v>
      </c>
      <c r="C1455" s="11">
        <f t="shared" si="90"/>
        <v>18388.812229944331</v>
      </c>
      <c r="D1455" s="11">
        <f t="shared" si="91"/>
        <v>-26360.774290404745</v>
      </c>
      <c r="E1455" s="11">
        <f t="shared" si="92"/>
        <v>-50157.921482800426</v>
      </c>
      <c r="F1455" s="11">
        <f>Speed_Calc!B$5*E1455</f>
        <v>-45142.129334520381</v>
      </c>
      <c r="G1455" s="15">
        <f>Speed_Calc!G$3+Speed_Calc!G$5*A1455^2</f>
        <v>100.74379609999771</v>
      </c>
      <c r="H1455" s="7">
        <f>(F1455-G1455)/Speed_Calc!G$2*9.806</f>
        <v>-328.63082512508396</v>
      </c>
      <c r="I1455" s="4">
        <f t="shared" si="93"/>
        <v>39.41666666666611</v>
      </c>
    </row>
    <row r="1456" spans="1:9" x14ac:dyDescent="0.2">
      <c r="A1456" s="11">
        <v>141.99999999999801</v>
      </c>
      <c r="B1456" s="15">
        <v>3.133</v>
      </c>
      <c r="C1456" s="11">
        <f t="shared" si="90"/>
        <v>18401.771223763884</v>
      </c>
      <c r="D1456" s="11">
        <f t="shared" si="91"/>
        <v>-26486.534095211067</v>
      </c>
      <c r="E1456" s="11">
        <f t="shared" si="92"/>
        <v>-50361.719758500614</v>
      </c>
      <c r="F1456" s="11">
        <f>Speed_Calc!B$5*E1456</f>
        <v>-45325.547782650552</v>
      </c>
      <c r="G1456" s="15">
        <f>Speed_Calc!G$3+Speed_Calc!G$5*A1456^2</f>
        <v>100.85763999999773</v>
      </c>
      <c r="H1456" s="7">
        <f>(F1456-G1456)/Speed_Calc!G$2*9.806</f>
        <v>-329.96394931445275</v>
      </c>
      <c r="I1456" s="4">
        <f t="shared" si="93"/>
        <v>39.444444444443889</v>
      </c>
    </row>
    <row r="1457" spans="1:9" x14ac:dyDescent="0.2">
      <c r="A1457" s="11">
        <v>142.099999999998</v>
      </c>
      <c r="B1457" s="15">
        <v>3.133</v>
      </c>
      <c r="C1457" s="11">
        <f t="shared" si="90"/>
        <v>18414.730217583434</v>
      </c>
      <c r="D1457" s="11">
        <f t="shared" si="91"/>
        <v>-26612.760334072867</v>
      </c>
      <c r="E1457" s="11">
        <f t="shared" si="92"/>
        <v>-50566.117453904117</v>
      </c>
      <c r="F1457" s="11">
        <f>Speed_Calc!B$5*E1457</f>
        <v>-45509.505708513709</v>
      </c>
      <c r="G1457" s="15">
        <f>Speed_Calc!G$3+Speed_Calc!G$5*A1457^2</f>
        <v>100.97156409999772</v>
      </c>
      <c r="H1457" s="7">
        <f>(F1457-G1457)/Speed_Calc!G$2*9.806</f>
        <v>-331.30099269277775</v>
      </c>
      <c r="I1457" s="4">
        <f t="shared" si="93"/>
        <v>39.472222222221667</v>
      </c>
    </row>
    <row r="1458" spans="1:9" x14ac:dyDescent="0.2">
      <c r="A1458" s="11">
        <v>142.199999999998</v>
      </c>
      <c r="B1458" s="15">
        <v>3.133</v>
      </c>
      <c r="C1458" s="11">
        <f t="shared" si="90"/>
        <v>18427.689211402991</v>
      </c>
      <c r="D1458" s="11">
        <f t="shared" si="91"/>
        <v>-26739.454283778807</v>
      </c>
      <c r="E1458" s="11">
        <f t="shared" si="92"/>
        <v>-50771.115728694647</v>
      </c>
      <c r="F1458" s="11">
        <f>Speed_Calc!B$5*E1458</f>
        <v>-45694.004155825183</v>
      </c>
      <c r="G1458" s="15">
        <f>Speed_Calc!G$3+Speed_Calc!G$5*A1458^2</f>
        <v>101.08556839999771</v>
      </c>
      <c r="H1458" s="7">
        <f>(F1458-G1458)/Speed_Calc!G$2*9.806</f>
        <v>-332.64196284129787</v>
      </c>
      <c r="I1458" s="4">
        <f t="shared" si="93"/>
        <v>39.499999999999446</v>
      </c>
    </row>
    <row r="1459" spans="1:9" x14ac:dyDescent="0.2">
      <c r="A1459" s="11">
        <v>142.29999999999799</v>
      </c>
      <c r="B1459" s="15">
        <v>3.133</v>
      </c>
      <c r="C1459" s="11">
        <f t="shared" si="90"/>
        <v>18440.648205222533</v>
      </c>
      <c r="D1459" s="11">
        <f t="shared" si="91"/>
        <v>-26866.617223420231</v>
      </c>
      <c r="E1459" s="11">
        <f t="shared" si="92"/>
        <v>-50976.715743665256</v>
      </c>
      <c r="F1459" s="11">
        <f>Speed_Calc!B$5*E1459</f>
        <v>-45879.04416929873</v>
      </c>
      <c r="G1459" s="15">
        <f>Speed_Calc!G$3+Speed_Calc!G$5*A1459^2</f>
        <v>101.1996528999977</v>
      </c>
      <c r="H1459" s="7">
        <f>(F1459-G1459)/Speed_Calc!G$2*9.806</f>
        <v>-333.98686734850418</v>
      </c>
      <c r="I1459" s="4">
        <f t="shared" si="93"/>
        <v>39.527777777777217</v>
      </c>
    </row>
    <row r="1460" spans="1:9" x14ac:dyDescent="0.2">
      <c r="A1460" s="11">
        <v>142.39999999999799</v>
      </c>
      <c r="B1460" s="15">
        <v>3.133</v>
      </c>
      <c r="C1460" s="11">
        <f t="shared" si="90"/>
        <v>18453.607199042086</v>
      </c>
      <c r="D1460" s="11">
        <f t="shared" si="91"/>
        <v>-26994.250434394122</v>
      </c>
      <c r="E1460" s="11">
        <f t="shared" si="92"/>
        <v>-51182.918660719923</v>
      </c>
      <c r="F1460" s="11">
        <f>Speed_Calc!B$5*E1460</f>
        <v>-46064.626794647935</v>
      </c>
      <c r="G1460" s="15">
        <f>Speed_Calc!G$3+Speed_Calc!G$5*A1460^2</f>
        <v>101.31381759999769</v>
      </c>
      <c r="H1460" s="7">
        <f>(F1460-G1460)/Speed_Calc!G$2*9.806</f>
        <v>-335.33571381015054</v>
      </c>
      <c r="I1460" s="4">
        <f t="shared" si="93"/>
        <v>39.555555555554996</v>
      </c>
    </row>
    <row r="1461" spans="1:9" x14ac:dyDescent="0.2">
      <c r="A1461" s="11">
        <v>142.49999999999801</v>
      </c>
      <c r="B1461" s="15">
        <v>3.133</v>
      </c>
      <c r="C1461" s="11">
        <f t="shared" si="90"/>
        <v>18466.566192861643</v>
      </c>
      <c r="D1461" s="11">
        <f t="shared" si="91"/>
        <v>-27122.355200404319</v>
      </c>
      <c r="E1461" s="11">
        <f t="shared" si="92"/>
        <v>-51389.725642872058</v>
      </c>
      <c r="F1461" s="11">
        <f>Speed_Calc!B$5*E1461</f>
        <v>-46250.75307858485</v>
      </c>
      <c r="G1461" s="15">
        <f>Speed_Calc!G$3+Speed_Calc!G$5*A1461^2</f>
        <v>101.42806249999772</v>
      </c>
      <c r="H1461" s="7">
        <f>(F1461-G1461)/Speed_Calc!G$2*9.806</f>
        <v>-336.68850982924295</v>
      </c>
      <c r="I1461" s="4">
        <f t="shared" si="93"/>
        <v>39.583333333332781</v>
      </c>
    </row>
    <row r="1462" spans="1:9" x14ac:dyDescent="0.2">
      <c r="A1462" s="11">
        <v>142.599999999998</v>
      </c>
      <c r="B1462" s="15">
        <v>3.133</v>
      </c>
      <c r="C1462" s="11">
        <f t="shared" si="90"/>
        <v>18479.525186681189</v>
      </c>
      <c r="D1462" s="11">
        <f t="shared" si="91"/>
        <v>-27250.932807463792</v>
      </c>
      <c r="E1462" s="11">
        <f t="shared" si="92"/>
        <v>-51597.137854244946</v>
      </c>
      <c r="F1462" s="11">
        <f>Speed_Calc!B$5*E1462</f>
        <v>-46437.424068820452</v>
      </c>
      <c r="G1462" s="15">
        <f>Speed_Calc!G$3+Speed_Calc!G$5*A1462^2</f>
        <v>101.54238759999771</v>
      </c>
      <c r="H1462" s="7">
        <f>(F1462-G1462)/Speed_Calc!G$2*9.806</f>
        <v>-338.04526301604363</v>
      </c>
      <c r="I1462" s="4">
        <f t="shared" si="93"/>
        <v>39.611111111110553</v>
      </c>
    </row>
    <row r="1463" spans="1:9" x14ac:dyDescent="0.2">
      <c r="A1463" s="11">
        <v>142.699999999998</v>
      </c>
      <c r="B1463" s="15">
        <v>3.133</v>
      </c>
      <c r="C1463" s="11">
        <f t="shared" si="90"/>
        <v>18492.484180500742</v>
      </c>
      <c r="D1463" s="11">
        <f t="shared" si="91"/>
        <v>-27379.984543897132</v>
      </c>
      <c r="E1463" s="11">
        <f t="shared" si="92"/>
        <v>-51805.156460072401</v>
      </c>
      <c r="F1463" s="11">
        <f>Speed_Calc!B$5*E1463</f>
        <v>-46624.640814065162</v>
      </c>
      <c r="G1463" s="15">
        <f>Speed_Calc!G$3+Speed_Calc!G$5*A1463^2</f>
        <v>101.65679289999771</v>
      </c>
      <c r="H1463" s="7">
        <f>(F1463-G1463)/Speed_Calc!G$2*9.806</f>
        <v>-339.4059809880743</v>
      </c>
      <c r="I1463" s="4">
        <f t="shared" si="93"/>
        <v>39.638888888888332</v>
      </c>
    </row>
    <row r="1464" spans="1:9" x14ac:dyDescent="0.2">
      <c r="A1464" s="11">
        <v>142.79999999999799</v>
      </c>
      <c r="B1464" s="15">
        <v>3.133</v>
      </c>
      <c r="C1464" s="11">
        <f t="shared" si="90"/>
        <v>18505.443174320295</v>
      </c>
      <c r="D1464" s="11">
        <f t="shared" si="91"/>
        <v>-27509.511700342035</v>
      </c>
      <c r="E1464" s="11">
        <f t="shared" si="92"/>
        <v>-52013.782626697859</v>
      </c>
      <c r="F1464" s="11">
        <f>Speed_Calc!B$5*E1464</f>
        <v>-46812.404364028072</v>
      </c>
      <c r="G1464" s="15">
        <f>Speed_Calc!G$3+Speed_Calc!G$5*A1464^2</f>
        <v>101.77127839999768</v>
      </c>
      <c r="H1464" s="7">
        <f>(F1464-G1464)/Speed_Calc!G$2*9.806</f>
        <v>-340.77067137011085</v>
      </c>
      <c r="I1464" s="4">
        <f t="shared" si="93"/>
        <v>39.66666666666611</v>
      </c>
    </row>
    <row r="1465" spans="1:9" x14ac:dyDescent="0.2">
      <c r="A1465" s="11">
        <v>142.89999999999799</v>
      </c>
      <c r="B1465" s="15">
        <v>3.133</v>
      </c>
      <c r="C1465" s="11">
        <f t="shared" si="90"/>
        <v>18518.402168139844</v>
      </c>
      <c r="D1465" s="11">
        <f t="shared" si="91"/>
        <v>-27639.515569751617</v>
      </c>
      <c r="E1465" s="11">
        <f t="shared" si="92"/>
        <v>-52223.017521574824</v>
      </c>
      <c r="F1465" s="11">
        <f>Speed_Calc!B$5*E1465</f>
        <v>-47000.715769417344</v>
      </c>
      <c r="G1465" s="15">
        <f>Speed_Calc!G$3+Speed_Calc!G$5*A1465^2</f>
        <v>101.88584409999768</v>
      </c>
      <c r="H1465" s="7">
        <f>(F1465-G1465)/Speed_Calc!G$2*9.806</f>
        <v>-342.13934179418595</v>
      </c>
      <c r="I1465" s="4">
        <f t="shared" si="93"/>
        <v>39.694444444443882</v>
      </c>
    </row>
    <row r="1466" spans="1:9" x14ac:dyDescent="0.2">
      <c r="A1466" s="11">
        <v>142.99999999999801</v>
      </c>
      <c r="B1466" s="15">
        <v>3.133</v>
      </c>
      <c r="C1466" s="11">
        <f t="shared" si="90"/>
        <v>18531.361161959401</v>
      </c>
      <c r="D1466" s="11">
        <f t="shared" si="91"/>
        <v>-27769.997447396599</v>
      </c>
      <c r="E1466" s="11">
        <f t="shared" si="92"/>
        <v>-52432.862313267047</v>
      </c>
      <c r="F1466" s="11">
        <f>Speed_Calc!B$5*E1466</f>
        <v>-47189.576081940344</v>
      </c>
      <c r="G1466" s="15">
        <f>Speed_Calc!G$3+Speed_Calc!G$5*A1466^2</f>
        <v>102.00048999999771</v>
      </c>
      <c r="H1466" s="7">
        <f>(F1466-G1466)/Speed_Calc!G$2*9.806</f>
        <v>-343.51199989959031</v>
      </c>
      <c r="I1466" s="4">
        <f t="shared" si="93"/>
        <v>39.722222222221667</v>
      </c>
    </row>
    <row r="1467" spans="1:9" x14ac:dyDescent="0.2">
      <c r="A1467" s="11">
        <v>143.099999999998</v>
      </c>
      <c r="B1467" s="15">
        <v>3.133</v>
      </c>
      <c r="C1467" s="11">
        <f t="shared" si="90"/>
        <v>18544.320155778958</v>
      </c>
      <c r="D1467" s="11">
        <f t="shared" si="91"/>
        <v>-27900.95863086704</v>
      </c>
      <c r="E1467" s="11">
        <f t="shared" si="92"/>
        <v>-52643.31817144798</v>
      </c>
      <c r="F1467" s="11">
        <f>Speed_Calc!B$5*E1467</f>
        <v>-47378.986354303182</v>
      </c>
      <c r="G1467" s="15">
        <f>Speed_Calc!G$3+Speed_Calc!G$5*A1467^2</f>
        <v>102.11521609999771</v>
      </c>
      <c r="H1467" s="7">
        <f>(F1467-G1467)/Speed_Calc!G$2*9.806</f>
        <v>-344.8886533328693</v>
      </c>
      <c r="I1467" s="4">
        <f t="shared" si="93"/>
        <v>39.749999999999446</v>
      </c>
    </row>
    <row r="1468" spans="1:9" x14ac:dyDescent="0.2">
      <c r="A1468" s="11">
        <v>143.199999999998</v>
      </c>
      <c r="B1468" s="15">
        <v>3.133</v>
      </c>
      <c r="C1468" s="11">
        <f t="shared" si="90"/>
        <v>18557.279149598511</v>
      </c>
      <c r="D1468" s="11">
        <f t="shared" si="91"/>
        <v>-28032.400420074584</v>
      </c>
      <c r="E1468" s="11">
        <f t="shared" si="92"/>
        <v>-52854.386266901143</v>
      </c>
      <c r="F1468" s="11">
        <f>Speed_Calc!B$5*E1468</f>
        <v>-47568.94764021103</v>
      </c>
      <c r="G1468" s="15">
        <f>Speed_Calc!G$3+Speed_Calc!G$5*A1468^2</f>
        <v>102.23002239999769</v>
      </c>
      <c r="H1468" s="7">
        <f>(F1468-G1468)/Speed_Calc!G$2*9.806</f>
        <v>-346.26930974782499</v>
      </c>
      <c r="I1468" s="4">
        <f t="shared" si="93"/>
        <v>39.777777777777224</v>
      </c>
    </row>
    <row r="1469" spans="1:9" x14ac:dyDescent="0.2">
      <c r="A1469" s="11">
        <v>143.29999999999799</v>
      </c>
      <c r="B1469" s="15">
        <v>3.133</v>
      </c>
      <c r="C1469" s="11">
        <f t="shared" si="90"/>
        <v>18570.238143418057</v>
      </c>
      <c r="D1469" s="11">
        <f t="shared" si="91"/>
        <v>-28164.324117254459</v>
      </c>
      <c r="E1469" s="11">
        <f t="shared" si="92"/>
        <v>-53066.067771519964</v>
      </c>
      <c r="F1469" s="11">
        <f>Speed_Calc!B$5*E1469</f>
        <v>-47759.460994367968</v>
      </c>
      <c r="G1469" s="15">
        <f>Speed_Calc!G$3+Speed_Calc!G$5*A1469^2</f>
        <v>102.34490889999769</v>
      </c>
      <c r="H1469" s="7">
        <f>(F1469-G1469)/Speed_Calc!G$2*9.806</f>
        <v>-347.6539768055153</v>
      </c>
      <c r="I1469" s="4">
        <f t="shared" si="93"/>
        <v>39.805555555554996</v>
      </c>
    </row>
    <row r="1470" spans="1:9" x14ac:dyDescent="0.2">
      <c r="A1470" s="11">
        <v>143.39999999999799</v>
      </c>
      <c r="B1470" s="15">
        <v>3.133</v>
      </c>
      <c r="C1470" s="11">
        <f t="shared" si="90"/>
        <v>18583.19713723761</v>
      </c>
      <c r="D1470" s="11">
        <f t="shared" si="91"/>
        <v>-28296.731026967864</v>
      </c>
      <c r="E1470" s="11">
        <f t="shared" si="92"/>
        <v>-53278.363858308439</v>
      </c>
      <c r="F1470" s="11">
        <f>Speed_Calc!B$5*E1470</f>
        <v>-47950.527472477595</v>
      </c>
      <c r="G1470" s="15">
        <f>Speed_Calc!G$3+Speed_Calc!G$5*A1470^2</f>
        <v>102.45987559999767</v>
      </c>
      <c r="H1470" s="7">
        <f>(F1470-G1470)/Speed_Calc!G$2*9.806</f>
        <v>-349.0426621742584</v>
      </c>
      <c r="I1470" s="4">
        <f t="shared" si="93"/>
        <v>39.833333333332774</v>
      </c>
    </row>
    <row r="1471" spans="1:9" x14ac:dyDescent="0.2">
      <c r="A1471" s="11">
        <v>143.49999999999801</v>
      </c>
      <c r="B1471" s="15">
        <v>3.133</v>
      </c>
      <c r="C1471" s="11">
        <f t="shared" si="90"/>
        <v>18596.156131057171</v>
      </c>
      <c r="D1471" s="11">
        <f t="shared" si="91"/>
        <v>-28429.622456103476</v>
      </c>
      <c r="E1471" s="11">
        <f t="shared" si="92"/>
        <v>-53491.275701380095</v>
      </c>
      <c r="F1471" s="11">
        <f>Speed_Calc!B$5*E1471</f>
        <v>-48142.148131242087</v>
      </c>
      <c r="G1471" s="15">
        <f>Speed_Calc!G$3+Speed_Calc!G$5*A1471^2</f>
        <v>102.5749224999977</v>
      </c>
      <c r="H1471" s="7">
        <f>(F1471-G1471)/Speed_Calc!G$2*9.806</f>
        <v>-350.43537352962585</v>
      </c>
      <c r="I1471" s="4">
        <f t="shared" si="93"/>
        <v>39.86111111111056</v>
      </c>
    </row>
    <row r="1472" spans="1:9" x14ac:dyDescent="0.2">
      <c r="A1472" s="11">
        <v>143.599999999998</v>
      </c>
      <c r="B1472" s="15">
        <v>3.133</v>
      </c>
      <c r="C1472" s="11">
        <f t="shared" si="90"/>
        <v>18609.115124876713</v>
      </c>
      <c r="D1472" s="11">
        <f t="shared" si="91"/>
        <v>-28562.999713879562</v>
      </c>
      <c r="E1472" s="11">
        <f t="shared" si="92"/>
        <v>-53704.804475958153</v>
      </c>
      <c r="F1472" s="11">
        <f>Speed_Calc!B$5*E1472</f>
        <v>-48334.324028362338</v>
      </c>
      <c r="G1472" s="15">
        <f>Speed_Calc!G$3+Speed_Calc!G$5*A1472^2</f>
        <v>102.69004959999769</v>
      </c>
      <c r="H1472" s="7">
        <f>(F1472-G1472)/Speed_Calc!G$2*9.806</f>
        <v>-351.83211855444341</v>
      </c>
      <c r="I1472" s="4">
        <f t="shared" si="93"/>
        <v>39.888888888888332</v>
      </c>
    </row>
    <row r="1473" spans="1:9" x14ac:dyDescent="0.2">
      <c r="A1473" s="11">
        <v>143.699999999998</v>
      </c>
      <c r="B1473" s="15">
        <v>3.133</v>
      </c>
      <c r="C1473" s="11">
        <f t="shared" si="90"/>
        <v>18622.07411869627</v>
      </c>
      <c r="D1473" s="11">
        <f t="shared" si="91"/>
        <v>-28696.864111846775</v>
      </c>
      <c r="E1473" s="11">
        <f t="shared" si="92"/>
        <v>-53918.951358376718</v>
      </c>
      <c r="F1473" s="11">
        <f>Speed_Calc!B$5*E1473</f>
        <v>-48527.056222539046</v>
      </c>
      <c r="G1473" s="15">
        <f>Speed_Calc!G$3+Speed_Calc!G$5*A1473^2</f>
        <v>102.80525689999769</v>
      </c>
      <c r="H1473" s="7">
        <f>(F1473-G1473)/Speed_Calc!G$2*9.806</f>
        <v>-353.23290493879944</v>
      </c>
      <c r="I1473" s="4">
        <f t="shared" si="93"/>
        <v>39.91666666666611</v>
      </c>
    </row>
    <row r="1474" spans="1:9" x14ac:dyDescent="0.2">
      <c r="A1474" s="11">
        <v>143.79999999999799</v>
      </c>
      <c r="B1474" s="15">
        <v>3.133</v>
      </c>
      <c r="C1474" s="11">
        <f t="shared" si="90"/>
        <v>18635.033112515819</v>
      </c>
      <c r="D1474" s="11">
        <f t="shared" si="91"/>
        <v>-28831.216963889161</v>
      </c>
      <c r="E1474" s="11">
        <f t="shared" si="92"/>
        <v>-54133.717526079148</v>
      </c>
      <c r="F1474" s="11">
        <f>Speed_Calc!B$5*E1474</f>
        <v>-48720.345773471236</v>
      </c>
      <c r="G1474" s="15">
        <f>Speed_Calc!G$3+Speed_Calc!G$5*A1474^2</f>
        <v>102.92054439999768</v>
      </c>
      <c r="H1474" s="7">
        <f>(F1474-G1474)/Speed_Calc!G$2*9.806</f>
        <v>-354.63774038003351</v>
      </c>
      <c r="I1474" s="4">
        <f t="shared" si="93"/>
        <v>39.944444444443889</v>
      </c>
    </row>
    <row r="1475" spans="1:9" x14ac:dyDescent="0.2">
      <c r="A1475" s="11">
        <v>143.89999999999799</v>
      </c>
      <c r="B1475" s="15">
        <v>3.133</v>
      </c>
      <c r="C1475" s="11">
        <f t="shared" si="90"/>
        <v>18647.992106335369</v>
      </c>
      <c r="D1475" s="11">
        <f t="shared" si="91"/>
        <v>-28966.05958622698</v>
      </c>
      <c r="E1475" s="11">
        <f t="shared" si="92"/>
        <v>-54349.104157619135</v>
      </c>
      <c r="F1475" s="11">
        <f>Speed_Calc!B$5*E1475</f>
        <v>-48914.19374185722</v>
      </c>
      <c r="G1475" s="15">
        <f>Speed_Calc!G$3+Speed_Calc!G$5*A1475^2</f>
        <v>103.03591209999767</v>
      </c>
      <c r="H1475" s="7">
        <f>(F1475-G1475)/Speed_Calc!G$2*9.806</f>
        <v>-356.046632582744</v>
      </c>
      <c r="I1475" s="4">
        <f t="shared" si="93"/>
        <v>39.97222222222166</v>
      </c>
    </row>
    <row r="1476" spans="1:9" x14ac:dyDescent="0.2">
      <c r="A1476" s="11">
        <v>143.99999999999801</v>
      </c>
      <c r="B1476" s="15">
        <v>3.133</v>
      </c>
      <c r="C1476" s="11">
        <f t="shared" si="90"/>
        <v>18660.951100154925</v>
      </c>
      <c r="D1476" s="11">
        <f t="shared" si="91"/>
        <v>-29101.393297418526</v>
      </c>
      <c r="E1476" s="11">
        <f t="shared" si="92"/>
        <v>-54565.112432660477</v>
      </c>
      <c r="F1476" s="11">
        <f>Speed_Calc!B$5*E1476</f>
        <v>-49108.601189394431</v>
      </c>
      <c r="G1476" s="15">
        <f>Speed_Calc!G$3+Speed_Calc!G$5*A1476^2</f>
        <v>103.15135999999769</v>
      </c>
      <c r="H1476" s="7">
        <f>(F1476-G1476)/Speed_Calc!G$2*9.806</f>
        <v>-357.45958925878642</v>
      </c>
      <c r="I1476" s="4">
        <f t="shared" si="93"/>
        <v>39.999999999999446</v>
      </c>
    </row>
    <row r="1477" spans="1:9" x14ac:dyDescent="0.2">
      <c r="A1477" s="11">
        <v>144.099999999998</v>
      </c>
      <c r="B1477" s="15">
        <v>3.133</v>
      </c>
      <c r="C1477" s="11">
        <f t="shared" si="90"/>
        <v>18673.910093974479</v>
      </c>
      <c r="D1477" s="11">
        <f t="shared" si="91"/>
        <v>-29237.219418361969</v>
      </c>
      <c r="E1477" s="11">
        <f t="shared" si="92"/>
        <v>-54781.743531976688</v>
      </c>
      <c r="F1477" s="11">
        <f>Speed_Calc!B$5*E1477</f>
        <v>-49303.56917877902</v>
      </c>
      <c r="G1477" s="15">
        <f>Speed_Calc!G$3+Speed_Calc!G$5*A1477^2</f>
        <v>103.2668880999977</v>
      </c>
      <c r="H1477" s="7">
        <f>(F1477-G1477)/Speed_Calc!G$2*9.806</f>
        <v>-358.87661812727083</v>
      </c>
      <c r="I1477" s="4">
        <f t="shared" si="93"/>
        <v>40.027777777777224</v>
      </c>
    </row>
    <row r="1478" spans="1:9" x14ac:dyDescent="0.2">
      <c r="A1478" s="11">
        <v>144.199999999998</v>
      </c>
      <c r="B1478" s="15">
        <v>3.133</v>
      </c>
      <c r="C1478" s="11">
        <f t="shared" si="90"/>
        <v>18686.869087794028</v>
      </c>
      <c r="D1478" s="11">
        <f t="shared" si="91"/>
        <v>-29373.539272297709</v>
      </c>
      <c r="E1478" s="11">
        <f t="shared" si="92"/>
        <v>-54998.998637451397</v>
      </c>
      <c r="F1478" s="11">
        <f>Speed_Calc!B$5*E1478</f>
        <v>-49499.098773706261</v>
      </c>
      <c r="G1478" s="15">
        <f>Speed_Calc!G$3+Speed_Calc!G$5*A1478^2</f>
        <v>103.38249639999769</v>
      </c>
      <c r="H1478" s="7">
        <f>(F1478-G1478)/Speed_Calc!G$2*9.806</f>
        <v>-360.29772691456435</v>
      </c>
      <c r="I1478" s="4">
        <f t="shared" si="93"/>
        <v>40.055555555554996</v>
      </c>
    </row>
    <row r="1479" spans="1:9" x14ac:dyDescent="0.2">
      <c r="A1479" s="11">
        <v>144.29999999999799</v>
      </c>
      <c r="B1479" s="15">
        <v>3.133</v>
      </c>
      <c r="C1479" s="11">
        <f t="shared" si="90"/>
        <v>18699.828081613581</v>
      </c>
      <c r="D1479" s="11">
        <f t="shared" si="91"/>
        <v>-29510.354184810367</v>
      </c>
      <c r="E1479" s="11">
        <f t="shared" si="92"/>
        <v>-55216.878932078369</v>
      </c>
      <c r="F1479" s="11">
        <f>Speed_Calc!B$5*E1479</f>
        <v>-49695.191038870536</v>
      </c>
      <c r="G1479" s="15">
        <f>Speed_Calc!G$3+Speed_Calc!G$5*A1479^2</f>
        <v>103.49818489999767</v>
      </c>
      <c r="H1479" s="7">
        <f>(F1479-G1479)/Speed_Calc!G$2*9.806</f>
        <v>-361.72292335429171</v>
      </c>
      <c r="I1479" s="4">
        <f t="shared" si="93"/>
        <v>40.083333333332774</v>
      </c>
    </row>
    <row r="1480" spans="1:9" x14ac:dyDescent="0.2">
      <c r="A1480" s="11">
        <v>144.39999999999799</v>
      </c>
      <c r="B1480" s="15">
        <v>3.133</v>
      </c>
      <c r="C1480" s="11">
        <f t="shared" si="90"/>
        <v>18712.787075433131</v>
      </c>
      <c r="D1480" s="11">
        <f t="shared" si="91"/>
        <v>-29647.665483830693</v>
      </c>
      <c r="E1480" s="11">
        <f t="shared" si="92"/>
        <v>-55435.385599961213</v>
      </c>
      <c r="F1480" s="11">
        <f>Speed_Calc!B$5*E1480</f>
        <v>-49891.847039965091</v>
      </c>
      <c r="G1480" s="15">
        <f>Speed_Calc!G$3+Speed_Calc!G$5*A1480^2</f>
        <v>103.61395359999766</v>
      </c>
      <c r="H1480" s="7">
        <f>(F1480-G1480)/Speed_Calc!G$2*9.806</f>
        <v>-363.15221518733273</v>
      </c>
      <c r="I1480" s="4">
        <f t="shared" si="93"/>
        <v>40.111111111110553</v>
      </c>
    </row>
    <row r="1481" spans="1:9" x14ac:dyDescent="0.2">
      <c r="A1481" s="11">
        <v>144.49999999999801</v>
      </c>
      <c r="B1481" s="15">
        <v>3.133</v>
      </c>
      <c r="C1481" s="11">
        <f t="shared" si="90"/>
        <v>18725.746069252691</v>
      </c>
      <c r="D1481" s="11">
        <f t="shared" si="91"/>
        <v>-29785.474499637923</v>
      </c>
      <c r="E1481" s="11">
        <f t="shared" si="92"/>
        <v>-55654.519826313837</v>
      </c>
      <c r="F1481" s="11">
        <f>Speed_Calc!B$5*E1481</f>
        <v>-50089.067843682453</v>
      </c>
      <c r="G1481" s="15">
        <f>Speed_Calc!G$3+Speed_Calc!G$5*A1481^2</f>
        <v>103.72980249999769</v>
      </c>
      <c r="H1481" s="7">
        <f>(F1481-G1481)/Speed_Calc!G$2*9.806</f>
        <v>-364.58561016182597</v>
      </c>
      <c r="I1481" s="4">
        <f t="shared" si="93"/>
        <v>40.138888888888339</v>
      </c>
    </row>
    <row r="1482" spans="1:9" x14ac:dyDescent="0.2">
      <c r="A1482" s="11">
        <v>144.599999999998</v>
      </c>
      <c r="B1482" s="15">
        <v>3.133</v>
      </c>
      <c r="C1482" s="11">
        <f t="shared" si="90"/>
        <v>18738.705063072241</v>
      </c>
      <c r="D1482" s="11">
        <f t="shared" si="91"/>
        <v>-29923.782564861296</v>
      </c>
      <c r="E1482" s="11">
        <f t="shared" si="92"/>
        <v>-55874.282797459629</v>
      </c>
      <c r="F1482" s="11">
        <f>Speed_Calc!B$5*E1482</f>
        <v>-50286.854517713669</v>
      </c>
      <c r="G1482" s="15">
        <f>Speed_Calc!G$3+Speed_Calc!G$5*A1482^2</f>
        <v>103.84573159999768</v>
      </c>
      <c r="H1482" s="7">
        <f>(F1482-G1482)/Speed_Calc!G$2*9.806</f>
        <v>-366.02311603316281</v>
      </c>
      <c r="I1482" s="4">
        <f t="shared" si="93"/>
        <v>40.16666666666611</v>
      </c>
    </row>
    <row r="1483" spans="1:9" x14ac:dyDescent="0.2">
      <c r="A1483" s="11">
        <v>144.699999999998</v>
      </c>
      <c r="B1483" s="15">
        <v>3.133</v>
      </c>
      <c r="C1483" s="11">
        <f t="shared" si="90"/>
        <v>18751.66405689179</v>
      </c>
      <c r="D1483" s="11">
        <f t="shared" si="91"/>
        <v>-30062.591014482743</v>
      </c>
      <c r="E1483" s="11">
        <f t="shared" si="92"/>
        <v>-56094.675700832435</v>
      </c>
      <c r="F1483" s="11">
        <f>Speed_Calc!B$5*E1483</f>
        <v>-50485.20813074919</v>
      </c>
      <c r="G1483" s="15">
        <f>Speed_Calc!G$3+Speed_Calc!G$5*A1483^2</f>
        <v>103.96174089999768</v>
      </c>
      <c r="H1483" s="7">
        <f>(F1483-G1483)/Speed_Calc!G$2*9.806</f>
        <v>-367.46474056399398</v>
      </c>
      <c r="I1483" s="4">
        <f t="shared" si="93"/>
        <v>40.194444444443889</v>
      </c>
    </row>
    <row r="1484" spans="1:9" x14ac:dyDescent="0.2">
      <c r="A1484" s="11">
        <v>144.79999999999799</v>
      </c>
      <c r="B1484" s="15">
        <v>3.133</v>
      </c>
      <c r="C1484" s="11">
        <f t="shared" si="90"/>
        <v>18764.62305071134</v>
      </c>
      <c r="D1484" s="11">
        <f t="shared" si="91"/>
        <v>-30201.901185838564</v>
      </c>
      <c r="E1484" s="11">
        <f t="shared" si="92"/>
        <v>-56315.699724976002</v>
      </c>
      <c r="F1484" s="11">
        <f>Speed_Calc!B$5*E1484</f>
        <v>-50684.129752478402</v>
      </c>
      <c r="G1484" s="15">
        <f>Speed_Calc!G$3+Speed_Calc!G$5*A1484^2</f>
        <v>104.07783039999767</v>
      </c>
      <c r="H1484" s="7">
        <f>(F1484-G1484)/Speed_Calc!G$2*9.806</f>
        <v>-368.9104915242263</v>
      </c>
      <c r="I1484" s="4">
        <f t="shared" si="93"/>
        <v>40.222222222221667</v>
      </c>
    </row>
    <row r="1485" spans="1:9" x14ac:dyDescent="0.2">
      <c r="A1485" s="11">
        <v>144.89999999999799</v>
      </c>
      <c r="B1485" s="15">
        <v>3.133</v>
      </c>
      <c r="C1485" s="11">
        <f t="shared" si="90"/>
        <v>18777.582044530893</v>
      </c>
      <c r="D1485" s="11">
        <f t="shared" si="91"/>
        <v>-30341.71441862157</v>
      </c>
      <c r="E1485" s="11">
        <f t="shared" si="92"/>
        <v>-56537.356059544087</v>
      </c>
      <c r="F1485" s="11">
        <f>Speed_Calc!B$5*E1485</f>
        <v>-50883.620453589676</v>
      </c>
      <c r="G1485" s="15">
        <f>Speed_Calc!G$3+Speed_Calc!G$5*A1485^2</f>
        <v>104.19400009999765</v>
      </c>
      <c r="H1485" s="7">
        <f>(F1485-G1485)/Speed_Calc!G$2*9.806</f>
        <v>-370.36037669102291</v>
      </c>
      <c r="I1485" s="4">
        <f t="shared" si="93"/>
        <v>40.249999999999439</v>
      </c>
    </row>
    <row r="1486" spans="1:9" x14ac:dyDescent="0.2">
      <c r="A1486" s="11">
        <v>144.99999999999801</v>
      </c>
      <c r="B1486" s="15">
        <v>3.133</v>
      </c>
      <c r="C1486" s="11">
        <f t="shared" si="90"/>
        <v>18790.541038350446</v>
      </c>
      <c r="D1486" s="11">
        <f t="shared" si="91"/>
        <v>-30482.032054883108</v>
      </c>
      <c r="E1486" s="11">
        <f t="shared" si="92"/>
        <v>-56759.64589530036</v>
      </c>
      <c r="F1486" s="11">
        <f>Speed_Calc!B$5*E1486</f>
        <v>-51083.681305770326</v>
      </c>
      <c r="G1486" s="15">
        <f>Speed_Calc!G$3+Speed_Calc!G$5*A1486^2</f>
        <v>104.31024999999768</v>
      </c>
      <c r="H1486" s="7">
        <f>(F1486-G1486)/Speed_Calc!G$2*9.806</f>
        <v>-371.81440384880273</v>
      </c>
      <c r="I1486" s="4">
        <f t="shared" si="93"/>
        <v>40.277777777777224</v>
      </c>
    </row>
    <row r="1487" spans="1:9" x14ac:dyDescent="0.2">
      <c r="A1487" s="11">
        <v>145.099999999998</v>
      </c>
      <c r="B1487" s="15">
        <v>3.133</v>
      </c>
      <c r="C1487" s="11">
        <f t="shared" ref="C1487:C1550" si="94">A1487/3.6/B$23/2/PI()*B$32*B$31*B1487*60</f>
        <v>18803.500032169995</v>
      </c>
      <c r="D1487" s="11">
        <f t="shared" ref="D1487:D1550" si="95">-4.687*10^(-17)*C1487^5+9.129*10^(-13)*C1487^4-6.175*10^(-9)*C1487^3+1.799*10^(-5)*C1487^2+6.502*10^(-3)*C1487</f>
        <v>-30622.855439035146</v>
      </c>
      <c r="E1487" s="11">
        <f t="shared" ref="E1487:E1550" si="96">D1487*75*B1487*B$31*B$32/B$23/C1487/2/PI()*60</f>
        <v>-56982.570424118567</v>
      </c>
      <c r="F1487" s="11">
        <f>Speed_Calc!B$5*E1487</f>
        <v>-51284.313381706714</v>
      </c>
      <c r="G1487" s="15">
        <f>Speed_Calc!G$3+Speed_Calc!G$5*A1487^2</f>
        <v>104.42658009999766</v>
      </c>
      <c r="H1487" s="7">
        <f>(F1487-G1487)/Speed_Calc!G$2*9.806</f>
        <v>-373.27258078924189</v>
      </c>
      <c r="I1487" s="4">
        <f t="shared" ref="I1487:I1550" si="97">A1487/3.6</f>
        <v>40.305555555555003</v>
      </c>
    </row>
    <row r="1488" spans="1:9" x14ac:dyDescent="0.2">
      <c r="A1488" s="11">
        <v>145.199999999998</v>
      </c>
      <c r="B1488" s="15">
        <v>3.133</v>
      </c>
      <c r="C1488" s="11">
        <f t="shared" si="94"/>
        <v>18816.459025989549</v>
      </c>
      <c r="D1488" s="11">
        <f t="shared" si="95"/>
        <v>-30764.185917852403</v>
      </c>
      <c r="E1488" s="11">
        <f t="shared" si="96"/>
        <v>-57206.130838982535</v>
      </c>
      <c r="F1488" s="11">
        <f>Speed_Calc!B$5*E1488</f>
        <v>-51485.517755084285</v>
      </c>
      <c r="G1488" s="15">
        <f>Speed_Calc!G$3+Speed_Calc!G$5*A1488^2</f>
        <v>104.54299039999766</v>
      </c>
      <c r="H1488" s="7">
        <f>(F1488-G1488)/Speed_Calc!G$2*9.806</f>
        <v>-374.7349153112732</v>
      </c>
      <c r="I1488" s="4">
        <f t="shared" si="97"/>
        <v>40.333333333332774</v>
      </c>
    </row>
    <row r="1489" spans="1:9" x14ac:dyDescent="0.2">
      <c r="A1489" s="11">
        <v>145.29999999999799</v>
      </c>
      <c r="B1489" s="15">
        <v>3.133</v>
      </c>
      <c r="C1489" s="11">
        <f t="shared" si="94"/>
        <v>18829.418019809102</v>
      </c>
      <c r="D1489" s="11">
        <f t="shared" si="95"/>
        <v>-30906.024840474252</v>
      </c>
      <c r="E1489" s="11">
        <f t="shared" si="96"/>
        <v>-57430.328333985985</v>
      </c>
      <c r="F1489" s="11">
        <f>Speed_Calc!B$5*E1489</f>
        <v>-51687.295500587388</v>
      </c>
      <c r="G1489" s="15">
        <f>Speed_Calc!G$3+Speed_Calc!G$5*A1489^2</f>
        <v>104.65948089999766</v>
      </c>
      <c r="H1489" s="7">
        <f>(F1489-G1489)/Speed_Calc!G$2*9.806</f>
        <v>-376.20141522108537</v>
      </c>
      <c r="I1489" s="4">
        <f t="shared" si="97"/>
        <v>40.361111111110553</v>
      </c>
    </row>
    <row r="1490" spans="1:9" x14ac:dyDescent="0.2">
      <c r="A1490" s="11">
        <v>145.39999999999799</v>
      </c>
      <c r="B1490" s="15">
        <v>3.133</v>
      </c>
      <c r="C1490" s="11">
        <f t="shared" si="94"/>
        <v>18842.377013628655</v>
      </c>
      <c r="D1490" s="11">
        <f t="shared" si="95"/>
        <v>-31048.373558406889</v>
      </c>
      <c r="E1490" s="11">
        <f t="shared" si="96"/>
        <v>-57655.164104332718</v>
      </c>
      <c r="F1490" s="11">
        <f>Speed_Calc!B$5*E1490</f>
        <v>-51889.647693899446</v>
      </c>
      <c r="G1490" s="15">
        <f>Speed_Calc!G$3+Speed_Calc!G$5*A1490^2</f>
        <v>104.77605159999764</v>
      </c>
      <c r="H1490" s="7">
        <f>(F1490-G1490)/Speed_Calc!G$2*9.806</f>
        <v>-377.67208833212408</v>
      </c>
      <c r="I1490" s="4">
        <f t="shared" si="97"/>
        <v>40.388888888888332</v>
      </c>
    </row>
    <row r="1491" spans="1:9" x14ac:dyDescent="0.2">
      <c r="A1491" s="11">
        <v>145.49999999999801</v>
      </c>
      <c r="B1491" s="15">
        <v>3.133</v>
      </c>
      <c r="C1491" s="11">
        <f t="shared" si="94"/>
        <v>18855.336007448212</v>
      </c>
      <c r="D1491" s="11">
        <f t="shared" si="95"/>
        <v>-31191.233425525334</v>
      </c>
      <c r="E1491" s="11">
        <f t="shared" si="96"/>
        <v>-57880.639346336451</v>
      </c>
      <c r="F1491" s="11">
        <f>Speed_Calc!B$5*E1491</f>
        <v>-52092.575411702805</v>
      </c>
      <c r="G1491" s="15">
        <f>Speed_Calc!G$3+Speed_Calc!G$5*A1491^2</f>
        <v>104.89270249999767</v>
      </c>
      <c r="H1491" s="7">
        <f>(F1491-G1491)/Speed_Calc!G$2*9.806</f>
        <v>-379.14694246509089</v>
      </c>
      <c r="I1491" s="4">
        <f t="shared" si="97"/>
        <v>40.41666666666611</v>
      </c>
    </row>
    <row r="1492" spans="1:9" x14ac:dyDescent="0.2">
      <c r="A1492" s="11">
        <v>145.599999999998</v>
      </c>
      <c r="B1492" s="15">
        <v>3.133</v>
      </c>
      <c r="C1492" s="11">
        <f t="shared" si="94"/>
        <v>18868.295001267761</v>
      </c>
      <c r="D1492" s="11">
        <f t="shared" si="95"/>
        <v>-31334.605798075445</v>
      </c>
      <c r="E1492" s="11">
        <f t="shared" si="96"/>
        <v>-58106.755257420918</v>
      </c>
      <c r="F1492" s="11">
        <f>Speed_Calc!B$5*E1492</f>
        <v>-52296.07973167883</v>
      </c>
      <c r="G1492" s="15">
        <f>Speed_Calc!G$3+Speed_Calc!G$5*A1492^2</f>
        <v>105.00943359999766</v>
      </c>
      <c r="H1492" s="7">
        <f>(F1492-G1492)/Speed_Calc!G$2*9.806</f>
        <v>-380.62598544794383</v>
      </c>
      <c r="I1492" s="4">
        <f t="shared" si="97"/>
        <v>40.444444444443889</v>
      </c>
    </row>
    <row r="1493" spans="1:9" x14ac:dyDescent="0.2">
      <c r="A1493" s="11">
        <v>145.699999999998</v>
      </c>
      <c r="B1493" s="15">
        <v>3.133</v>
      </c>
      <c r="C1493" s="11">
        <f t="shared" si="94"/>
        <v>18881.253995087311</v>
      </c>
      <c r="D1493" s="11">
        <f t="shared" si="95"/>
        <v>-31478.492034676154</v>
      </c>
      <c r="E1493" s="11">
        <f t="shared" si="96"/>
        <v>-58333.513036119963</v>
      </c>
      <c r="F1493" s="11">
        <f>Speed_Calc!B$5*E1493</f>
        <v>-52500.161732507964</v>
      </c>
      <c r="G1493" s="15">
        <f>Speed_Calc!G$3+Speed_Calc!G$5*A1493^2</f>
        <v>105.12624489999764</v>
      </c>
      <c r="H1493" s="7">
        <f>(F1493-G1493)/Speed_Calc!G$2*9.806</f>
        <v>-382.10922511589814</v>
      </c>
      <c r="I1493" s="4">
        <f t="shared" si="97"/>
        <v>40.472222222221667</v>
      </c>
    </row>
    <row r="1494" spans="1:9" x14ac:dyDescent="0.2">
      <c r="A1494" s="11">
        <v>145.79999999999799</v>
      </c>
      <c r="B1494" s="15">
        <v>3.133</v>
      </c>
      <c r="C1494" s="11">
        <f t="shared" si="94"/>
        <v>18894.212988906864</v>
      </c>
      <c r="D1494" s="11">
        <f t="shared" si="95"/>
        <v>-31622.893496321438</v>
      </c>
      <c r="E1494" s="11">
        <f t="shared" si="96"/>
        <v>-58560.913882077541</v>
      </c>
      <c r="F1494" s="11">
        <f>Speed_Calc!B$5*E1494</f>
        <v>-52704.822493869789</v>
      </c>
      <c r="G1494" s="15">
        <f>Speed_Calc!G$3+Speed_Calc!G$5*A1494^2</f>
        <v>105.24313639999764</v>
      </c>
      <c r="H1494" s="7">
        <f>(F1494-G1494)/Speed_Calc!G$2*9.806</f>
        <v>-383.5966693114263</v>
      </c>
      <c r="I1494" s="4">
        <f t="shared" si="97"/>
        <v>40.499999999999439</v>
      </c>
    </row>
    <row r="1495" spans="1:9" x14ac:dyDescent="0.2">
      <c r="A1495" s="11">
        <v>145.89999999999799</v>
      </c>
      <c r="B1495" s="15">
        <v>3.133</v>
      </c>
      <c r="C1495" s="11">
        <f t="shared" si="94"/>
        <v>18907.171982726417</v>
      </c>
      <c r="D1495" s="11">
        <f t="shared" si="95"/>
        <v>-31767.811546382185</v>
      </c>
      <c r="E1495" s="11">
        <f t="shared" si="96"/>
        <v>-58788.958996047339</v>
      </c>
      <c r="F1495" s="11">
        <f>Speed_Calc!B$5*E1495</f>
        <v>-52910.063096442609</v>
      </c>
      <c r="G1495" s="15">
        <f>Speed_Calc!G$3+Speed_Calc!G$5*A1495^2</f>
        <v>105.36010809999763</v>
      </c>
      <c r="H1495" s="7">
        <f>(F1495-G1495)/Speed_Calc!G$2*9.806</f>
        <v>-385.08832588425537</v>
      </c>
      <c r="I1495" s="4">
        <f t="shared" si="97"/>
        <v>40.527777777777217</v>
      </c>
    </row>
    <row r="1496" spans="1:9" x14ac:dyDescent="0.2">
      <c r="A1496" s="11">
        <v>145.99999999999801</v>
      </c>
      <c r="B1496" s="15">
        <v>3.133</v>
      </c>
      <c r="C1496" s="11">
        <f t="shared" si="94"/>
        <v>18920.130976545966</v>
      </c>
      <c r="D1496" s="11">
        <f t="shared" si="95"/>
        <v>-31913.247550608423</v>
      </c>
      <c r="E1496" s="11">
        <f t="shared" si="96"/>
        <v>-59017.649579893099</v>
      </c>
      <c r="F1496" s="11">
        <f>Speed_Calc!B$5*E1496</f>
        <v>-53115.884621903788</v>
      </c>
      <c r="G1496" s="15">
        <f>Speed_Calc!G$3+Speed_Calc!G$5*A1496^2</f>
        <v>105.47715999999765</v>
      </c>
      <c r="H1496" s="7">
        <f>(F1496-G1496)/Speed_Calc!G$2*9.806</f>
        <v>-386.58420269136923</v>
      </c>
      <c r="I1496" s="4">
        <f t="shared" si="97"/>
        <v>40.555555555555003</v>
      </c>
    </row>
    <row r="1497" spans="1:9" x14ac:dyDescent="0.2">
      <c r="A1497" s="11">
        <v>146.099999999998</v>
      </c>
      <c r="B1497" s="15">
        <v>3.133</v>
      </c>
      <c r="C1497" s="11">
        <f t="shared" si="94"/>
        <v>18933.08997036552</v>
      </c>
      <c r="D1497" s="11">
        <f t="shared" si="95"/>
        <v>-32059.202877131527</v>
      </c>
      <c r="E1497" s="11">
        <f t="shared" si="96"/>
        <v>-59246.986836588854</v>
      </c>
      <c r="F1497" s="11">
        <f>Speed_Calc!B$5*E1497</f>
        <v>-53322.28815292997</v>
      </c>
      <c r="G1497" s="15">
        <f>Speed_Calc!G$3+Speed_Calc!G$5*A1497^2</f>
        <v>105.59429209999766</v>
      </c>
      <c r="H1497" s="7">
        <f>(F1497-G1497)/Speed_Calc!G$2*9.806</f>
        <v>-388.08430759701025</v>
      </c>
      <c r="I1497" s="4">
        <f t="shared" si="97"/>
        <v>40.583333333332781</v>
      </c>
    </row>
    <row r="1498" spans="1:9" x14ac:dyDescent="0.2">
      <c r="A1498" s="11">
        <v>146.199999999998</v>
      </c>
      <c r="B1498" s="15">
        <v>3.133</v>
      </c>
      <c r="C1498" s="11">
        <f t="shared" si="94"/>
        <v>18946.048964185073</v>
      </c>
      <c r="D1498" s="11">
        <f t="shared" si="95"/>
        <v>-32205.678896465884</v>
      </c>
      <c r="E1498" s="11">
        <f t="shared" si="96"/>
        <v>-59476.97197021827</v>
      </c>
      <c r="F1498" s="11">
        <f>Speed_Calc!B$5*E1498</f>
        <v>-53529.274773196441</v>
      </c>
      <c r="G1498" s="15">
        <f>Speed_Calc!G$3+Speed_Calc!G$5*A1498^2</f>
        <v>105.71150439999765</v>
      </c>
      <c r="H1498" s="7">
        <f>(F1498-G1498)/Speed_Calc!G$2*9.806</f>
        <v>-389.58864847267449</v>
      </c>
      <c r="I1498" s="4">
        <f t="shared" si="97"/>
        <v>40.611111111110553</v>
      </c>
    </row>
    <row r="1499" spans="1:9" x14ac:dyDescent="0.2">
      <c r="A1499" s="11">
        <v>146.29999999999799</v>
      </c>
      <c r="B1499" s="15">
        <v>3.133</v>
      </c>
      <c r="C1499" s="11">
        <f t="shared" si="94"/>
        <v>18959.007958004622</v>
      </c>
      <c r="D1499" s="11">
        <f t="shared" si="95"/>
        <v>-32352.676981511344</v>
      </c>
      <c r="E1499" s="11">
        <f t="shared" si="96"/>
        <v>-59707.606185975274</v>
      </c>
      <c r="F1499" s="11">
        <f>Speed_Calc!B$5*E1499</f>
        <v>-53736.84556737775</v>
      </c>
      <c r="G1499" s="15">
        <f>Speed_Calc!G$3+Speed_Calc!G$5*A1499^2</f>
        <v>105.82879689999764</v>
      </c>
      <c r="H1499" s="7">
        <f>(F1499-G1499)/Speed_Calc!G$2*9.806</f>
        <v>-391.09723319711674</v>
      </c>
      <c r="I1499" s="4">
        <f t="shared" si="97"/>
        <v>40.638888888888332</v>
      </c>
    </row>
    <row r="1500" spans="1:9" x14ac:dyDescent="0.2">
      <c r="A1500" s="11">
        <v>146.39999999999799</v>
      </c>
      <c r="B1500" s="15">
        <v>3.133</v>
      </c>
      <c r="C1500" s="11">
        <f t="shared" si="94"/>
        <v>18971.966951824179</v>
      </c>
      <c r="D1500" s="11">
        <f t="shared" si="95"/>
        <v>-32500.198507555033</v>
      </c>
      <c r="E1500" s="11">
        <f t="shared" si="96"/>
        <v>-59938.890690163789</v>
      </c>
      <c r="F1500" s="11">
        <f>Speed_Calc!B$5*E1500</f>
        <v>-53945.001621147414</v>
      </c>
      <c r="G1500" s="15">
        <f>Speed_Calc!G$3+Speed_Calc!G$5*A1500^2</f>
        <v>105.94616959999763</v>
      </c>
      <c r="H1500" s="7">
        <f>(F1500-G1500)/Speed_Calc!G$2*9.806</f>
        <v>-392.61006965634743</v>
      </c>
      <c r="I1500" s="4">
        <f t="shared" si="97"/>
        <v>40.66666666666611</v>
      </c>
    </row>
    <row r="1501" spans="1:9" x14ac:dyDescent="0.2">
      <c r="A1501" s="11">
        <v>146.49999999999801</v>
      </c>
      <c r="B1501" s="15">
        <v>3.133</v>
      </c>
      <c r="C1501" s="11">
        <f t="shared" si="94"/>
        <v>18984.925945643728</v>
      </c>
      <c r="D1501" s="11">
        <f t="shared" si="95"/>
        <v>-32648.244852273376</v>
      </c>
      <c r="E1501" s="11">
        <f t="shared" si="96"/>
        <v>-60170.826690197486</v>
      </c>
      <c r="F1501" s="11">
        <f>Speed_Calc!B$5*E1501</f>
        <v>-54153.744021177736</v>
      </c>
      <c r="G1501" s="15">
        <f>Speed_Calc!G$3+Speed_Calc!G$5*A1501^2</f>
        <v>106.06362249999766</v>
      </c>
      <c r="H1501" s="7">
        <f>(F1501-G1501)/Speed_Calc!G$2*9.806</f>
        <v>-394.12716574363242</v>
      </c>
      <c r="I1501" s="4">
        <f t="shared" si="97"/>
        <v>40.694444444443889</v>
      </c>
    </row>
    <row r="1502" spans="1:9" x14ac:dyDescent="0.2">
      <c r="A1502" s="11">
        <v>146.599999999998</v>
      </c>
      <c r="B1502" s="15">
        <v>3.133</v>
      </c>
      <c r="C1502" s="11">
        <f t="shared" si="94"/>
        <v>18997.884939463282</v>
      </c>
      <c r="D1502" s="11">
        <f t="shared" si="95"/>
        <v>-32796.817395734462</v>
      </c>
      <c r="E1502" s="11">
        <f t="shared" si="96"/>
        <v>-60403.415394600444</v>
      </c>
      <c r="F1502" s="11">
        <f>Speed_Calc!B$5*E1502</f>
        <v>-54363.073855140399</v>
      </c>
      <c r="G1502" s="15">
        <f>Speed_Calc!G$3+Speed_Calc!G$5*A1502^2</f>
        <v>106.18115559999765</v>
      </c>
      <c r="H1502" s="7">
        <f>(F1502-G1502)/Speed_Calc!G$2*9.806</f>
        <v>-395.64852935949648</v>
      </c>
      <c r="I1502" s="4">
        <f t="shared" si="97"/>
        <v>40.722222222221667</v>
      </c>
    </row>
    <row r="1503" spans="1:9" x14ac:dyDescent="0.2">
      <c r="A1503" s="11">
        <v>146.699999999998</v>
      </c>
      <c r="B1503" s="15">
        <v>3.133</v>
      </c>
      <c r="C1503" s="11">
        <f t="shared" si="94"/>
        <v>19010.843933282835</v>
      </c>
      <c r="D1503" s="11">
        <f t="shared" si="95"/>
        <v>-32945.917520399722</v>
      </c>
      <c r="E1503" s="11">
        <f t="shared" si="96"/>
        <v>-60636.658013006439</v>
      </c>
      <c r="F1503" s="11">
        <f>Speed_Calc!B$5*E1503</f>
        <v>-54572.992211705794</v>
      </c>
      <c r="G1503" s="15">
        <f>Speed_Calc!G$3+Speed_Calc!G$5*A1503^2</f>
        <v>106.29876889999764</v>
      </c>
      <c r="H1503" s="7">
        <f>(F1503-G1503)/Speed_Calc!G$2*9.806</f>
        <v>-397.17416841171877</v>
      </c>
      <c r="I1503" s="4">
        <f t="shared" si="97"/>
        <v>40.749999999999446</v>
      </c>
    </row>
    <row r="1504" spans="1:9" x14ac:dyDescent="0.2">
      <c r="A1504" s="11">
        <v>146.79999999999799</v>
      </c>
      <c r="B1504" s="15">
        <v>3.133</v>
      </c>
      <c r="C1504" s="11">
        <f t="shared" si="94"/>
        <v>19023.802927102388</v>
      </c>
      <c r="D1504" s="11">
        <f t="shared" si="95"/>
        <v>-33095.546611126221</v>
      </c>
      <c r="E1504" s="11">
        <f t="shared" si="96"/>
        <v>-60870.555756159411</v>
      </c>
      <c r="F1504" s="11">
        <f>Speed_Calc!B$5*E1504</f>
        <v>-54783.500180543473</v>
      </c>
      <c r="G1504" s="15">
        <f>Speed_Calc!G$3+Speed_Calc!G$5*A1504^2</f>
        <v>106.41646239999764</v>
      </c>
      <c r="H1504" s="7">
        <f>(F1504-G1504)/Speed_Calc!G$2*9.806</f>
        <v>-398.70409081533603</v>
      </c>
      <c r="I1504" s="4">
        <f t="shared" si="97"/>
        <v>40.777777777777217</v>
      </c>
    </row>
    <row r="1505" spans="1:9" x14ac:dyDescent="0.2">
      <c r="A1505" s="11">
        <v>146.89999999999799</v>
      </c>
      <c r="B1505" s="15">
        <v>3.133</v>
      </c>
      <c r="C1505" s="11">
        <f t="shared" si="94"/>
        <v>19036.761920921937</v>
      </c>
      <c r="D1505" s="11">
        <f t="shared" si="95"/>
        <v>-33245.70605516863</v>
      </c>
      <c r="E1505" s="11">
        <f t="shared" si="96"/>
        <v>-61105.10983591323</v>
      </c>
      <c r="F1505" s="11">
        <f>Speed_Calc!B$5*E1505</f>
        <v>-54994.598852321906</v>
      </c>
      <c r="G1505" s="15">
        <f>Speed_Calc!G$3+Speed_Calc!G$5*A1505^2</f>
        <v>106.53423609999761</v>
      </c>
      <c r="H1505" s="7">
        <f>(F1505-G1505)/Speed_Calc!G$2*9.806</f>
        <v>-400.23830449264085</v>
      </c>
      <c r="I1505" s="4">
        <f t="shared" si="97"/>
        <v>40.805555555554996</v>
      </c>
    </row>
    <row r="1506" spans="1:9" x14ac:dyDescent="0.2">
      <c r="A1506" s="11">
        <v>146.99999999999801</v>
      </c>
      <c r="B1506" s="15">
        <v>3.133</v>
      </c>
      <c r="C1506" s="11">
        <f t="shared" si="94"/>
        <v>19049.720914741491</v>
      </c>
      <c r="D1506" s="11">
        <f t="shared" si="95"/>
        <v>-33396.397242181316</v>
      </c>
      <c r="E1506" s="11">
        <f t="shared" si="96"/>
        <v>-61340.32146523182</v>
      </c>
      <c r="F1506" s="11">
        <f>Speed_Calc!B$5*E1506</f>
        <v>-55206.289318708637</v>
      </c>
      <c r="G1506" s="15">
        <f>Speed_Calc!G$3+Speed_Calc!G$5*A1506^2</f>
        <v>106.65208999999764</v>
      </c>
      <c r="H1506" s="7">
        <f>(F1506-G1506)/Speed_Calc!G$2*9.806</f>
        <v>-401.77681737318284</v>
      </c>
      <c r="I1506" s="4">
        <f t="shared" si="97"/>
        <v>40.833333333332781</v>
      </c>
    </row>
    <row r="1507" spans="1:9" x14ac:dyDescent="0.2">
      <c r="A1507" s="11">
        <v>147.099999999998</v>
      </c>
      <c r="B1507" s="15">
        <v>3.133</v>
      </c>
      <c r="C1507" s="11">
        <f t="shared" si="94"/>
        <v>19062.679908561044</v>
      </c>
      <c r="D1507" s="11">
        <f t="shared" si="95"/>
        <v>-33547.621564220331</v>
      </c>
      <c r="E1507" s="11">
        <f t="shared" si="96"/>
        <v>-61576.191858189079</v>
      </c>
      <c r="F1507" s="11">
        <f>Speed_Calc!B$5*E1507</f>
        <v>-55418.572672370174</v>
      </c>
      <c r="G1507" s="15">
        <f>Speed_Calc!G$3+Speed_Calc!G$5*A1507^2</f>
        <v>106.77002409999764</v>
      </c>
      <c r="H1507" s="7">
        <f>(F1507-G1507)/Speed_Calc!G$2*9.806</f>
        <v>-403.31963739376778</v>
      </c>
      <c r="I1507" s="4">
        <f t="shared" si="97"/>
        <v>40.861111111110553</v>
      </c>
    </row>
    <row r="1508" spans="1:9" x14ac:dyDescent="0.2">
      <c r="A1508" s="11">
        <v>147.199999999998</v>
      </c>
      <c r="B1508" s="15">
        <v>3.133</v>
      </c>
      <c r="C1508" s="11">
        <f t="shared" si="94"/>
        <v>19075.638902380593</v>
      </c>
      <c r="D1508" s="11">
        <f t="shared" si="95"/>
        <v>-33699.380415745538</v>
      </c>
      <c r="E1508" s="11">
        <f t="shared" si="96"/>
        <v>-61812.722229968887</v>
      </c>
      <c r="F1508" s="11">
        <f>Speed_Calc!B$5*E1508</f>
        <v>-55631.450006972002</v>
      </c>
      <c r="G1508" s="15">
        <f>Speed_Calc!G$3+Speed_Calc!G$5*A1508^2</f>
        <v>106.88803839999763</v>
      </c>
      <c r="H1508" s="7">
        <f>(F1508-G1508)/Speed_Calc!G$2*9.806</f>
        <v>-404.86677249845764</v>
      </c>
      <c r="I1508" s="4">
        <f t="shared" si="97"/>
        <v>40.888888888888332</v>
      </c>
    </row>
    <row r="1509" spans="1:9" x14ac:dyDescent="0.2">
      <c r="A1509" s="11">
        <v>147.29999999999799</v>
      </c>
      <c r="B1509" s="15">
        <v>3.133</v>
      </c>
      <c r="C1509" s="11">
        <f t="shared" si="94"/>
        <v>19088.597896200146</v>
      </c>
      <c r="D1509" s="11">
        <f t="shared" si="95"/>
        <v>-33851.675193622737</v>
      </c>
      <c r="E1509" s="11">
        <f t="shared" si="96"/>
        <v>-62049.913796865345</v>
      </c>
      <c r="F1509" s="11">
        <f>Speed_Calc!B$5*E1509</f>
        <v>-55844.922417178808</v>
      </c>
      <c r="G1509" s="15">
        <f>Speed_Calc!G$3+Speed_Calc!G$5*A1509^2</f>
        <v>107.00613289999762</v>
      </c>
      <c r="H1509" s="7">
        <f>(F1509-G1509)/Speed_Calc!G$2*9.806</f>
        <v>-406.41823063857237</v>
      </c>
      <c r="I1509" s="4">
        <f t="shared" si="97"/>
        <v>40.91666666666611</v>
      </c>
    </row>
    <row r="1510" spans="1:9" x14ac:dyDescent="0.2">
      <c r="A1510" s="11">
        <v>147.39999999999799</v>
      </c>
      <c r="B1510" s="15">
        <v>3.133</v>
      </c>
      <c r="C1510" s="11">
        <f t="shared" si="94"/>
        <v>19101.556890019696</v>
      </c>
      <c r="D1510" s="11">
        <f t="shared" si="95"/>
        <v>-34004.507297125441</v>
      </c>
      <c r="E1510" s="11">
        <f t="shared" si="96"/>
        <v>-62287.767776282191</v>
      </c>
      <c r="F1510" s="11">
        <f>Speed_Calc!B$5*E1510</f>
        <v>-56058.990998653971</v>
      </c>
      <c r="G1510" s="15">
        <f>Speed_Calc!G$3+Speed_Calc!G$5*A1510^2</f>
        <v>107.12430759999761</v>
      </c>
      <c r="H1510" s="7">
        <f>(F1510-G1510)/Speed_Calc!G$2*9.806</f>
        <v>-407.97401977268618</v>
      </c>
      <c r="I1510" s="4">
        <f t="shared" si="97"/>
        <v>40.944444444443882</v>
      </c>
    </row>
    <row r="1511" spans="1:9" x14ac:dyDescent="0.2">
      <c r="A1511" s="11">
        <v>147.49999999999801</v>
      </c>
      <c r="B1511" s="15">
        <v>3.133</v>
      </c>
      <c r="C1511" s="11">
        <f t="shared" si="94"/>
        <v>19114.515883839249</v>
      </c>
      <c r="D1511" s="11">
        <f t="shared" si="95"/>
        <v>-34157.878127937322</v>
      </c>
      <c r="E1511" s="11">
        <f t="shared" si="96"/>
        <v>-62526.285386733587</v>
      </c>
      <c r="F1511" s="11">
        <f>Speed_Calc!B$5*E1511</f>
        <v>-56273.656848060229</v>
      </c>
      <c r="G1511" s="15">
        <f>Speed_Calc!G$3+Speed_Calc!G$5*A1511^2</f>
        <v>107.24256249999765</v>
      </c>
      <c r="H1511" s="7">
        <f>(F1511-G1511)/Speed_Calc!G$2*9.806</f>
        <v>-409.53414786663222</v>
      </c>
      <c r="I1511" s="4">
        <f t="shared" si="97"/>
        <v>40.972222222221667</v>
      </c>
    </row>
    <row r="1512" spans="1:9" x14ac:dyDescent="0.2">
      <c r="A1512" s="11">
        <v>147.599999999998</v>
      </c>
      <c r="B1512" s="15">
        <v>3.133</v>
      </c>
      <c r="C1512" s="11">
        <f t="shared" si="94"/>
        <v>19127.474877658802</v>
      </c>
      <c r="D1512" s="11">
        <f t="shared" si="95"/>
        <v>-34311.789090153921</v>
      </c>
      <c r="E1512" s="11">
        <f t="shared" si="96"/>
        <v>-62765.467847843407</v>
      </c>
      <c r="F1512" s="11">
        <f>Speed_Calc!B$5*E1512</f>
        <v>-56488.921063059068</v>
      </c>
      <c r="G1512" s="15">
        <f>Speed_Calc!G$3+Speed_Calc!G$5*A1512^2</f>
        <v>107.36089759999764</v>
      </c>
      <c r="H1512" s="7">
        <f>(F1512-G1512)/Speed_Calc!G$2*9.806</f>
        <v>-411.09862289349832</v>
      </c>
      <c r="I1512" s="4">
        <f t="shared" si="97"/>
        <v>40.999999999999446</v>
      </c>
    </row>
    <row r="1513" spans="1:9" x14ac:dyDescent="0.2">
      <c r="A1513" s="11">
        <v>147.699999999998</v>
      </c>
      <c r="B1513" s="15">
        <v>3.133</v>
      </c>
      <c r="C1513" s="11">
        <f t="shared" si="94"/>
        <v>19140.433871478359</v>
      </c>
      <c r="D1513" s="11">
        <f t="shared" si="95"/>
        <v>-34466.241590284895</v>
      </c>
      <c r="E1513" s="11">
        <f t="shared" si="96"/>
        <v>-63005.316380345626</v>
      </c>
      <c r="F1513" s="11">
        <f>Speed_Calc!B$5*E1513</f>
        <v>-56704.784742311065</v>
      </c>
      <c r="G1513" s="15">
        <f>Speed_Calc!G$3+Speed_Calc!G$5*A1513^2</f>
        <v>107.47931289999762</v>
      </c>
      <c r="H1513" s="7">
        <f>(F1513-G1513)/Speed_Calc!G$2*9.806</f>
        <v>-412.66745283362934</v>
      </c>
      <c r="I1513" s="4">
        <f t="shared" si="97"/>
        <v>41.027777777777224</v>
      </c>
    </row>
    <row r="1514" spans="1:9" x14ac:dyDescent="0.2">
      <c r="A1514" s="11">
        <v>147.79999999999799</v>
      </c>
      <c r="B1514" s="15">
        <v>3.133</v>
      </c>
      <c r="C1514" s="11">
        <f t="shared" si="94"/>
        <v>19153.392865297908</v>
      </c>
      <c r="D1514" s="11">
        <f t="shared" si="95"/>
        <v>-34621.237037255945</v>
      </c>
      <c r="E1514" s="11">
        <f t="shared" si="96"/>
        <v>-63245.832206084116</v>
      </c>
      <c r="F1514" s="11">
        <f>Speed_Calc!B$5*E1514</f>
        <v>-56921.248985475708</v>
      </c>
      <c r="G1514" s="15">
        <f>Speed_Calc!G$3+Speed_Calc!G$5*A1514^2</f>
        <v>107.59780839999762</v>
      </c>
      <c r="H1514" s="7">
        <f>(F1514-G1514)/Speed_Calc!G$2*9.806</f>
        <v>-414.24064567462602</v>
      </c>
      <c r="I1514" s="4">
        <f t="shared" si="97"/>
        <v>41.055555555554996</v>
      </c>
    </row>
    <row r="1515" spans="1:9" x14ac:dyDescent="0.2">
      <c r="A1515" s="11">
        <v>147.89999999999799</v>
      </c>
      <c r="B1515" s="15">
        <v>3.133</v>
      </c>
      <c r="C1515" s="11">
        <f t="shared" si="94"/>
        <v>19166.351859117462</v>
      </c>
      <c r="D1515" s="11">
        <f t="shared" si="95"/>
        <v>-34776.776842411091</v>
      </c>
      <c r="E1515" s="11">
        <f t="shared" si="96"/>
        <v>-63487.016548012994</v>
      </c>
      <c r="F1515" s="11">
        <f>Speed_Calc!B$5*E1515</f>
        <v>-57138.314893211696</v>
      </c>
      <c r="G1515" s="15">
        <f>Speed_Calc!G$3+Speed_Calc!G$5*A1515^2</f>
        <v>107.7163840999976</v>
      </c>
      <c r="H1515" s="7">
        <f>(F1515-G1515)/Speed_Calc!G$2*9.806</f>
        <v>-415.81820941134703</v>
      </c>
      <c r="I1515" s="4">
        <f t="shared" si="97"/>
        <v>41.083333333332774</v>
      </c>
    </row>
    <row r="1516" spans="1:9" x14ac:dyDescent="0.2">
      <c r="A1516" s="11">
        <v>147.99999999999801</v>
      </c>
      <c r="B1516" s="15">
        <v>3.133</v>
      </c>
      <c r="C1516" s="11">
        <f t="shared" si="94"/>
        <v>19179.310852937018</v>
      </c>
      <c r="D1516" s="11">
        <f t="shared" si="95"/>
        <v>-34932.862419514546</v>
      </c>
      <c r="E1516" s="11">
        <f t="shared" si="96"/>
        <v>-63728.870630196303</v>
      </c>
      <c r="F1516" s="11">
        <f>Speed_Calc!B$5*E1516</f>
        <v>-57355.98356717667</v>
      </c>
      <c r="G1516" s="15">
        <f>Speed_Calc!G$3+Speed_Calc!G$5*A1516^2</f>
        <v>107.83503999999763</v>
      </c>
      <c r="H1516" s="7">
        <f>(F1516-G1516)/Speed_Calc!G$2*9.806</f>
        <v>-417.40015204590696</v>
      </c>
      <c r="I1516" s="4">
        <f t="shared" si="97"/>
        <v>41.11111111111056</v>
      </c>
    </row>
    <row r="1517" spans="1:9" x14ac:dyDescent="0.2">
      <c r="A1517" s="11">
        <v>148.099999999998</v>
      </c>
      <c r="B1517" s="15">
        <v>3.133</v>
      </c>
      <c r="C1517" s="11">
        <f t="shared" si="94"/>
        <v>19192.269846756564</v>
      </c>
      <c r="D1517" s="11">
        <f t="shared" si="95"/>
        <v>-35089.495184752588</v>
      </c>
      <c r="E1517" s="11">
        <f t="shared" si="96"/>
        <v>-63971.395677807748</v>
      </c>
      <c r="F1517" s="11">
        <f>Speed_Calc!B$5*E1517</f>
        <v>-57574.256110026974</v>
      </c>
      <c r="G1517" s="15">
        <f>Speed_Calc!G$3+Speed_Calc!G$5*A1517^2</f>
        <v>107.95377609999761</v>
      </c>
      <c r="H1517" s="7">
        <f>(F1517-G1517)/Speed_Calc!G$2*9.806</f>
        <v>-418.98648158767486</v>
      </c>
      <c r="I1517" s="4">
        <f t="shared" si="97"/>
        <v>41.138888888888332</v>
      </c>
    </row>
    <row r="1518" spans="1:9" x14ac:dyDescent="0.2">
      <c r="A1518" s="11">
        <v>148.199999999998</v>
      </c>
      <c r="B1518" s="15">
        <v>3.133</v>
      </c>
      <c r="C1518" s="11">
        <f t="shared" si="94"/>
        <v>19205.228840576117</v>
      </c>
      <c r="D1518" s="11">
        <f t="shared" si="95"/>
        <v>-35246.67655673626</v>
      </c>
      <c r="E1518" s="11">
        <f t="shared" si="96"/>
        <v>-64214.592917131711</v>
      </c>
      <c r="F1518" s="11">
        <f>Speed_Calc!B$5*E1518</f>
        <v>-57793.133625418544</v>
      </c>
      <c r="G1518" s="15">
        <f>Speed_Calc!G$3+Speed_Calc!G$5*A1518^2</f>
        <v>108.07259239999762</v>
      </c>
      <c r="H1518" s="7">
        <f>(F1518-G1518)/Speed_Calc!G$2*9.806</f>
        <v>-420.57720605328041</v>
      </c>
      <c r="I1518" s="4">
        <f t="shared" si="97"/>
        <v>41.16666666666611</v>
      </c>
    </row>
    <row r="1519" spans="1:9" x14ac:dyDescent="0.2">
      <c r="A1519" s="11">
        <v>148.29999999999799</v>
      </c>
      <c r="B1519" s="15">
        <v>3.133</v>
      </c>
      <c r="C1519" s="11">
        <f t="shared" si="94"/>
        <v>19218.187834395671</v>
      </c>
      <c r="D1519" s="11">
        <f t="shared" si="95"/>
        <v>-35404.407956502691</v>
      </c>
      <c r="E1519" s="11">
        <f t="shared" si="96"/>
        <v>-64458.463575562069</v>
      </c>
      <c r="F1519" s="11">
        <f>Speed_Calc!B$5*E1519</f>
        <v>-58012.617218005864</v>
      </c>
      <c r="G1519" s="15">
        <f>Speed_Calc!G$3+Speed_Calc!G$5*A1519^2</f>
        <v>108.19148889999761</v>
      </c>
      <c r="H1519" s="7">
        <f>(F1519-G1519)/Speed_Calc!G$2*9.806</f>
        <v>-422.17233346660652</v>
      </c>
      <c r="I1519" s="4">
        <f t="shared" si="97"/>
        <v>41.194444444443889</v>
      </c>
    </row>
    <row r="1520" spans="1:9" x14ac:dyDescent="0.2">
      <c r="A1520" s="11">
        <v>148.39999999999799</v>
      </c>
      <c r="B1520" s="15">
        <v>3.133</v>
      </c>
      <c r="C1520" s="11">
        <f t="shared" si="94"/>
        <v>19231.146828215216</v>
      </c>
      <c r="D1520" s="11">
        <f t="shared" si="95"/>
        <v>-35562.690807517436</v>
      </c>
      <c r="E1520" s="11">
        <f t="shared" si="96"/>
        <v>-64703.008881602713</v>
      </c>
      <c r="F1520" s="11">
        <f>Speed_Calc!B$5*E1520</f>
        <v>-58232.70799344244</v>
      </c>
      <c r="G1520" s="15">
        <f>Speed_Calc!G$3+Speed_Calc!G$5*A1520^2</f>
        <v>108.31046559999758</v>
      </c>
      <c r="H1520" s="7">
        <f>(F1520-G1520)/Speed_Calc!G$2*9.806</f>
        <v>-423.77187185879268</v>
      </c>
      <c r="I1520" s="4">
        <f t="shared" si="97"/>
        <v>41.22222222222166</v>
      </c>
    </row>
    <row r="1521" spans="1:9" x14ac:dyDescent="0.2">
      <c r="A1521" s="11">
        <v>148.49999999999801</v>
      </c>
      <c r="B1521" s="15">
        <v>3.133</v>
      </c>
      <c r="C1521" s="11">
        <f t="shared" si="94"/>
        <v>19244.10582203477</v>
      </c>
      <c r="D1521" s="11">
        <f t="shared" si="95"/>
        <v>-35721.52653567685</v>
      </c>
      <c r="E1521" s="11">
        <f t="shared" si="96"/>
        <v>-64948.230064867879</v>
      </c>
      <c r="F1521" s="11">
        <f>Speed_Calc!B$5*E1521</f>
        <v>-58453.40705838109</v>
      </c>
      <c r="G1521" s="15">
        <f>Speed_Calc!G$3+Speed_Calc!G$5*A1521^2</f>
        <v>108.42952249999763</v>
      </c>
      <c r="H1521" s="7">
        <f>(F1521-G1521)/Speed_Calc!G$2*9.806</f>
        <v>-425.37582926823694</v>
      </c>
      <c r="I1521" s="4">
        <f t="shared" si="97"/>
        <v>41.249999999999446</v>
      </c>
    </row>
    <row r="1522" spans="1:9" x14ac:dyDescent="0.2">
      <c r="A1522" s="11">
        <v>148.599999999998</v>
      </c>
      <c r="B1522" s="15">
        <v>3.133</v>
      </c>
      <c r="C1522" s="11">
        <f t="shared" si="94"/>
        <v>19257.064815854326</v>
      </c>
      <c r="D1522" s="11">
        <f t="shared" si="95"/>
        <v>-35880.916569309658</v>
      </c>
      <c r="E1522" s="11">
        <f t="shared" si="96"/>
        <v>-65194.128356081696</v>
      </c>
      <c r="F1522" s="11">
        <f>Speed_Calc!B$5*E1522</f>
        <v>-58674.715520473525</v>
      </c>
      <c r="G1522" s="15">
        <f>Speed_Calc!G$3+Speed_Calc!G$5*A1522^2</f>
        <v>108.54865959999761</v>
      </c>
      <c r="H1522" s="7">
        <f>(F1522-G1522)/Speed_Calc!G$2*9.806</f>
        <v>-426.98421374059325</v>
      </c>
      <c r="I1522" s="4">
        <f t="shared" si="97"/>
        <v>41.277777777777224</v>
      </c>
    </row>
    <row r="1523" spans="1:9" x14ac:dyDescent="0.2">
      <c r="A1523" s="11">
        <v>148.699999999998</v>
      </c>
      <c r="B1523" s="15">
        <v>3.133</v>
      </c>
      <c r="C1523" s="11">
        <f t="shared" si="94"/>
        <v>19270.023809673876</v>
      </c>
      <c r="D1523" s="11">
        <f t="shared" si="95"/>
        <v>-36040.862339179119</v>
      </c>
      <c r="E1523" s="11">
        <f t="shared" si="96"/>
        <v>-65440.704987077967</v>
      </c>
      <c r="F1523" s="11">
        <f>Speed_Calc!B$5*E1523</f>
        <v>-58896.634488370168</v>
      </c>
      <c r="G1523" s="15">
        <f>Speed_Calc!G$3+Speed_Calc!G$5*A1523^2</f>
        <v>108.66787689999761</v>
      </c>
      <c r="H1523" s="7">
        <f>(F1523-G1523)/Speed_Calc!G$2*9.806</f>
        <v>-428.59703332876984</v>
      </c>
      <c r="I1523" s="4">
        <f t="shared" si="97"/>
        <v>41.305555555554996</v>
      </c>
    </row>
    <row r="1524" spans="1:9" x14ac:dyDescent="0.2">
      <c r="A1524" s="11">
        <v>148.79999999999799</v>
      </c>
      <c r="B1524" s="15">
        <v>3.133</v>
      </c>
      <c r="C1524" s="11">
        <f t="shared" si="94"/>
        <v>19282.982803493429</v>
      </c>
      <c r="D1524" s="11">
        <f t="shared" si="95"/>
        <v>-36201.365278485311</v>
      </c>
      <c r="E1524" s="11">
        <f t="shared" si="96"/>
        <v>-65687.961190800852</v>
      </c>
      <c r="F1524" s="11">
        <f>Speed_Calc!B$5*E1524</f>
        <v>-59119.165071720767</v>
      </c>
      <c r="G1524" s="15">
        <f>Speed_Calc!G$3+Speed_Calc!G$5*A1524^2</f>
        <v>108.7871743999976</v>
      </c>
      <c r="H1524" s="7">
        <f>(F1524-G1524)/Speed_Calc!G$2*9.806</f>
        <v>-430.21429609293347</v>
      </c>
      <c r="I1524" s="4">
        <f t="shared" si="97"/>
        <v>41.333333333332774</v>
      </c>
    </row>
    <row r="1525" spans="1:9" x14ac:dyDescent="0.2">
      <c r="A1525" s="11">
        <v>148.89999999999799</v>
      </c>
      <c r="B1525" s="15">
        <v>3.133</v>
      </c>
      <c r="C1525" s="11">
        <f t="shared" si="94"/>
        <v>19295.941797312982</v>
      </c>
      <c r="D1525" s="11">
        <f t="shared" si="95"/>
        <v>-36362.426822867099</v>
      </c>
      <c r="E1525" s="11">
        <f t="shared" si="96"/>
        <v>-65935.898201304575</v>
      </c>
      <c r="F1525" s="11">
        <f>Speed_Calc!B$5*E1525</f>
        <v>-59342.308381174116</v>
      </c>
      <c r="G1525" s="15">
        <f>Speed_Calc!G$3+Speed_Calc!G$5*A1525^2</f>
        <v>108.9065520999976</v>
      </c>
      <c r="H1525" s="7">
        <f>(F1525-G1525)/Speed_Calc!G$2*9.806</f>
        <v>-431.83601010050813</v>
      </c>
      <c r="I1525" s="4">
        <f t="shared" si="97"/>
        <v>41.361111111110553</v>
      </c>
    </row>
    <row r="1526" spans="1:9" x14ac:dyDescent="0.2">
      <c r="A1526" s="11">
        <v>148.99999999999801</v>
      </c>
      <c r="B1526" s="15">
        <v>3.133</v>
      </c>
      <c r="C1526" s="11">
        <f t="shared" si="94"/>
        <v>19308.900791132539</v>
      </c>
      <c r="D1526" s="11">
        <f t="shared" si="95"/>
        <v>-36524.04841040395</v>
      </c>
      <c r="E1526" s="11">
        <f t="shared" si="96"/>
        <v>-66184.517253753002</v>
      </c>
      <c r="F1526" s="11">
        <f>Speed_Calc!B$5*E1526</f>
        <v>-59566.065528377701</v>
      </c>
      <c r="G1526" s="15">
        <f>Speed_Calc!G$3+Speed_Calc!G$5*A1526^2</f>
        <v>109.02600999999761</v>
      </c>
      <c r="H1526" s="7">
        <f>(F1526-G1526)/Speed_Calc!G$2*9.806</f>
        <v>-433.46218342617158</v>
      </c>
      <c r="I1526" s="4">
        <f t="shared" si="97"/>
        <v>41.388888888888339</v>
      </c>
    </row>
    <row r="1527" spans="1:9" x14ac:dyDescent="0.2">
      <c r="A1527" s="11">
        <v>149.099999999998</v>
      </c>
      <c r="B1527" s="15">
        <v>3.133</v>
      </c>
      <c r="C1527" s="11">
        <f t="shared" si="94"/>
        <v>19321.859784952088</v>
      </c>
      <c r="D1527" s="11">
        <f t="shared" si="95"/>
        <v>-36686.231481618284</v>
      </c>
      <c r="E1527" s="11">
        <f t="shared" si="96"/>
        <v>-66433.819584420315</v>
      </c>
      <c r="F1527" s="11">
        <f>Speed_Calc!B$5*E1527</f>
        <v>-59790.437625978288</v>
      </c>
      <c r="G1527" s="15">
        <f>Speed_Calc!G$3+Speed_Calc!G$5*A1527^2</f>
        <v>109.14554809999761</v>
      </c>
      <c r="H1527" s="7">
        <f>(F1527-G1527)/Speed_Calc!G$2*9.806</f>
        <v>-435.0928241518605</v>
      </c>
      <c r="I1527" s="4">
        <f t="shared" si="97"/>
        <v>41.41666666666611</v>
      </c>
    </row>
    <row r="1528" spans="1:9" x14ac:dyDescent="0.2">
      <c r="A1528" s="11">
        <v>149.199999999998</v>
      </c>
      <c r="B1528" s="15">
        <v>3.133</v>
      </c>
      <c r="C1528" s="11">
        <f t="shared" si="94"/>
        <v>19334.818778771642</v>
      </c>
      <c r="D1528" s="11">
        <f t="shared" si="95"/>
        <v>-36848.97747947742</v>
      </c>
      <c r="E1528" s="11">
        <f t="shared" si="96"/>
        <v>-66683.806430690587</v>
      </c>
      <c r="F1528" s="11">
        <f>Speed_Calc!B$5*E1528</f>
        <v>-60015.425787621527</v>
      </c>
      <c r="G1528" s="15">
        <f>Speed_Calc!G$3+Speed_Calc!G$5*A1528^2</f>
        <v>109.2651663999976</v>
      </c>
      <c r="H1528" s="7">
        <f>(F1528-G1528)/Speed_Calc!G$2*9.806</f>
        <v>-436.72794036676669</v>
      </c>
      <c r="I1528" s="4">
        <f t="shared" si="97"/>
        <v>41.444444444443889</v>
      </c>
    </row>
    <row r="1529" spans="1:9" x14ac:dyDescent="0.2">
      <c r="A1529" s="11">
        <v>149.29999999999799</v>
      </c>
      <c r="B1529" s="15">
        <v>3.133</v>
      </c>
      <c r="C1529" s="11">
        <f t="shared" si="94"/>
        <v>19347.777772591195</v>
      </c>
      <c r="D1529" s="11">
        <f t="shared" si="95"/>
        <v>-37012.287849395652</v>
      </c>
      <c r="E1529" s="11">
        <f t="shared" si="96"/>
        <v>-66934.479031057999</v>
      </c>
      <c r="F1529" s="11">
        <f>Speed_Calc!B$5*E1529</f>
        <v>-60241.031127952199</v>
      </c>
      <c r="G1529" s="15">
        <f>Speed_Calc!G$3+Speed_Calc!G$5*A1529^2</f>
        <v>109.38486489999759</v>
      </c>
      <c r="H1529" s="7">
        <f>(F1529-G1529)/Speed_Calc!G$2*9.806</f>
        <v>-438.36754016733971</v>
      </c>
      <c r="I1529" s="4">
        <f t="shared" si="97"/>
        <v>41.472222222221667</v>
      </c>
    </row>
    <row r="1530" spans="1:9" x14ac:dyDescent="0.2">
      <c r="A1530" s="11">
        <v>149.39999999999799</v>
      </c>
      <c r="B1530" s="15">
        <v>3.133</v>
      </c>
      <c r="C1530" s="11">
        <f t="shared" si="94"/>
        <v>19360.736766410744</v>
      </c>
      <c r="D1530" s="11">
        <f t="shared" si="95"/>
        <v>-37176.164039236188</v>
      </c>
      <c r="E1530" s="11">
        <f t="shared" si="96"/>
        <v>-67185.838625126547</v>
      </c>
      <c r="F1530" s="11">
        <f>Speed_Calc!B$5*E1530</f>
        <v>-60467.254762613891</v>
      </c>
      <c r="G1530" s="15">
        <f>Speed_Calc!G$3+Speed_Calc!G$5*A1530^2</f>
        <v>109.50464359999759</v>
      </c>
      <c r="H1530" s="7">
        <f>(F1530-G1530)/Speed_Calc!G$2*9.806</f>
        <v>-440.01163165728394</v>
      </c>
      <c r="I1530" s="4">
        <f t="shared" si="97"/>
        <v>41.499999999999439</v>
      </c>
    </row>
    <row r="1531" spans="1:9" x14ac:dyDescent="0.2">
      <c r="A1531" s="11">
        <v>149.49999999999801</v>
      </c>
      <c r="B1531" s="15">
        <v>3.133</v>
      </c>
      <c r="C1531" s="11">
        <f t="shared" si="94"/>
        <v>19373.695760230297</v>
      </c>
      <c r="D1531" s="11">
        <f t="shared" si="95"/>
        <v>-37340.607499313461</v>
      </c>
      <c r="E1531" s="11">
        <f t="shared" si="96"/>
        <v>-67437.886453610496</v>
      </c>
      <c r="F1531" s="11">
        <f>Speed_Calc!B$5*E1531</f>
        <v>-60694.097808249448</v>
      </c>
      <c r="G1531" s="15">
        <f>Speed_Calc!G$3+Speed_Calc!G$5*A1531^2</f>
        <v>109.6245024999976</v>
      </c>
      <c r="H1531" s="7">
        <f>(F1531-G1531)/Speed_Calc!G$2*9.806</f>
        <v>-441.6602229475622</v>
      </c>
      <c r="I1531" s="4">
        <f t="shared" si="97"/>
        <v>41.527777777777224</v>
      </c>
    </row>
    <row r="1532" spans="1:9" x14ac:dyDescent="0.2">
      <c r="A1532" s="11">
        <v>149.599999999998</v>
      </c>
      <c r="B1532" s="15">
        <v>3.133</v>
      </c>
      <c r="C1532" s="11">
        <f t="shared" si="94"/>
        <v>19386.65475404985</v>
      </c>
      <c r="D1532" s="11">
        <f t="shared" si="95"/>
        <v>-37505.619682394914</v>
      </c>
      <c r="E1532" s="11">
        <f t="shared" si="96"/>
        <v>-67690.623758333953</v>
      </c>
      <c r="F1532" s="11">
        <f>Speed_Calc!B$5*E1532</f>
        <v>-60921.561382500557</v>
      </c>
      <c r="G1532" s="15">
        <f>Speed_Calc!G$3+Speed_Calc!G$5*A1532^2</f>
        <v>109.7444415999976</v>
      </c>
      <c r="H1532" s="7">
        <f>(F1532-G1532)/Speed_Calc!G$2*9.806</f>
        <v>-443.31332215639259</v>
      </c>
      <c r="I1532" s="4">
        <f t="shared" si="97"/>
        <v>41.555555555555003</v>
      </c>
    </row>
    <row r="1533" spans="1:9" x14ac:dyDescent="0.2">
      <c r="A1533" s="11">
        <v>149.699999999997</v>
      </c>
      <c r="B1533" s="15">
        <v>3.133</v>
      </c>
      <c r="C1533" s="11">
        <f t="shared" si="94"/>
        <v>19399.613747869269</v>
      </c>
      <c r="D1533" s="11">
        <f t="shared" si="95"/>
        <v>-37671.202043701436</v>
      </c>
      <c r="E1533" s="11">
        <f t="shared" si="96"/>
        <v>-67944.051782228416</v>
      </c>
      <c r="F1533" s="11">
        <f>Speed_Calc!B$5*E1533</f>
        <v>-61149.646604005575</v>
      </c>
      <c r="G1533" s="15">
        <f>Speed_Calc!G$3+Speed_Calc!G$5*A1533^2</f>
        <v>109.86446089999639</v>
      </c>
      <c r="H1533" s="7">
        <f>(F1533-G1533)/Speed_Calc!G$2*9.806</f>
        <v>-444.97093740923259</v>
      </c>
      <c r="I1533" s="4">
        <f t="shared" si="97"/>
        <v>41.583333333332497</v>
      </c>
    </row>
    <row r="1534" spans="1:9" x14ac:dyDescent="0.2">
      <c r="A1534" s="11">
        <v>149.79999999999799</v>
      </c>
      <c r="B1534" s="15">
        <v>3.133</v>
      </c>
      <c r="C1534" s="11">
        <f t="shared" si="94"/>
        <v>19412.572741688949</v>
      </c>
      <c r="D1534" s="11">
        <f t="shared" si="95"/>
        <v>-37837.356040917963</v>
      </c>
      <c r="E1534" s="11">
        <f t="shared" si="96"/>
        <v>-68198.171769345703</v>
      </c>
      <c r="F1534" s="11">
        <f>Speed_Calc!B$5*E1534</f>
        <v>-61378.354592411131</v>
      </c>
      <c r="G1534" s="15">
        <f>Speed_Calc!G$3+Speed_Calc!G$5*A1534^2</f>
        <v>109.98456039999759</v>
      </c>
      <c r="H1534" s="7">
        <f>(F1534-G1534)/Speed_Calc!G$2*9.806</f>
        <v>-446.63307683886364</v>
      </c>
      <c r="I1534" s="4">
        <f t="shared" si="97"/>
        <v>41.611111111110553</v>
      </c>
    </row>
    <row r="1535" spans="1:9" x14ac:dyDescent="0.2">
      <c r="A1535" s="11">
        <v>149.89999999999799</v>
      </c>
      <c r="B1535" s="15">
        <v>3.133</v>
      </c>
      <c r="C1535" s="11">
        <f t="shared" si="94"/>
        <v>19425.531735508506</v>
      </c>
      <c r="D1535" s="11">
        <f t="shared" si="95"/>
        <v>-38004.083134178756</v>
      </c>
      <c r="E1535" s="11">
        <f t="shared" si="96"/>
        <v>-68452.984964832562</v>
      </c>
      <c r="F1535" s="11">
        <f>Speed_Calc!B$5*E1535</f>
        <v>-61607.686468349304</v>
      </c>
      <c r="G1535" s="15">
        <f>Speed_Calc!G$3+Speed_Calc!G$5*A1535^2</f>
        <v>110.10474009999758</v>
      </c>
      <c r="H1535" s="7">
        <f>(F1535-G1535)/Speed_Calc!G$2*9.806</f>
        <v>-448.29974858522502</v>
      </c>
      <c r="I1535" s="4">
        <f t="shared" si="97"/>
        <v>41.638888888888332</v>
      </c>
    </row>
    <row r="1536" spans="1:9" x14ac:dyDescent="0.2">
      <c r="A1536" s="11">
        <v>149.99999999999699</v>
      </c>
      <c r="B1536" s="15">
        <v>3.133</v>
      </c>
      <c r="C1536" s="11">
        <f t="shared" si="94"/>
        <v>19438.490729327928</v>
      </c>
      <c r="D1536" s="11">
        <f t="shared" si="95"/>
        <v>-38171.384786084156</v>
      </c>
      <c r="E1536" s="11">
        <f t="shared" si="96"/>
        <v>-68708.492614952876</v>
      </c>
      <c r="F1536" s="11">
        <f>Speed_Calc!B$5*E1536</f>
        <v>-61837.643353457592</v>
      </c>
      <c r="G1536" s="15">
        <f>Speed_Calc!G$3+Speed_Calc!G$5*A1536^2</f>
        <v>110.22499999999637</v>
      </c>
      <c r="H1536" s="7">
        <f>(F1536-G1536)/Speed_Calc!G$2*9.806</f>
        <v>-449.97096079555934</v>
      </c>
      <c r="I1536" s="4">
        <f t="shared" si="97"/>
        <v>41.666666666665826</v>
      </c>
    </row>
    <row r="1537" spans="1:9" x14ac:dyDescent="0.2">
      <c r="A1537" s="11">
        <v>150.09999999999701</v>
      </c>
      <c r="B1537" s="15">
        <v>3.133</v>
      </c>
      <c r="C1537" s="11">
        <f t="shared" si="94"/>
        <v>19451.449723147482</v>
      </c>
      <c r="D1537" s="11">
        <f t="shared" si="95"/>
        <v>-38339.262461701495</v>
      </c>
      <c r="E1537" s="11">
        <f t="shared" si="96"/>
        <v>-68964.695967086009</v>
      </c>
      <c r="F1537" s="11">
        <f>Speed_Calc!B$5*E1537</f>
        <v>-62068.226370377408</v>
      </c>
      <c r="G1537" s="15">
        <f>Speed_Calc!G$3+Speed_Calc!G$5*A1537^2</f>
        <v>110.34534009999639</v>
      </c>
      <c r="H1537" s="7">
        <f>(F1537-G1537)/Speed_Calc!G$2*9.806</f>
        <v>-451.64672162440098</v>
      </c>
      <c r="I1537" s="4">
        <f t="shared" si="97"/>
        <v>41.694444444443612</v>
      </c>
    </row>
    <row r="1538" spans="1:9" x14ac:dyDescent="0.2">
      <c r="A1538" s="11">
        <v>150.199999999997</v>
      </c>
      <c r="B1538" s="15">
        <v>3.133</v>
      </c>
      <c r="C1538" s="11">
        <f t="shared" si="94"/>
        <v>19464.408716967035</v>
      </c>
      <c r="D1538" s="11">
        <f t="shared" si="95"/>
        <v>-38507.717628558479</v>
      </c>
      <c r="E1538" s="11">
        <f t="shared" si="96"/>
        <v>-69221.596269713686</v>
      </c>
      <c r="F1538" s="11">
        <f>Speed_Calc!B$5*E1538</f>
        <v>-62299.436642742316</v>
      </c>
      <c r="G1538" s="15">
        <f>Speed_Calc!G$3+Speed_Calc!G$5*A1538^2</f>
        <v>110.46576039999638</v>
      </c>
      <c r="H1538" s="7">
        <f>(F1538-G1538)/Speed_Calc!G$2*9.806</f>
        <v>-453.32703923349146</v>
      </c>
      <c r="I1538" s="4">
        <f t="shared" si="97"/>
        <v>41.72222222222139</v>
      </c>
    </row>
    <row r="1539" spans="1:9" x14ac:dyDescent="0.2">
      <c r="A1539" s="11">
        <v>150.29999999999799</v>
      </c>
      <c r="B1539" s="15">
        <v>3.133</v>
      </c>
      <c r="C1539" s="11">
        <f t="shared" si="94"/>
        <v>19477.367710786715</v>
      </c>
      <c r="D1539" s="11">
        <f t="shared" si="95"/>
        <v>-38676.751756653583</v>
      </c>
      <c r="E1539" s="11">
        <f t="shared" si="96"/>
        <v>-69479.194772432529</v>
      </c>
      <c r="F1539" s="11">
        <f>Speed_Calc!B$5*E1539</f>
        <v>-62531.275295189276</v>
      </c>
      <c r="G1539" s="15">
        <f>Speed_Calc!G$3+Speed_Calc!G$5*A1539^2</f>
        <v>110.58626089999757</v>
      </c>
      <c r="H1539" s="7">
        <f>(F1539-G1539)/Speed_Calc!G$2*9.806</f>
        <v>-455.01192179186029</v>
      </c>
      <c r="I1539" s="4">
        <f t="shared" si="97"/>
        <v>41.749999999999439</v>
      </c>
    </row>
    <row r="1540" spans="1:9" x14ac:dyDescent="0.2">
      <c r="A1540" s="11">
        <v>150.39999999999799</v>
      </c>
      <c r="B1540" s="15">
        <v>3.133</v>
      </c>
      <c r="C1540" s="11">
        <f t="shared" si="94"/>
        <v>19490.326704606268</v>
      </c>
      <c r="D1540" s="11">
        <f t="shared" si="95"/>
        <v>-38846.366318449996</v>
      </c>
      <c r="E1540" s="11">
        <f t="shared" si="96"/>
        <v>-69737.492725941745</v>
      </c>
      <c r="F1540" s="11">
        <f>Speed_Calc!B$5*E1540</f>
        <v>-62763.743453347575</v>
      </c>
      <c r="G1540" s="15">
        <f>Speed_Calc!G$3+Speed_Calc!G$5*A1540^2</f>
        <v>110.70684159999757</v>
      </c>
      <c r="H1540" s="7">
        <f>(F1540-G1540)/Speed_Calc!G$2*9.806</f>
        <v>-456.70137747574506</v>
      </c>
      <c r="I1540" s="4">
        <f t="shared" si="97"/>
        <v>41.777777777777217</v>
      </c>
    </row>
    <row r="1541" spans="1:9" x14ac:dyDescent="0.2">
      <c r="A1541" s="11">
        <v>150.49999999999699</v>
      </c>
      <c r="B1541" s="15">
        <v>3.133</v>
      </c>
      <c r="C1541" s="11">
        <f t="shared" si="94"/>
        <v>19503.285698425683</v>
      </c>
      <c r="D1541" s="11">
        <f t="shared" si="95"/>
        <v>-39016.562788885552</v>
      </c>
      <c r="E1541" s="11">
        <f t="shared" si="96"/>
        <v>-69996.491382055203</v>
      </c>
      <c r="F1541" s="11">
        <f>Speed_Calc!B$5*E1541</f>
        <v>-62996.842243849685</v>
      </c>
      <c r="G1541" s="15">
        <f>Speed_Calc!G$3+Speed_Calc!G$5*A1541^2</f>
        <v>110.82750249999636</v>
      </c>
      <c r="H1541" s="7">
        <f>(F1541-G1541)/Speed_Calc!G$2*9.806</f>
        <v>-458.39541446867037</v>
      </c>
      <c r="I1541" s="4">
        <f t="shared" si="97"/>
        <v>41.805555555554719</v>
      </c>
    </row>
    <row r="1542" spans="1:9" x14ac:dyDescent="0.2">
      <c r="A1542" s="11">
        <v>150.59999999999701</v>
      </c>
      <c r="B1542" s="15">
        <v>3.133</v>
      </c>
      <c r="C1542" s="11">
        <f t="shared" si="94"/>
        <v>19516.244692245244</v>
      </c>
      <c r="D1542" s="11">
        <f t="shared" si="95"/>
        <v>-39187.342645375757</v>
      </c>
      <c r="E1542" s="11">
        <f t="shared" si="96"/>
        <v>-70256.191993702945</v>
      </c>
      <c r="F1542" s="11">
        <f>Speed_Calc!B$5*E1542</f>
        <v>-63230.572794332649</v>
      </c>
      <c r="G1542" s="15">
        <f>Speed_Calc!G$3+Speed_Calc!G$5*A1542^2</f>
        <v>110.94824359999637</v>
      </c>
      <c r="H1542" s="7">
        <f>(F1542-G1542)/Speed_Calc!G$2*9.806</f>
        <v>-460.09404096145738</v>
      </c>
      <c r="I1542" s="4">
        <f t="shared" si="97"/>
        <v>41.833333333332504</v>
      </c>
    </row>
    <row r="1543" spans="1:9" x14ac:dyDescent="0.2">
      <c r="A1543" s="11">
        <v>150.699999999997</v>
      </c>
      <c r="B1543" s="15">
        <v>3.133</v>
      </c>
      <c r="C1543" s="11">
        <f t="shared" si="94"/>
        <v>19529.203686064793</v>
      </c>
      <c r="D1543" s="11">
        <f t="shared" si="95"/>
        <v>-39358.707367806033</v>
      </c>
      <c r="E1543" s="11">
        <f t="shared" si="96"/>
        <v>-70516.595814915985</v>
      </c>
      <c r="F1543" s="11">
        <f>Speed_Calc!B$5*E1543</f>
        <v>-63464.936233424385</v>
      </c>
      <c r="G1543" s="15">
        <f>Speed_Calc!G$3+Speed_Calc!G$5*A1543^2</f>
        <v>111.06906489999636</v>
      </c>
      <c r="H1543" s="7">
        <f>(F1543-G1543)/Speed_Calc!G$2*9.806</f>
        <v>-461.79726515212508</v>
      </c>
      <c r="I1543" s="4">
        <f t="shared" si="97"/>
        <v>41.861111111110276</v>
      </c>
    </row>
    <row r="1544" spans="1:9" x14ac:dyDescent="0.2">
      <c r="A1544" s="11">
        <v>150.79999999999799</v>
      </c>
      <c r="B1544" s="15">
        <v>3.133</v>
      </c>
      <c r="C1544" s="11">
        <f t="shared" si="94"/>
        <v>19542.162679884474</v>
      </c>
      <c r="D1544" s="11">
        <f t="shared" si="95"/>
        <v>-39530.65843854352</v>
      </c>
      <c r="E1544" s="11">
        <f t="shared" si="96"/>
        <v>-70777.704100841482</v>
      </c>
      <c r="F1544" s="11">
        <f>Speed_Calc!B$5*E1544</f>
        <v>-63699.933690757338</v>
      </c>
      <c r="G1544" s="15">
        <f>Speed_Calc!G$3+Speed_Calc!G$5*A1544^2</f>
        <v>111.18996639999757</v>
      </c>
      <c r="H1544" s="7">
        <f>(F1544-G1544)/Speed_Calc!G$2*9.806</f>
        <v>-463.50509524598874</v>
      </c>
      <c r="I1544" s="4">
        <f t="shared" si="97"/>
        <v>41.888888888888332</v>
      </c>
    </row>
    <row r="1545" spans="1:9" x14ac:dyDescent="0.2">
      <c r="A1545" s="11">
        <v>150.89999999999799</v>
      </c>
      <c r="B1545" s="15">
        <v>3.133</v>
      </c>
      <c r="C1545" s="11">
        <f t="shared" si="94"/>
        <v>19555.121673704023</v>
      </c>
      <c r="D1545" s="11">
        <f t="shared" si="95"/>
        <v>-39703.197342429849</v>
      </c>
      <c r="E1545" s="11">
        <f t="shared" si="96"/>
        <v>-71039.518107728334</v>
      </c>
      <c r="F1545" s="11">
        <f>Speed_Calc!B$5*E1545</f>
        <v>-63935.566296955505</v>
      </c>
      <c r="G1545" s="15">
        <f>Speed_Calc!G$3+Speed_Calc!G$5*A1545^2</f>
        <v>111.31094809999756</v>
      </c>
      <c r="H1545" s="7">
        <f>(F1545-G1545)/Speed_Calc!G$2*9.806</f>
        <v>-465.21753945556605</v>
      </c>
      <c r="I1545" s="4">
        <f t="shared" si="97"/>
        <v>41.91666666666611</v>
      </c>
    </row>
    <row r="1546" spans="1:9" x14ac:dyDescent="0.2">
      <c r="A1546" s="11">
        <v>150.99999999999699</v>
      </c>
      <c r="B1546" s="15">
        <v>3.133</v>
      </c>
      <c r="C1546" s="11">
        <f t="shared" si="94"/>
        <v>19568.080667523445</v>
      </c>
      <c r="D1546" s="11">
        <f t="shared" si="95"/>
        <v>-39876.325566792097</v>
      </c>
      <c r="E1546" s="11">
        <f t="shared" si="96"/>
        <v>-71302.039092940948</v>
      </c>
      <c r="F1546" s="11">
        <f>Speed_Calc!B$5*E1546</f>
        <v>-64171.835183646857</v>
      </c>
      <c r="G1546" s="15">
        <f>Speed_Calc!G$3+Speed_Calc!G$5*A1546^2</f>
        <v>111.43200999999634</v>
      </c>
      <c r="H1546" s="7">
        <f>(F1546-G1546)/Speed_Calc!G$2*9.806</f>
        <v>-466.93460600066743</v>
      </c>
      <c r="I1546" s="4">
        <f t="shared" si="97"/>
        <v>41.944444444443604</v>
      </c>
    </row>
    <row r="1547" spans="1:9" x14ac:dyDescent="0.2">
      <c r="A1547" s="11">
        <v>151.09999999999701</v>
      </c>
      <c r="B1547" s="15">
        <v>3.133</v>
      </c>
      <c r="C1547" s="11">
        <f t="shared" si="94"/>
        <v>19581.039661343006</v>
      </c>
      <c r="D1547" s="11">
        <f t="shared" si="95"/>
        <v>-40050.044601444708</v>
      </c>
      <c r="E1547" s="11">
        <f t="shared" si="96"/>
        <v>-71565.268314958841</v>
      </c>
      <c r="F1547" s="11">
        <f>Speed_Calc!B$5*E1547</f>
        <v>-64408.74148346296</v>
      </c>
      <c r="G1547" s="15">
        <f>Speed_Calc!G$3+Speed_Calc!G$5*A1547^2</f>
        <v>111.55315209999637</v>
      </c>
      <c r="H1547" s="7">
        <f>(F1547-G1547)/Speed_Calc!G$2*9.806</f>
        <v>-468.65630310839282</v>
      </c>
      <c r="I1547" s="4">
        <f t="shared" si="97"/>
        <v>41.97222222222139</v>
      </c>
    </row>
    <row r="1548" spans="1:9" x14ac:dyDescent="0.2">
      <c r="A1548" s="11">
        <v>151.199999999997</v>
      </c>
      <c r="B1548" s="15">
        <v>3.133</v>
      </c>
      <c r="C1548" s="11">
        <f t="shared" si="94"/>
        <v>19593.998655162555</v>
      </c>
      <c r="D1548" s="11">
        <f t="shared" si="95"/>
        <v>-40224.355938682689</v>
      </c>
      <c r="E1548" s="11">
        <f t="shared" si="96"/>
        <v>-71829.20703336336</v>
      </c>
      <c r="F1548" s="11">
        <f>Speed_Calc!B$5*E1548</f>
        <v>-64646.286330027026</v>
      </c>
      <c r="G1548" s="15">
        <f>Speed_Calc!G$3+Speed_Calc!G$5*A1548^2</f>
        <v>111.67437439999635</v>
      </c>
      <c r="H1548" s="7">
        <f>(F1548-G1548)/Speed_Calc!G$2*9.806</f>
        <v>-470.38263901304543</v>
      </c>
      <c r="I1548" s="4">
        <f t="shared" si="97"/>
        <v>41.999999999999169</v>
      </c>
    </row>
    <row r="1549" spans="1:9" x14ac:dyDescent="0.2">
      <c r="A1549" s="11">
        <v>151.29999999999799</v>
      </c>
      <c r="B1549" s="15">
        <v>3.133</v>
      </c>
      <c r="C1549" s="11">
        <f t="shared" si="94"/>
        <v>19606.957648982236</v>
      </c>
      <c r="D1549" s="11">
        <f t="shared" si="95"/>
        <v>-40399.261073293055</v>
      </c>
      <c r="E1549" s="11">
        <f t="shared" si="96"/>
        <v>-72093.85650885175</v>
      </c>
      <c r="F1549" s="11">
        <f>Speed_Calc!B$5*E1549</f>
        <v>-64884.470857966575</v>
      </c>
      <c r="G1549" s="15">
        <f>Speed_Calc!G$3+Speed_Calc!G$5*A1549^2</f>
        <v>111.79567689999755</v>
      </c>
      <c r="H1549" s="7">
        <f>(F1549-G1549)/Speed_Calc!G$2*9.806</f>
        <v>-472.11362195622343</v>
      </c>
      <c r="I1549" s="4">
        <f t="shared" si="97"/>
        <v>42.027777777777217</v>
      </c>
    </row>
    <row r="1550" spans="1:9" x14ac:dyDescent="0.2">
      <c r="A1550" s="11">
        <v>151.39999999999699</v>
      </c>
      <c r="B1550" s="15">
        <v>3.133</v>
      </c>
      <c r="C1550" s="11">
        <f t="shared" si="94"/>
        <v>19619.916642801654</v>
      </c>
      <c r="D1550" s="11">
        <f t="shared" si="95"/>
        <v>-40574.761502545582</v>
      </c>
      <c r="E1550" s="11">
        <f t="shared" si="96"/>
        <v>-72359.218003220129</v>
      </c>
      <c r="F1550" s="11">
        <f>Speed_Calc!B$5*E1550</f>
        <v>-65123.29620289812</v>
      </c>
      <c r="G1550" s="15">
        <f>Speed_Calc!G$3+Speed_Calc!G$5*A1550^2</f>
        <v>111.91705959999634</v>
      </c>
      <c r="H1550" s="7">
        <f>(F1550-G1550)/Speed_Calc!G$2*9.806</f>
        <v>-473.84926018670848</v>
      </c>
      <c r="I1550" s="4">
        <f t="shared" si="97"/>
        <v>42.055555555554719</v>
      </c>
    </row>
    <row r="1551" spans="1:9" x14ac:dyDescent="0.2">
      <c r="A1551" s="11">
        <v>151.49999999999699</v>
      </c>
      <c r="B1551" s="15">
        <v>3.133</v>
      </c>
      <c r="C1551" s="11">
        <f t="shared" ref="C1551:C1614" si="98">A1551/3.6/B$23/2/PI()*B$32*B$31*B1551*60</f>
        <v>19632.875636621215</v>
      </c>
      <c r="D1551" s="11">
        <f t="shared" ref="D1551:D1614" si="99">-4.687*10^(-17)*C1551^5+9.129*10^(-13)*C1551^4-6.175*10^(-9)*C1551^3+1.799*10^(-5)*C1551^2+6.502*10^(-3)*C1551</f>
        <v>-40750.858726213097</v>
      </c>
      <c r="E1551" s="11">
        <f t="shared" ref="E1551:E1614" si="100">D1551*75*B1551*B$31*B$32/B$23/C1551/2/PI()*60</f>
        <v>-72625.292779391093</v>
      </c>
      <c r="F1551" s="11">
        <f>Speed_Calc!B$5*E1551</f>
        <v>-65362.763501451984</v>
      </c>
      <c r="G1551" s="15">
        <f>Speed_Calc!G$3+Speed_Calc!G$5*A1551^2</f>
        <v>112.03852249999633</v>
      </c>
      <c r="H1551" s="7">
        <f>(F1551-G1551)/Speed_Calc!G$2*9.806</f>
        <v>-475.58956196064673</v>
      </c>
      <c r="I1551" s="4">
        <f t="shared" ref="I1551:I1614" si="101">A1551/3.6</f>
        <v>42.083333333332497</v>
      </c>
    </row>
    <row r="1552" spans="1:9" x14ac:dyDescent="0.2">
      <c r="A1552" s="11">
        <v>151.59999999999701</v>
      </c>
      <c r="B1552" s="15">
        <v>3.133</v>
      </c>
      <c r="C1552" s="11">
        <f t="shared" si="98"/>
        <v>19645.834630440768</v>
      </c>
      <c r="D1552" s="11">
        <f t="shared" si="99"/>
        <v>-40927.554246555177</v>
      </c>
      <c r="E1552" s="11">
        <f t="shared" si="100"/>
        <v>-72892.082101385968</v>
      </c>
      <c r="F1552" s="11">
        <f>Speed_Calc!B$5*E1552</f>
        <v>-65602.873891247378</v>
      </c>
      <c r="G1552" s="15">
        <f>Speed_Calc!G$3+Speed_Calc!G$5*A1552^2</f>
        <v>112.16006559999636</v>
      </c>
      <c r="H1552" s="7">
        <f>(F1552-G1552)/Speed_Calc!G$2*9.806</f>
        <v>-477.3345355413669</v>
      </c>
      <c r="I1552" s="4">
        <f t="shared" si="101"/>
        <v>42.111111111110283</v>
      </c>
    </row>
    <row r="1553" spans="1:9" x14ac:dyDescent="0.2">
      <c r="A1553" s="11">
        <v>151.699999999997</v>
      </c>
      <c r="B1553" s="15">
        <v>3.133</v>
      </c>
      <c r="C1553" s="11">
        <f t="shared" si="98"/>
        <v>19658.793624260314</v>
      </c>
      <c r="D1553" s="11">
        <f t="shared" si="99"/>
        <v>-41104.849568329686</v>
      </c>
      <c r="E1553" s="11">
        <f t="shared" si="100"/>
        <v>-73159.587234339066</v>
      </c>
      <c r="F1553" s="11">
        <f>Speed_Calc!B$5*E1553</f>
        <v>-65843.628510905168</v>
      </c>
      <c r="G1553" s="15">
        <f>Speed_Calc!G$3+Speed_Calc!G$5*A1553^2</f>
        <v>112.28168889999634</v>
      </c>
      <c r="H1553" s="7">
        <f>(F1553-G1553)/Speed_Calc!G$2*9.806</f>
        <v>-479.0841891994736</v>
      </c>
      <c r="I1553" s="4">
        <f t="shared" si="101"/>
        <v>42.138888888888054</v>
      </c>
    </row>
    <row r="1554" spans="1:9" x14ac:dyDescent="0.2">
      <c r="A1554" s="11">
        <v>151.799999999997</v>
      </c>
      <c r="B1554" s="15">
        <v>3.133</v>
      </c>
      <c r="C1554" s="11">
        <f t="shared" si="98"/>
        <v>19671.752618079863</v>
      </c>
      <c r="D1554" s="11">
        <f t="shared" si="99"/>
        <v>-41282.746198792935</v>
      </c>
      <c r="E1554" s="11">
        <f t="shared" si="100"/>
        <v>-73427.809444494822</v>
      </c>
      <c r="F1554" s="11">
        <f>Speed_Calc!B$5*E1554</f>
        <v>-66085.028500045344</v>
      </c>
      <c r="G1554" s="15">
        <f>Speed_Calc!G$3+Speed_Calc!G$5*A1554^2</f>
        <v>112.40339239999633</v>
      </c>
      <c r="H1554" s="7">
        <f>(F1554-G1554)/Speed_Calc!G$2*9.806</f>
        <v>-480.83853121282885</v>
      </c>
      <c r="I1554" s="4">
        <f t="shared" si="101"/>
        <v>42.166666666665833</v>
      </c>
    </row>
    <row r="1555" spans="1:9" x14ac:dyDescent="0.2">
      <c r="A1555" s="11">
        <v>151.89999999999699</v>
      </c>
      <c r="B1555" s="15">
        <v>3.133</v>
      </c>
      <c r="C1555" s="11">
        <f t="shared" si="98"/>
        <v>19684.711611899416</v>
      </c>
      <c r="D1555" s="11">
        <f t="shared" si="99"/>
        <v>-41461.245647701522</v>
      </c>
      <c r="E1555" s="11">
        <f t="shared" si="100"/>
        <v>-73696.749999207575</v>
      </c>
      <c r="F1555" s="11">
        <f>Speed_Calc!B$5*E1555</f>
        <v>-66327.074999286822</v>
      </c>
      <c r="G1555" s="15">
        <f>Speed_Calc!G$3+Speed_Calc!G$5*A1555^2</f>
        <v>112.52517609999633</v>
      </c>
      <c r="H1555" s="7">
        <f>(F1555-G1555)/Speed_Calc!G$2*9.806</f>
        <v>-482.59756986655049</v>
      </c>
      <c r="I1555" s="4">
        <f t="shared" si="101"/>
        <v>42.194444444443612</v>
      </c>
    </row>
    <row r="1556" spans="1:9" x14ac:dyDescent="0.2">
      <c r="A1556" s="11">
        <v>151.99999999999699</v>
      </c>
      <c r="B1556" s="15">
        <v>3.133</v>
      </c>
      <c r="C1556" s="11">
        <f t="shared" si="98"/>
        <v>19697.670605718966</v>
      </c>
      <c r="D1556" s="11">
        <f t="shared" si="99"/>
        <v>-41640.349427314533</v>
      </c>
      <c r="E1556" s="11">
        <f t="shared" si="100"/>
        <v>-73966.410166941787</v>
      </c>
      <c r="F1556" s="11">
        <f>Speed_Calc!B$5*E1556</f>
        <v>-66569.769150247608</v>
      </c>
      <c r="G1556" s="15">
        <f>Speed_Calc!G$3+Speed_Calc!G$5*A1556^2</f>
        <v>112.64703999999631</v>
      </c>
      <c r="H1556" s="7">
        <f>(F1556-G1556)/Speed_Calc!G$2*9.806</f>
        <v>-484.36131345301328</v>
      </c>
      <c r="I1556" s="4">
        <f t="shared" si="101"/>
        <v>42.222222222221383</v>
      </c>
    </row>
    <row r="1557" spans="1:9" x14ac:dyDescent="0.2">
      <c r="A1557" s="11">
        <v>152.09999999999701</v>
      </c>
      <c r="B1557" s="15">
        <v>3.133</v>
      </c>
      <c r="C1557" s="11">
        <f t="shared" si="98"/>
        <v>19710.629599538523</v>
      </c>
      <c r="D1557" s="11">
        <f t="shared" si="99"/>
        <v>-41820.059052395562</v>
      </c>
      <c r="E1557" s="11">
        <f t="shared" si="100"/>
        <v>-74236.79121727169</v>
      </c>
      <c r="F1557" s="11">
        <f>Speed_Calc!B$5*E1557</f>
        <v>-66813.112095544522</v>
      </c>
      <c r="G1557" s="15">
        <f>Speed_Calc!G$3+Speed_Calc!G$5*A1557^2</f>
        <v>112.76898409999635</v>
      </c>
      <c r="H1557" s="7">
        <f>(F1557-G1557)/Speed_Calc!G$2*9.806</f>
        <v>-486.12977027184746</v>
      </c>
      <c r="I1557" s="4">
        <f t="shared" si="101"/>
        <v>42.249999999999169</v>
      </c>
    </row>
    <row r="1558" spans="1:9" x14ac:dyDescent="0.2">
      <c r="A1558" s="11">
        <v>152.199999999997</v>
      </c>
      <c r="B1558" s="15">
        <v>3.133</v>
      </c>
      <c r="C1558" s="11">
        <f t="shared" si="98"/>
        <v>19723.588593358076</v>
      </c>
      <c r="D1558" s="11">
        <f t="shared" si="99"/>
        <v>-42000.376040214651</v>
      </c>
      <c r="E1558" s="11">
        <f t="shared" si="100"/>
        <v>-74507.89442088161</v>
      </c>
      <c r="F1558" s="11">
        <f>Speed_Calc!B$5*E1558</f>
        <v>-67057.104978793446</v>
      </c>
      <c r="G1558" s="15">
        <f>Speed_Calc!G$3+Speed_Calc!G$5*A1558^2</f>
        <v>112.89100839999634</v>
      </c>
      <c r="H1558" s="7">
        <f>(F1558-G1558)/Speed_Calc!G$2*9.806</f>
        <v>-487.90294862993983</v>
      </c>
      <c r="I1558" s="4">
        <f t="shared" si="101"/>
        <v>42.277777777776947</v>
      </c>
    </row>
    <row r="1559" spans="1:9" x14ac:dyDescent="0.2">
      <c r="A1559" s="11">
        <v>152.299999999997</v>
      </c>
      <c r="B1559" s="15">
        <v>3.133</v>
      </c>
      <c r="C1559" s="11">
        <f t="shared" si="98"/>
        <v>19736.547587177629</v>
      </c>
      <c r="D1559" s="11">
        <f t="shared" si="99"/>
        <v>-42181.301910550617</v>
      </c>
      <c r="E1559" s="11">
        <f t="shared" si="100"/>
        <v>-74779.721049565924</v>
      </c>
      <c r="F1559" s="11">
        <f>Speed_Calc!B$5*E1559</f>
        <v>-67301.748944609339</v>
      </c>
      <c r="G1559" s="15">
        <f>Speed_Calc!G$3+Speed_Calc!G$5*A1559^2</f>
        <v>113.01311289999632</v>
      </c>
      <c r="H1559" s="7">
        <f>(F1559-G1559)/Speed_Calc!G$2*9.806</f>
        <v>-489.68085684143438</v>
      </c>
      <c r="I1559" s="4">
        <f t="shared" si="101"/>
        <v>42.305555555554719</v>
      </c>
    </row>
    <row r="1560" spans="1:9" x14ac:dyDescent="0.2">
      <c r="A1560" s="11">
        <v>152.39999999999699</v>
      </c>
      <c r="B1560" s="15">
        <v>3.133</v>
      </c>
      <c r="C1560" s="11">
        <f t="shared" si="98"/>
        <v>19749.506580997186</v>
      </c>
      <c r="D1560" s="11">
        <f t="shared" si="99"/>
        <v>-42362.838185692977</v>
      </c>
      <c r="E1560" s="11">
        <f t="shared" si="100"/>
        <v>-75052.272376229172</v>
      </c>
      <c r="F1560" s="11">
        <f>Speed_Calc!B$5*E1560</f>
        <v>-67547.045138606263</v>
      </c>
      <c r="G1560" s="15">
        <f>Speed_Calc!G$3+Speed_Calc!G$5*A1560^2</f>
        <v>113.13529759999632</v>
      </c>
      <c r="H1560" s="7">
        <f>(F1560-G1560)/Speed_Calc!G$2*9.806</f>
        <v>-491.46350322773219</v>
      </c>
      <c r="I1560" s="4">
        <f t="shared" si="101"/>
        <v>42.333333333332497</v>
      </c>
    </row>
    <row r="1561" spans="1:9" x14ac:dyDescent="0.2">
      <c r="A1561" s="11">
        <v>152.49999999999699</v>
      </c>
      <c r="B1561" s="15">
        <v>3.133</v>
      </c>
      <c r="C1561" s="11">
        <f t="shared" si="98"/>
        <v>19762.465574816735</v>
      </c>
      <c r="D1561" s="11">
        <f t="shared" si="99"/>
        <v>-42544.986390443722</v>
      </c>
      <c r="E1561" s="11">
        <f t="shared" si="100"/>
        <v>-75325.549674885435</v>
      </c>
      <c r="F1561" s="11">
        <f>Speed_Calc!B$5*E1561</f>
        <v>-67792.994707396894</v>
      </c>
      <c r="G1561" s="15">
        <f>Speed_Calc!G$3+Speed_Calc!G$5*A1561^2</f>
        <v>113.2575624999963</v>
      </c>
      <c r="H1561" s="7">
        <f>(F1561-G1561)/Speed_Calc!G$2*9.806</f>
        <v>-493.25089611748808</v>
      </c>
      <c r="I1561" s="4">
        <f t="shared" si="101"/>
        <v>42.361111111110276</v>
      </c>
    </row>
    <row r="1562" spans="1:9" x14ac:dyDescent="0.2">
      <c r="A1562" s="11">
        <v>152.59999999999701</v>
      </c>
      <c r="B1562" s="15">
        <v>3.133</v>
      </c>
      <c r="C1562" s="11">
        <f t="shared" si="98"/>
        <v>19775.424568636285</v>
      </c>
      <c r="D1562" s="11">
        <f t="shared" si="99"/>
        <v>-42727.74805211991</v>
      </c>
      <c r="E1562" s="11">
        <f t="shared" si="100"/>
        <v>-75599.554220659265</v>
      </c>
      <c r="F1562" s="11">
        <f>Speed_Calc!B$5*E1562</f>
        <v>-68039.598798593346</v>
      </c>
      <c r="G1562" s="15">
        <f>Speed_Calc!G$3+Speed_Calc!G$5*A1562^2</f>
        <v>113.37990759999634</v>
      </c>
      <c r="H1562" s="7">
        <f>(F1562-G1562)/Speed_Calc!G$2*9.806</f>
        <v>-495.04304384661623</v>
      </c>
      <c r="I1562" s="4">
        <f t="shared" si="101"/>
        <v>42.388888888888054</v>
      </c>
    </row>
    <row r="1563" spans="1:9" x14ac:dyDescent="0.2">
      <c r="A1563" s="11">
        <v>152.699999999997</v>
      </c>
      <c r="B1563" s="15">
        <v>3.133</v>
      </c>
      <c r="C1563" s="11">
        <f t="shared" si="98"/>
        <v>19788.383562455834</v>
      </c>
      <c r="D1563" s="11">
        <f t="shared" si="99"/>
        <v>-42911.124700555403</v>
      </c>
      <c r="E1563" s="11">
        <f t="shared" si="100"/>
        <v>-75874.287289785134</v>
      </c>
      <c r="F1563" s="11">
        <f>Speed_Calc!B$5*E1563</f>
        <v>-68286.858560806621</v>
      </c>
      <c r="G1563" s="15">
        <f>Speed_Calc!G$3+Speed_Calc!G$5*A1563^2</f>
        <v>113.50233289999632</v>
      </c>
      <c r="H1563" s="7">
        <f>(F1563-G1563)/Speed_Calc!G$2*9.806</f>
        <v>-496.83995475828669</v>
      </c>
      <c r="I1563" s="4">
        <f t="shared" si="101"/>
        <v>42.416666666665833</v>
      </c>
    </row>
    <row r="1564" spans="1:9" x14ac:dyDescent="0.2">
      <c r="A1564" s="11">
        <v>152.799999999997</v>
      </c>
      <c r="B1564" s="15">
        <v>3.133</v>
      </c>
      <c r="C1564" s="11">
        <f t="shared" si="98"/>
        <v>19801.342556275391</v>
      </c>
      <c r="D1564" s="11">
        <f t="shared" si="99"/>
        <v>-43095.117868102971</v>
      </c>
      <c r="E1564" s="11">
        <f t="shared" si="100"/>
        <v>-76149.750159607516</v>
      </c>
      <c r="F1564" s="11">
        <f>Speed_Calc!B$5*E1564</f>
        <v>-68534.775143646766</v>
      </c>
      <c r="G1564" s="15">
        <f>Speed_Calc!G$3+Speed_Calc!G$5*A1564^2</f>
        <v>113.62483839999632</v>
      </c>
      <c r="H1564" s="7">
        <f>(F1564-G1564)/Speed_Calc!G$2*9.806</f>
        <v>-498.64163720292623</v>
      </c>
      <c r="I1564" s="4">
        <f t="shared" si="101"/>
        <v>42.444444444443612</v>
      </c>
    </row>
    <row r="1565" spans="1:9" x14ac:dyDescent="0.2">
      <c r="A1565" s="11">
        <v>152.89999999999699</v>
      </c>
      <c r="B1565" s="15">
        <v>3.133</v>
      </c>
      <c r="C1565" s="11">
        <f t="shared" si="98"/>
        <v>19814.301550094937</v>
      </c>
      <c r="D1565" s="11">
        <f t="shared" si="99"/>
        <v>-43279.729089636035</v>
      </c>
      <c r="E1565" s="11">
        <f t="shared" si="100"/>
        <v>-76425.944108580516</v>
      </c>
      <c r="F1565" s="11">
        <f>Speed_Calc!B$5*E1565</f>
        <v>-68783.349697722471</v>
      </c>
      <c r="G1565" s="15">
        <f>Speed_Calc!G$3+Speed_Calc!G$5*A1565^2</f>
        <v>113.74742409999629</v>
      </c>
      <c r="H1565" s="7">
        <f>(F1565-G1565)/Speed_Calc!G$2*9.806</f>
        <v>-500.44809953821562</v>
      </c>
      <c r="I1565" s="4">
        <f t="shared" si="101"/>
        <v>42.472222222221383</v>
      </c>
    </row>
    <row r="1566" spans="1:9" x14ac:dyDescent="0.2">
      <c r="A1566" s="11">
        <v>152.99999999999699</v>
      </c>
      <c r="B1566" s="15">
        <v>3.133</v>
      </c>
      <c r="C1566" s="11">
        <f t="shared" si="98"/>
        <v>19827.26054391449</v>
      </c>
      <c r="D1566" s="11">
        <f t="shared" si="99"/>
        <v>-43464.959902551505</v>
      </c>
      <c r="E1566" s="11">
        <f t="shared" si="100"/>
        <v>-76702.870416268881</v>
      </c>
      <c r="F1566" s="11">
        <f>Speed_Calc!B$5*E1566</f>
        <v>-69032.583374641996</v>
      </c>
      <c r="G1566" s="15">
        <f>Speed_Calc!G$3+Speed_Calc!G$5*A1566^2</f>
        <v>113.8700899999963</v>
      </c>
      <c r="H1566" s="7">
        <f>(F1566-G1566)/Speed_Calc!G$2*9.806</f>
        <v>-502.25935012909576</v>
      </c>
      <c r="I1566" s="4">
        <f t="shared" si="101"/>
        <v>42.499999999999162</v>
      </c>
    </row>
    <row r="1567" spans="1:9" x14ac:dyDescent="0.2">
      <c r="A1567" s="11">
        <v>153.09999999999701</v>
      </c>
      <c r="B1567" s="15">
        <v>3.133</v>
      </c>
      <c r="C1567" s="11">
        <f t="shared" si="98"/>
        <v>19840.219537734047</v>
      </c>
      <c r="D1567" s="11">
        <f t="shared" si="99"/>
        <v>-43650.811846771117</v>
      </c>
      <c r="E1567" s="11">
        <f t="shared" si="100"/>
        <v>-76980.530363347047</v>
      </c>
      <c r="F1567" s="11">
        <f>Speed_Calc!B$5*E1567</f>
        <v>-69282.477327012341</v>
      </c>
      <c r="G1567" s="15">
        <f>Speed_Calc!G$3+Speed_Calc!G$5*A1567^2</f>
        <v>113.99283609999632</v>
      </c>
      <c r="H1567" s="7">
        <f>(F1567-G1567)/Speed_Calc!G$2*9.806</f>
        <v>-504.07539734776253</v>
      </c>
      <c r="I1567" s="4">
        <f t="shared" si="101"/>
        <v>42.527777777776947</v>
      </c>
    </row>
    <row r="1568" spans="1:9" x14ac:dyDescent="0.2">
      <c r="A1568" s="11">
        <v>153.199999999997</v>
      </c>
      <c r="B1568" s="15">
        <v>3.133</v>
      </c>
      <c r="C1568" s="11">
        <f t="shared" si="98"/>
        <v>19853.178531553596</v>
      </c>
      <c r="D1568" s="11">
        <f t="shared" si="99"/>
        <v>-43837.286464743578</v>
      </c>
      <c r="E1568" s="11">
        <f t="shared" si="100"/>
        <v>-77258.925231599205</v>
      </c>
      <c r="F1568" s="11">
        <f>Speed_Calc!B$5*E1568</f>
        <v>-69533.032708439292</v>
      </c>
      <c r="G1568" s="15">
        <f>Speed_Calc!G$3+Speed_Calc!G$5*A1568^2</f>
        <v>114.11566239999631</v>
      </c>
      <c r="H1568" s="7">
        <f>(F1568-G1568)/Speed_Calc!G$2*9.806</f>
        <v>-505.89624957366669</v>
      </c>
      <c r="I1568" s="4">
        <f t="shared" si="101"/>
        <v>42.555555555554726</v>
      </c>
    </row>
    <row r="1569" spans="1:9" x14ac:dyDescent="0.2">
      <c r="A1569" s="11">
        <v>153.299999999997</v>
      </c>
      <c r="B1569" s="15">
        <v>3.133</v>
      </c>
      <c r="C1569" s="11">
        <f t="shared" si="98"/>
        <v>19866.137525373153</v>
      </c>
      <c r="D1569" s="11">
        <f t="shared" si="99"/>
        <v>-44024.385301447102</v>
      </c>
      <c r="E1569" s="11">
        <f t="shared" si="100"/>
        <v>-77538.056303920079</v>
      </c>
      <c r="F1569" s="11">
        <f>Speed_Calc!B$5*E1569</f>
        <v>-69784.250673528077</v>
      </c>
      <c r="G1569" s="15">
        <f>Speed_Calc!G$3+Speed_Calc!G$5*A1569^2</f>
        <v>114.2385688999963</v>
      </c>
      <c r="H1569" s="7">
        <f>(F1569-G1569)/Speed_Calc!G$2*9.806</f>
        <v>-507.72191519351816</v>
      </c>
      <c r="I1569" s="4">
        <f t="shared" si="101"/>
        <v>42.583333333332497</v>
      </c>
    </row>
    <row r="1570" spans="1:9" x14ac:dyDescent="0.2">
      <c r="A1570" s="11">
        <v>153.39999999999699</v>
      </c>
      <c r="B1570" s="15">
        <v>3.133</v>
      </c>
      <c r="C1570" s="11">
        <f t="shared" si="98"/>
        <v>19879.096519192703</v>
      </c>
      <c r="D1570" s="11">
        <f t="shared" si="99"/>
        <v>-44212.109904390833</v>
      </c>
      <c r="E1570" s="11">
        <f t="shared" si="100"/>
        <v>-77817.924864313944</v>
      </c>
      <c r="F1570" s="11">
        <f>Speed_Calc!B$5*E1570</f>
        <v>-70036.132377882546</v>
      </c>
      <c r="G1570" s="15">
        <f>Speed_Calc!G$3+Speed_Calc!G$5*A1570^2</f>
        <v>114.36155559999629</v>
      </c>
      <c r="H1570" s="7">
        <f>(F1570-G1570)/Speed_Calc!G$2*9.806</f>
        <v>-509.5524026012813</v>
      </c>
      <c r="I1570" s="4">
        <f t="shared" si="101"/>
        <v>42.611111111110276</v>
      </c>
    </row>
    <row r="1571" spans="1:9" x14ac:dyDescent="0.2">
      <c r="A1571" s="11">
        <v>153.49999999999699</v>
      </c>
      <c r="B1571" s="15">
        <v>3.133</v>
      </c>
      <c r="C1571" s="11">
        <f t="shared" si="98"/>
        <v>19892.055513012256</v>
      </c>
      <c r="D1571" s="11">
        <f t="shared" si="99"/>
        <v>-44400.461823617421</v>
      </c>
      <c r="E1571" s="11">
        <f t="shared" si="100"/>
        <v>-78098.532197895358</v>
      </c>
      <c r="F1571" s="11">
        <f>Speed_Calc!B$5*E1571</f>
        <v>-70288.678978105818</v>
      </c>
      <c r="G1571" s="15">
        <f>Speed_Calc!G$3+Speed_Calc!G$5*A1571^2</f>
        <v>114.48462249999629</v>
      </c>
      <c r="H1571" s="7">
        <f>(F1571-G1571)/Speed_Calc!G$2*9.806</f>
        <v>-511.38772019817816</v>
      </c>
      <c r="I1571" s="4">
        <f t="shared" si="101"/>
        <v>42.638888888888054</v>
      </c>
    </row>
    <row r="1572" spans="1:9" x14ac:dyDescent="0.2">
      <c r="A1572" s="11">
        <v>153.59999999999701</v>
      </c>
      <c r="B1572" s="15">
        <v>3.133</v>
      </c>
      <c r="C1572" s="11">
        <f t="shared" si="98"/>
        <v>19905.014506831805</v>
      </c>
      <c r="D1572" s="11">
        <f t="shared" si="99"/>
        <v>-44589.442611704697</v>
      </c>
      <c r="E1572" s="11">
        <f t="shared" si="100"/>
        <v>-78379.879590888711</v>
      </c>
      <c r="F1572" s="11">
        <f>Speed_Calc!B$5*E1572</f>
        <v>-70541.891631799837</v>
      </c>
      <c r="G1572" s="15">
        <f>Speed_Calc!G$3+Speed_Calc!G$5*A1572^2</f>
        <v>114.60776959999632</v>
      </c>
      <c r="H1572" s="7">
        <f>(F1572-G1572)/Speed_Calc!G$2*9.806</f>
        <v>-513.22787639268654</v>
      </c>
      <c r="I1572" s="4">
        <f t="shared" si="101"/>
        <v>42.666666666665833</v>
      </c>
    </row>
    <row r="1573" spans="1:9" x14ac:dyDescent="0.2">
      <c r="A1573" s="11">
        <v>153.699999999997</v>
      </c>
      <c r="B1573" s="15">
        <v>3.133</v>
      </c>
      <c r="C1573" s="11">
        <f t="shared" si="98"/>
        <v>19917.973500651366</v>
      </c>
      <c r="D1573" s="11">
        <f t="shared" si="99"/>
        <v>-44779.053823768219</v>
      </c>
      <c r="E1573" s="11">
        <f t="shared" si="100"/>
        <v>-78661.968330628835</v>
      </c>
      <c r="F1573" s="11">
        <f>Speed_Calc!B$5*E1573</f>
        <v>-70795.771497565947</v>
      </c>
      <c r="G1573" s="15">
        <f>Speed_Calc!G$3+Speed_Calc!G$5*A1573^2</f>
        <v>114.7309968999963</v>
      </c>
      <c r="H1573" s="7">
        <f>(F1573-G1573)/Speed_Calc!G$2*9.806</f>
        <v>-515.07287960054293</v>
      </c>
      <c r="I1573" s="4">
        <f t="shared" si="101"/>
        <v>42.694444444443612</v>
      </c>
    </row>
    <row r="1574" spans="1:9" x14ac:dyDescent="0.2">
      <c r="A1574" s="11">
        <v>153.799999999997</v>
      </c>
      <c r="B1574" s="15">
        <v>3.133</v>
      </c>
      <c r="C1574" s="11">
        <f t="shared" si="98"/>
        <v>19930.932494470915</v>
      </c>
      <c r="D1574" s="11">
        <f t="shared" si="99"/>
        <v>-44969.297017462442</v>
      </c>
      <c r="E1574" s="11">
        <f t="shared" si="100"/>
        <v>-78944.799705559766</v>
      </c>
      <c r="F1574" s="11">
        <f>Speed_Calc!B$5*E1574</f>
        <v>-71050.319735003795</v>
      </c>
      <c r="G1574" s="15">
        <f>Speed_Calc!G$3+Speed_Calc!G$5*A1574^2</f>
        <v>114.85430439999629</v>
      </c>
      <c r="H1574" s="7">
        <f>(F1574-G1574)/Speed_Calc!G$2*9.806</f>
        <v>-516.92273824473591</v>
      </c>
      <c r="I1574" s="4">
        <f t="shared" si="101"/>
        <v>42.72222222222139</v>
      </c>
    </row>
    <row r="1575" spans="1:9" x14ac:dyDescent="0.2">
      <c r="A1575" s="11">
        <v>153.89999999999699</v>
      </c>
      <c r="B1575" s="15">
        <v>3.133</v>
      </c>
      <c r="C1575" s="11">
        <f t="shared" si="98"/>
        <v>19943.891488290465</v>
      </c>
      <c r="D1575" s="11">
        <f t="shared" si="99"/>
        <v>-45160.173752983741</v>
      </c>
      <c r="E1575" s="11">
        <f t="shared" si="100"/>
        <v>-79228.375005236172</v>
      </c>
      <c r="F1575" s="11">
        <f>Speed_Calc!B$5*E1575</f>
        <v>-71305.537504712556</v>
      </c>
      <c r="G1575" s="15">
        <f>Speed_Calc!G$3+Speed_Calc!G$5*A1575^2</f>
        <v>114.97769209999629</v>
      </c>
      <c r="H1575" s="7">
        <f>(F1575-G1575)/Speed_Calc!G$2*9.806</f>
        <v>-518.77746075551397</v>
      </c>
      <c r="I1575" s="4">
        <f t="shared" si="101"/>
        <v>42.749999999999162</v>
      </c>
    </row>
    <row r="1576" spans="1:9" x14ac:dyDescent="0.2">
      <c r="A1576" s="11">
        <v>153.99999999999699</v>
      </c>
      <c r="B1576" s="15">
        <v>3.133</v>
      </c>
      <c r="C1576" s="11">
        <f t="shared" si="98"/>
        <v>19956.850482110014</v>
      </c>
      <c r="D1576" s="11">
        <f t="shared" si="99"/>
        <v>-45351.685593072012</v>
      </c>
      <c r="E1576" s="11">
        <f t="shared" si="100"/>
        <v>-79512.695520322624</v>
      </c>
      <c r="F1576" s="11">
        <f>Speed_Calc!B$5*E1576</f>
        <v>-71561.425968290365</v>
      </c>
      <c r="G1576" s="15">
        <f>Speed_Calc!G$3+Speed_Calc!G$5*A1576^2</f>
        <v>115.10115999999627</v>
      </c>
      <c r="H1576" s="7">
        <f>(F1576-G1576)/Speed_Calc!G$2*9.806</f>
        <v>-520.63705557038168</v>
      </c>
      <c r="I1576" s="4">
        <f t="shared" si="101"/>
        <v>42.77777777777694</v>
      </c>
    </row>
    <row r="1577" spans="1:9" x14ac:dyDescent="0.2">
      <c r="A1577" s="11">
        <v>154.09999999999701</v>
      </c>
      <c r="B1577" s="15">
        <v>3.133</v>
      </c>
      <c r="C1577" s="11">
        <f t="shared" si="98"/>
        <v>19969.809475929567</v>
      </c>
      <c r="D1577" s="11">
        <f t="shared" si="99"/>
        <v>-45543.834103012821</v>
      </c>
      <c r="E1577" s="11">
        <f t="shared" si="100"/>
        <v>-79797.762542593788</v>
      </c>
      <c r="F1577" s="11">
        <f>Speed_Calc!B$5*E1577</f>
        <v>-71817.986288334418</v>
      </c>
      <c r="G1577" s="15">
        <f>Speed_Calc!G$3+Speed_Calc!G$5*A1577^2</f>
        <v>115.22470809999629</v>
      </c>
      <c r="H1577" s="7">
        <f>(F1577-G1577)/Speed_Calc!G$2*9.806</f>
        <v>-522.50153113410056</v>
      </c>
      <c r="I1577" s="4">
        <f t="shared" si="101"/>
        <v>42.805555555554726</v>
      </c>
    </row>
    <row r="1578" spans="1:9" x14ac:dyDescent="0.2">
      <c r="A1578" s="11">
        <v>154.199999999997</v>
      </c>
      <c r="B1578" s="15">
        <v>3.133</v>
      </c>
      <c r="C1578" s="11">
        <f t="shared" si="98"/>
        <v>19982.76846974912</v>
      </c>
      <c r="D1578" s="11">
        <f t="shared" si="99"/>
        <v>-45736.620850639185</v>
      </c>
      <c r="E1578" s="11">
        <f t="shared" si="100"/>
        <v>-80083.577364933983</v>
      </c>
      <c r="F1578" s="11">
        <f>Speed_Calc!B$5*E1578</f>
        <v>-72075.21962844058</v>
      </c>
      <c r="G1578" s="15">
        <f>Speed_Calc!G$3+Speed_Calc!G$5*A1578^2</f>
        <v>115.34833639999628</v>
      </c>
      <c r="H1578" s="7">
        <f>(F1578-G1578)/Speed_Calc!G$2*9.806</f>
        <v>-524.3708958986864</v>
      </c>
      <c r="I1578" s="4">
        <f t="shared" si="101"/>
        <v>42.833333333332497</v>
      </c>
    </row>
    <row r="1579" spans="1:9" x14ac:dyDescent="0.2">
      <c r="A1579" s="11">
        <v>154.299999999997</v>
      </c>
      <c r="B1579" s="15">
        <v>3.133</v>
      </c>
      <c r="C1579" s="11">
        <f t="shared" si="98"/>
        <v>19995.72746356867</v>
      </c>
      <c r="D1579" s="11">
        <f t="shared" si="99"/>
        <v>-45930.04740633395</v>
      </c>
      <c r="E1579" s="11">
        <f t="shared" si="100"/>
        <v>-80370.14128133771</v>
      </c>
      <c r="F1579" s="11">
        <f>Speed_Calc!B$5*E1579</f>
        <v>-72333.127153203939</v>
      </c>
      <c r="G1579" s="15">
        <f>Speed_Calc!G$3+Speed_Calc!G$5*A1579^2</f>
        <v>115.47204489999628</v>
      </c>
      <c r="H1579" s="7">
        <f>(F1579-G1579)/Speed_Calc!G$2*9.806</f>
        <v>-526.24515832341274</v>
      </c>
      <c r="I1579" s="4">
        <f t="shared" si="101"/>
        <v>42.861111111110276</v>
      </c>
    </row>
    <row r="1580" spans="1:9" x14ac:dyDescent="0.2">
      <c r="A1580" s="11">
        <v>154.39999999999699</v>
      </c>
      <c r="B1580" s="15">
        <v>3.133</v>
      </c>
      <c r="C1580" s="11">
        <f t="shared" si="98"/>
        <v>20008.686457388219</v>
      </c>
      <c r="D1580" s="11">
        <f t="shared" si="99"/>
        <v>-46124.115343031895</v>
      </c>
      <c r="E1580" s="11">
        <f t="shared" si="100"/>
        <v>-80657.455586909695</v>
      </c>
      <c r="F1580" s="11">
        <f>Speed_Calc!B$5*E1580</f>
        <v>-72591.710028218731</v>
      </c>
      <c r="G1580" s="15">
        <f>Speed_Calc!G$3+Speed_Calc!G$5*A1580^2</f>
        <v>115.59583359999627</v>
      </c>
      <c r="H1580" s="7">
        <f>(F1580-G1580)/Speed_Calc!G$2*9.806</f>
        <v>-528.12432687481055</v>
      </c>
      <c r="I1580" s="4">
        <f t="shared" si="101"/>
        <v>42.888888888888054</v>
      </c>
    </row>
    <row r="1581" spans="1:9" x14ac:dyDescent="0.2">
      <c r="A1581" s="11">
        <v>154.49999999999699</v>
      </c>
      <c r="B1581" s="15">
        <v>3.133</v>
      </c>
      <c r="C1581" s="11">
        <f t="shared" si="98"/>
        <v>20021.645451207776</v>
      </c>
      <c r="D1581" s="11">
        <f t="shared" si="99"/>
        <v>-46318.826236221619</v>
      </c>
      <c r="E1581" s="11">
        <f t="shared" si="100"/>
        <v>-80945.521577864594</v>
      </c>
      <c r="F1581" s="11">
        <f>Speed_Calc!B$5*E1581</f>
        <v>-72850.969420078138</v>
      </c>
      <c r="G1581" s="15">
        <f>Speed_Calc!G$3+Speed_Calc!G$5*A1581^2</f>
        <v>115.71970249999626</v>
      </c>
      <c r="H1581" s="7">
        <f>(F1581-G1581)/Speed_Calc!G$2*9.806</f>
        <v>-530.00841002666743</v>
      </c>
      <c r="I1581" s="4">
        <f t="shared" si="101"/>
        <v>42.916666666665826</v>
      </c>
    </row>
    <row r="1582" spans="1:9" x14ac:dyDescent="0.2">
      <c r="A1582" s="11">
        <v>154.59999999999701</v>
      </c>
      <c r="B1582" s="15">
        <v>3.133</v>
      </c>
      <c r="C1582" s="11">
        <f t="shared" si="98"/>
        <v>20034.604445027333</v>
      </c>
      <c r="D1582" s="11">
        <f t="shared" si="99"/>
        <v>-46514.181663947435</v>
      </c>
      <c r="E1582" s="11">
        <f t="shared" si="100"/>
        <v>-81234.340551526824</v>
      </c>
      <c r="F1582" s="11">
        <f>Speed_Calc!B$5*E1582</f>
        <v>-73110.90649637414</v>
      </c>
      <c r="G1582" s="15">
        <f>Speed_Calc!G$3+Speed_Calc!G$5*A1582^2</f>
        <v>115.84365159999629</v>
      </c>
      <c r="H1582" s="7">
        <f>(F1582-G1582)/Speed_Calc!G$2*9.806</f>
        <v>-531.89741626002535</v>
      </c>
      <c r="I1582" s="4">
        <f t="shared" si="101"/>
        <v>42.944444444443612</v>
      </c>
    </row>
    <row r="1583" spans="1:9" x14ac:dyDescent="0.2">
      <c r="A1583" s="11">
        <v>154.699999999997</v>
      </c>
      <c r="B1583" s="15">
        <v>3.133</v>
      </c>
      <c r="C1583" s="11">
        <f t="shared" si="98"/>
        <v>20047.563438846886</v>
      </c>
      <c r="D1583" s="11">
        <f t="shared" si="99"/>
        <v>-46710.183206811627</v>
      </c>
      <c r="E1583" s="11">
        <f t="shared" si="100"/>
        <v>-81523.913806330849</v>
      </c>
      <c r="F1583" s="11">
        <f>Speed_Calc!B$5*E1583</f>
        <v>-73371.522425697767</v>
      </c>
      <c r="G1583" s="15">
        <f>Speed_Calc!G$3+Speed_Calc!G$5*A1583^2</f>
        <v>115.96768089999627</v>
      </c>
      <c r="H1583" s="7">
        <f>(F1583-G1583)/Speed_Calc!G$2*9.806</f>
        <v>-533.79135406318335</v>
      </c>
      <c r="I1583" s="4">
        <f t="shared" si="101"/>
        <v>42.97222222222139</v>
      </c>
    </row>
    <row r="1584" spans="1:9" x14ac:dyDescent="0.2">
      <c r="A1584" s="11">
        <v>154.799999999997</v>
      </c>
      <c r="B1584" s="15">
        <v>3.133</v>
      </c>
      <c r="C1584" s="11">
        <f t="shared" si="98"/>
        <v>20060.522432666436</v>
      </c>
      <c r="D1584" s="11">
        <f t="shared" si="99"/>
        <v>-46906.83244797666</v>
      </c>
      <c r="E1584" s="11">
        <f t="shared" si="100"/>
        <v>-81814.242641821344</v>
      </c>
      <c r="F1584" s="11">
        <f>Speed_Calc!B$5*E1584</f>
        <v>-73632.818377639211</v>
      </c>
      <c r="G1584" s="15">
        <f>Speed_Calc!G$3+Speed_Calc!G$5*A1584^2</f>
        <v>116.09179039999626</v>
      </c>
      <c r="H1584" s="7">
        <f>(F1584-G1584)/Speed_Calc!G$2*9.806</f>
        <v>-535.69023193169801</v>
      </c>
      <c r="I1584" s="4">
        <f t="shared" si="101"/>
        <v>42.999999999999169</v>
      </c>
    </row>
    <row r="1585" spans="1:9" x14ac:dyDescent="0.2">
      <c r="A1585" s="11">
        <v>154.89999999999699</v>
      </c>
      <c r="B1585" s="15">
        <v>3.133</v>
      </c>
      <c r="C1585" s="11">
        <f t="shared" si="98"/>
        <v>20073.481426485985</v>
      </c>
      <c r="D1585" s="11">
        <f t="shared" si="99"/>
        <v>-47104.130973166968</v>
      </c>
      <c r="E1585" s="11">
        <f t="shared" si="100"/>
        <v>-82105.328358652827</v>
      </c>
      <c r="F1585" s="11">
        <f>Speed_Calc!B$5*E1585</f>
        <v>-73894.79552278755</v>
      </c>
      <c r="G1585" s="15">
        <f>Speed_Calc!G$3+Speed_Calc!G$5*A1585^2</f>
        <v>116.21598009999624</v>
      </c>
      <c r="H1585" s="7">
        <f>(F1585-G1585)/Speed_Calc!G$2*9.806</f>
        <v>-537.59405836838164</v>
      </c>
      <c r="I1585" s="4">
        <f t="shared" si="101"/>
        <v>43.02777777777694</v>
      </c>
    </row>
    <row r="1586" spans="1:9" x14ac:dyDescent="0.2">
      <c r="A1586" s="11">
        <v>154.99999999999699</v>
      </c>
      <c r="B1586" s="15">
        <v>3.133</v>
      </c>
      <c r="C1586" s="11">
        <f t="shared" si="98"/>
        <v>20086.440420305538</v>
      </c>
      <c r="D1586" s="11">
        <f t="shared" si="99"/>
        <v>-47302.080370671232</v>
      </c>
      <c r="E1586" s="11">
        <f t="shared" si="100"/>
        <v>-82397.172258590203</v>
      </c>
      <c r="F1586" s="11">
        <f>Speed_Calc!B$5*E1586</f>
        <v>-74157.455032731188</v>
      </c>
      <c r="G1586" s="15">
        <f>Speed_Calc!G$3+Speed_Calc!G$5*A1586^2</f>
        <v>116.34024999999625</v>
      </c>
      <c r="H1586" s="7">
        <f>(F1586-G1586)/Speed_Calc!G$2*9.806</f>
        <v>-539.50284188330511</v>
      </c>
      <c r="I1586" s="4">
        <f t="shared" si="101"/>
        <v>43.055555555554719</v>
      </c>
    </row>
    <row r="1587" spans="1:9" x14ac:dyDescent="0.2">
      <c r="A1587" s="11">
        <v>155.09999999999701</v>
      </c>
      <c r="B1587" s="15">
        <v>3.133</v>
      </c>
      <c r="C1587" s="11">
        <f t="shared" si="98"/>
        <v>20099.399414125091</v>
      </c>
      <c r="D1587" s="11">
        <f t="shared" si="99"/>
        <v>-47500.682231344108</v>
      </c>
      <c r="E1587" s="11">
        <f t="shared" si="100"/>
        <v>-82689.775644507798</v>
      </c>
      <c r="F1587" s="11">
        <f>Speed_Calc!B$5*E1587</f>
        <v>-74420.798080057022</v>
      </c>
      <c r="G1587" s="15">
        <f>Speed_Calc!G$3+Speed_Calc!G$5*A1587^2</f>
        <v>116.46460009999626</v>
      </c>
      <c r="H1587" s="7">
        <f>(F1587-G1587)/Speed_Calc!G$2*9.806</f>
        <v>-541.41659099379228</v>
      </c>
      <c r="I1587" s="4">
        <f t="shared" si="101"/>
        <v>43.083333333332504</v>
      </c>
    </row>
    <row r="1588" spans="1:9" x14ac:dyDescent="0.2">
      <c r="A1588" s="11">
        <v>155.199999999997</v>
      </c>
      <c r="B1588" s="15">
        <v>3.133</v>
      </c>
      <c r="C1588" s="11">
        <f t="shared" si="98"/>
        <v>20112.358407944641</v>
      </c>
      <c r="D1588" s="11">
        <f t="shared" si="99"/>
        <v>-47699.938148608569</v>
      </c>
      <c r="E1588" s="11">
        <f t="shared" si="100"/>
        <v>-82983.13982039025</v>
      </c>
      <c r="F1588" s="11">
        <f>Speed_Calc!B$5*E1588</f>
        <v>-74684.825838351229</v>
      </c>
      <c r="G1588" s="15">
        <f>Speed_Calc!G$3+Speed_Calc!G$5*A1588^2</f>
        <v>116.58903039999626</v>
      </c>
      <c r="H1588" s="7">
        <f>(F1588-G1588)/Speed_Calc!G$2*9.806</f>
        <v>-543.33531422442547</v>
      </c>
      <c r="I1588" s="4">
        <f t="shared" si="101"/>
        <v>43.111111111110276</v>
      </c>
    </row>
    <row r="1589" spans="1:9" x14ac:dyDescent="0.2">
      <c r="A1589" s="11">
        <v>155.299999999997</v>
      </c>
      <c r="B1589" s="15">
        <v>3.133</v>
      </c>
      <c r="C1589" s="11">
        <f t="shared" si="98"/>
        <v>20125.317401764194</v>
      </c>
      <c r="D1589" s="11">
        <f t="shared" si="99"/>
        <v>-47899.849718458034</v>
      </c>
      <c r="E1589" s="11">
        <f t="shared" si="100"/>
        <v>-83277.266091332393</v>
      </c>
      <c r="F1589" s="11">
        <f>Speed_Calc!B$5*E1589</f>
        <v>-74949.53948219915</v>
      </c>
      <c r="G1589" s="15">
        <f>Speed_Calc!G$3+Speed_Calc!G$5*A1589^2</f>
        <v>116.71354089999626</v>
      </c>
      <c r="H1589" s="7">
        <f>(F1589-G1589)/Speed_Calc!G$2*9.806</f>
        <v>-545.25902010704453</v>
      </c>
      <c r="I1589" s="4">
        <f t="shared" si="101"/>
        <v>43.138888888888054</v>
      </c>
    </row>
    <row r="1590" spans="1:9" x14ac:dyDescent="0.2">
      <c r="A1590" s="11">
        <v>155.39999999999699</v>
      </c>
      <c r="B1590" s="15">
        <v>3.133</v>
      </c>
      <c r="C1590" s="11">
        <f t="shared" si="98"/>
        <v>20138.276395583744</v>
      </c>
      <c r="D1590" s="11">
        <f t="shared" si="99"/>
        <v>-48100.418539457954</v>
      </c>
      <c r="E1590" s="11">
        <f t="shared" si="100"/>
        <v>-83572.155763538627</v>
      </c>
      <c r="F1590" s="11">
        <f>Speed_Calc!B$5*E1590</f>
        <v>-75214.940187184766</v>
      </c>
      <c r="G1590" s="15">
        <f>Speed_Calc!G$3+Speed_Calc!G$5*A1590^2</f>
        <v>116.83813159999625</v>
      </c>
      <c r="H1590" s="7">
        <f>(F1590-G1590)/Speed_Calc!G$2*9.806</f>
        <v>-547.18771718074322</v>
      </c>
      <c r="I1590" s="4">
        <f t="shared" si="101"/>
        <v>43.166666666665833</v>
      </c>
    </row>
    <row r="1591" spans="1:9" x14ac:dyDescent="0.2">
      <c r="A1591" s="11">
        <v>155.49999999999699</v>
      </c>
      <c r="B1591" s="15">
        <v>3.133</v>
      </c>
      <c r="C1591" s="11">
        <f t="shared" si="98"/>
        <v>20151.235389403293</v>
      </c>
      <c r="D1591" s="11">
        <f t="shared" si="99"/>
        <v>-48301.646212748412</v>
      </c>
      <c r="E1591" s="11">
        <f t="shared" si="100"/>
        <v>-83867.810144323652</v>
      </c>
      <c r="F1591" s="11">
        <f>Speed_Calc!B$5*E1591</f>
        <v>-75481.029129891293</v>
      </c>
      <c r="G1591" s="15">
        <f>Speed_Calc!G$3+Speed_Calc!G$5*A1591^2</f>
        <v>116.96280249999623</v>
      </c>
      <c r="H1591" s="7">
        <f>(F1591-G1591)/Speed_Calc!G$2*9.806</f>
        <v>-549.12141399187328</v>
      </c>
      <c r="I1591" s="4">
        <f t="shared" si="101"/>
        <v>43.194444444443604</v>
      </c>
    </row>
    <row r="1592" spans="1:9" x14ac:dyDescent="0.2">
      <c r="A1592" s="11">
        <v>155.59999999999701</v>
      </c>
      <c r="B1592" s="15">
        <v>3.133</v>
      </c>
      <c r="C1592" s="11">
        <f t="shared" si="98"/>
        <v>20164.19438322285</v>
      </c>
      <c r="D1592" s="11">
        <f t="shared" si="99"/>
        <v>-48503.534342046049</v>
      </c>
      <c r="E1592" s="11">
        <f t="shared" si="100"/>
        <v>-84164.230542112389</v>
      </c>
      <c r="F1592" s="11">
        <f>Speed_Calc!B$5*E1592</f>
        <v>-75747.807487901155</v>
      </c>
      <c r="G1592" s="15">
        <f>Speed_Calc!G$3+Speed_Calc!G$5*A1592^2</f>
        <v>117.08755359999626</v>
      </c>
      <c r="H1592" s="7">
        <f>(F1592-G1592)/Speed_Calc!G$2*9.806</f>
        <v>-551.06011909404458</v>
      </c>
      <c r="I1592" s="4">
        <f t="shared" si="101"/>
        <v>43.22222222222139</v>
      </c>
    </row>
    <row r="1593" spans="1:9" x14ac:dyDescent="0.2">
      <c r="A1593" s="11">
        <v>155.699999999997</v>
      </c>
      <c r="B1593" s="15">
        <v>3.133</v>
      </c>
      <c r="C1593" s="11">
        <f t="shared" si="98"/>
        <v>20177.153377042403</v>
      </c>
      <c r="D1593" s="11">
        <f t="shared" si="99"/>
        <v>-48706.08453364564</v>
      </c>
      <c r="E1593" s="11">
        <f t="shared" si="100"/>
        <v>-84461.41826643917</v>
      </c>
      <c r="F1593" s="11">
        <f>Speed_Calc!B$5*E1593</f>
        <v>-76015.276439795256</v>
      </c>
      <c r="G1593" s="15">
        <f>Speed_Calc!G$3+Speed_Calc!G$5*A1593^2</f>
        <v>117.21238489999625</v>
      </c>
      <c r="H1593" s="7">
        <f>(F1593-G1593)/Speed_Calc!G$2*9.806</f>
        <v>-553.00384104811963</v>
      </c>
      <c r="I1593" s="4">
        <f t="shared" si="101"/>
        <v>43.249999999999169</v>
      </c>
    </row>
    <row r="1594" spans="1:9" x14ac:dyDescent="0.2">
      <c r="A1594" s="11">
        <v>155.799999999997</v>
      </c>
      <c r="B1594" s="15">
        <v>3.133</v>
      </c>
      <c r="C1594" s="11">
        <f t="shared" si="98"/>
        <v>20190.112370861956</v>
      </c>
      <c r="D1594" s="11">
        <f t="shared" si="99"/>
        <v>-48909.298396422833</v>
      </c>
      <c r="E1594" s="11">
        <f t="shared" si="100"/>
        <v>-84759.374627948768</v>
      </c>
      <c r="F1594" s="11">
        <f>Speed_Calc!B$5*E1594</f>
        <v>-76283.437165153897</v>
      </c>
      <c r="G1594" s="15">
        <f>Speed_Calc!G$3+Speed_Calc!G$5*A1594^2</f>
        <v>117.33729639999623</v>
      </c>
      <c r="H1594" s="7">
        <f>(F1594-G1594)/Speed_Calc!G$2*9.806</f>
        <v>-554.95258842222029</v>
      </c>
      <c r="I1594" s="4">
        <f t="shared" si="101"/>
        <v>43.27777777777694</v>
      </c>
    </row>
    <row r="1595" spans="1:9" x14ac:dyDescent="0.2">
      <c r="A1595" s="11">
        <v>155.89999999999699</v>
      </c>
      <c r="B1595" s="15">
        <v>3.133</v>
      </c>
      <c r="C1595" s="11">
        <f t="shared" si="98"/>
        <v>20203.071364681509</v>
      </c>
      <c r="D1595" s="11">
        <f t="shared" si="99"/>
        <v>-49113.177541835845</v>
      </c>
      <c r="E1595" s="11">
        <f t="shared" si="100"/>
        <v>-85058.100938395975</v>
      </c>
      <c r="F1595" s="11">
        <f>Speed_Calc!B$5*E1595</f>
        <v>-76552.290844556381</v>
      </c>
      <c r="G1595" s="15">
        <f>Speed_Calc!G$3+Speed_Calc!G$5*A1595^2</f>
        <v>117.46228809999623</v>
      </c>
      <c r="H1595" s="7">
        <f>(F1595-G1595)/Speed_Calc!G$2*9.806</f>
        <v>-556.90636979172473</v>
      </c>
      <c r="I1595" s="4">
        <f t="shared" si="101"/>
        <v>43.305555555554719</v>
      </c>
    </row>
    <row r="1596" spans="1:9" x14ac:dyDescent="0.2">
      <c r="A1596" s="11">
        <v>155.99999999999699</v>
      </c>
      <c r="B1596" s="15">
        <v>3.133</v>
      </c>
      <c r="C1596" s="11">
        <f t="shared" si="98"/>
        <v>20216.030358501059</v>
      </c>
      <c r="D1596" s="11">
        <f t="shared" si="99"/>
        <v>-49317.723583927429</v>
      </c>
      <c r="E1596" s="11">
        <f t="shared" si="100"/>
        <v>-85357.598510645286</v>
      </c>
      <c r="F1596" s="11">
        <f>Speed_Calc!B$5*E1596</f>
        <v>-76821.838659580753</v>
      </c>
      <c r="G1596" s="15">
        <f>Speed_Calc!G$3+Speed_Calc!G$5*A1596^2</f>
        <v>117.58735999999622</v>
      </c>
      <c r="H1596" s="7">
        <f>(F1596-G1596)/Speed_Calc!G$2*9.806</f>
        <v>-558.86519373926569</v>
      </c>
      <c r="I1596" s="4">
        <f t="shared" si="101"/>
        <v>43.333333333332497</v>
      </c>
    </row>
    <row r="1597" spans="1:9" x14ac:dyDescent="0.2">
      <c r="A1597" s="11">
        <v>156.09999999999701</v>
      </c>
      <c r="B1597" s="15">
        <v>3.133</v>
      </c>
      <c r="C1597" s="11">
        <f t="shared" si="98"/>
        <v>20228.989352320619</v>
      </c>
      <c r="D1597" s="11">
        <f t="shared" si="99"/>
        <v>-49522.938139327394</v>
      </c>
      <c r="E1597" s="11">
        <f t="shared" si="100"/>
        <v>-85657.86865867165</v>
      </c>
      <c r="F1597" s="11">
        <f>Speed_Calc!B$5*E1597</f>
        <v>-77092.081792804485</v>
      </c>
      <c r="G1597" s="15">
        <f>Speed_Calc!G$3+Speed_Calc!G$5*A1597^2</f>
        <v>117.71251209999626</v>
      </c>
      <c r="H1597" s="7">
        <f>(F1597-G1597)/Speed_Calc!G$2*9.806</f>
        <v>-560.82906885473574</v>
      </c>
      <c r="I1597" s="4">
        <f t="shared" si="101"/>
        <v>43.361111111110283</v>
      </c>
    </row>
    <row r="1598" spans="1:9" x14ac:dyDescent="0.2">
      <c r="A1598" s="11">
        <v>156.199999999997</v>
      </c>
      <c r="B1598" s="15">
        <v>3.133</v>
      </c>
      <c r="C1598" s="11">
        <f t="shared" si="98"/>
        <v>20241.948346140165</v>
      </c>
      <c r="D1598" s="11">
        <f t="shared" si="99"/>
        <v>-49728.822827253847</v>
      </c>
      <c r="E1598" s="11">
        <f t="shared" si="100"/>
        <v>-85958.912697559528</v>
      </c>
      <c r="F1598" s="11">
        <f>Speed_Calc!B$5*E1598</f>
        <v>-77363.021427803571</v>
      </c>
      <c r="G1598" s="15">
        <f>Speed_Calc!G$3+Speed_Calc!G$5*A1598^2</f>
        <v>117.83774439999624</v>
      </c>
      <c r="H1598" s="7">
        <f>(F1598-G1598)/Speed_Calc!G$2*9.806</f>
        <v>-562.79800373528008</v>
      </c>
      <c r="I1598" s="4">
        <f t="shared" si="101"/>
        <v>43.388888888888054</v>
      </c>
    </row>
    <row r="1599" spans="1:9" x14ac:dyDescent="0.2">
      <c r="A1599" s="11">
        <v>156.299999999997</v>
      </c>
      <c r="B1599" s="15">
        <v>3.133</v>
      </c>
      <c r="C1599" s="11">
        <f t="shared" si="98"/>
        <v>20254.907339959715</v>
      </c>
      <c r="D1599" s="11">
        <f t="shared" si="99"/>
        <v>-49935.379269516096</v>
      </c>
      <c r="E1599" s="11">
        <f t="shared" si="100"/>
        <v>-86260.731943503575</v>
      </c>
      <c r="F1599" s="11">
        <f>Speed_Calc!B$5*E1599</f>
        <v>-77634.658749153226</v>
      </c>
      <c r="G1599" s="15">
        <f>Speed_Calc!G$3+Speed_Calc!G$5*A1599^2</f>
        <v>117.96305689999622</v>
      </c>
      <c r="H1599" s="7">
        <f>(F1599-G1599)/Speed_Calc!G$2*9.806</f>
        <v>-564.77200698530214</v>
      </c>
      <c r="I1599" s="4">
        <f t="shared" si="101"/>
        <v>43.416666666665833</v>
      </c>
    </row>
    <row r="1600" spans="1:9" x14ac:dyDescent="0.2">
      <c r="A1600" s="11">
        <v>156.39999999999699</v>
      </c>
      <c r="B1600" s="15">
        <v>3.133</v>
      </c>
      <c r="C1600" s="11">
        <f t="shared" si="98"/>
        <v>20267.866333779271</v>
      </c>
      <c r="D1600" s="11">
        <f t="shared" si="99"/>
        <v>-50142.609090516533</v>
      </c>
      <c r="E1600" s="11">
        <f t="shared" si="100"/>
        <v>-86563.327713808947</v>
      </c>
      <c r="F1600" s="11">
        <f>Speed_Calc!B$5*E1600</f>
        <v>-77906.994942428049</v>
      </c>
      <c r="G1600" s="15">
        <f>Speed_Calc!G$3+Speed_Calc!G$5*A1600^2</f>
        <v>118.08844959999622</v>
      </c>
      <c r="H1600" s="7">
        <f>(F1600-G1600)/Speed_Calc!G$2*9.806</f>
        <v>-566.75108721646438</v>
      </c>
      <c r="I1600" s="4">
        <f t="shared" si="101"/>
        <v>43.444444444443612</v>
      </c>
    </row>
    <row r="1601" spans="1:9" x14ac:dyDescent="0.2">
      <c r="A1601" s="11">
        <v>156.49999999999699</v>
      </c>
      <c r="B1601" s="15">
        <v>3.133</v>
      </c>
      <c r="C1601" s="11">
        <f t="shared" si="98"/>
        <v>20280.825327598817</v>
      </c>
      <c r="D1601" s="11">
        <f t="shared" si="99"/>
        <v>-50350.513917251876</v>
      </c>
      <c r="E1601" s="11">
        <f t="shared" si="100"/>
        <v>-86866.701326889888</v>
      </c>
      <c r="F1601" s="11">
        <f>Speed_Calc!B$5*E1601</f>
        <v>-78180.031194200899</v>
      </c>
      <c r="G1601" s="15">
        <f>Speed_Calc!G$3+Speed_Calc!G$5*A1601^2</f>
        <v>118.21392249999622</v>
      </c>
      <c r="H1601" s="7">
        <f>(F1601-G1601)/Speed_Calc!G$2*9.806</f>
        <v>-568.73525304768077</v>
      </c>
      <c r="I1601" s="4">
        <f t="shared" si="101"/>
        <v>43.472222222221383</v>
      </c>
    </row>
    <row r="1602" spans="1:9" x14ac:dyDescent="0.2">
      <c r="A1602" s="11">
        <v>156.59999999999701</v>
      </c>
      <c r="B1602" s="15">
        <v>3.133</v>
      </c>
      <c r="C1602" s="11">
        <f t="shared" si="98"/>
        <v>20293.78432141837</v>
      </c>
      <c r="D1602" s="11">
        <f t="shared" si="99"/>
        <v>-50559.095379316517</v>
      </c>
      <c r="E1602" s="11">
        <f t="shared" si="100"/>
        <v>-87170.854102271536</v>
      </c>
      <c r="F1602" s="11">
        <f>Speed_Calc!B$5*E1602</f>
        <v>-78453.768692044381</v>
      </c>
      <c r="G1602" s="15">
        <f>Speed_Calc!G$3+Speed_Calc!G$5*A1602^2</f>
        <v>118.33947559999623</v>
      </c>
      <c r="H1602" s="7">
        <f>(F1602-G1602)/Speed_Calc!G$2*9.806</f>
        <v>-570.72451310512645</v>
      </c>
      <c r="I1602" s="4">
        <f t="shared" si="101"/>
        <v>43.499999999999169</v>
      </c>
    </row>
    <row r="1603" spans="1:9" x14ac:dyDescent="0.2">
      <c r="A1603" s="11">
        <v>156.699999999997</v>
      </c>
      <c r="B1603" s="15">
        <v>3.133</v>
      </c>
      <c r="C1603" s="11">
        <f t="shared" si="98"/>
        <v>20306.743315237924</v>
      </c>
      <c r="D1603" s="11">
        <f t="shared" si="99"/>
        <v>-50768.355108903539</v>
      </c>
      <c r="E1603" s="11">
        <f t="shared" si="100"/>
        <v>-87475.787360588525</v>
      </c>
      <c r="F1603" s="11">
        <f>Speed_Calc!B$5*E1603</f>
        <v>-78728.208624529681</v>
      </c>
      <c r="G1603" s="15">
        <f>Speed_Calc!G$3+Speed_Calc!G$5*A1603^2</f>
        <v>118.46510889999622</v>
      </c>
      <c r="H1603" s="7">
        <f>(F1603-G1603)/Speed_Calc!G$2*9.806</f>
        <v>-572.71887602223069</v>
      </c>
      <c r="I1603" s="4">
        <f t="shared" si="101"/>
        <v>43.527777777776947</v>
      </c>
    </row>
    <row r="1604" spans="1:9" x14ac:dyDescent="0.2">
      <c r="A1604" s="11">
        <v>156.799999999997</v>
      </c>
      <c r="B1604" s="15">
        <v>3.133</v>
      </c>
      <c r="C1604" s="11">
        <f t="shared" si="98"/>
        <v>20319.702309057473</v>
      </c>
      <c r="D1604" s="11">
        <f t="shared" si="99"/>
        <v>-50978.29474080709</v>
      </c>
      <c r="E1604" s="11">
        <f t="shared" si="100"/>
        <v>-87781.502423585349</v>
      </c>
      <c r="F1604" s="11">
        <f>Speed_Calc!B$5*E1604</f>
        <v>-79003.352181226815</v>
      </c>
      <c r="G1604" s="15">
        <f>Speed_Calc!G$3+Speed_Calc!G$5*A1604^2</f>
        <v>118.59082239999621</v>
      </c>
      <c r="H1604" s="7">
        <f>(F1604-G1604)/Speed_Calc!G$2*9.806</f>
        <v>-574.71835043967747</v>
      </c>
      <c r="I1604" s="4">
        <f t="shared" si="101"/>
        <v>43.555555555554719</v>
      </c>
    </row>
    <row r="1605" spans="1:9" x14ac:dyDescent="0.2">
      <c r="A1605" s="11">
        <v>156.89999999999699</v>
      </c>
      <c r="B1605" s="15">
        <v>3.133</v>
      </c>
      <c r="C1605" s="11">
        <f t="shared" si="98"/>
        <v>20332.661302877026</v>
      </c>
      <c r="D1605" s="11">
        <f t="shared" si="99"/>
        <v>-51188.915912424884</v>
      </c>
      <c r="E1605" s="11">
        <f t="shared" si="100"/>
        <v>-88088.000614117176</v>
      </c>
      <c r="F1605" s="11">
        <f>Speed_Calc!B$5*E1605</f>
        <v>-79279.200552705457</v>
      </c>
      <c r="G1605" s="15">
        <f>Speed_Calc!G$3+Speed_Calc!G$5*A1605^2</f>
        <v>118.7166160999962</v>
      </c>
      <c r="H1605" s="7">
        <f>(F1605-G1605)/Speed_Calc!G$2*9.806</f>
        <v>-576.72294500541204</v>
      </c>
      <c r="I1605" s="4">
        <f t="shared" si="101"/>
        <v>43.583333333332497</v>
      </c>
    </row>
    <row r="1606" spans="1:9" x14ac:dyDescent="0.2">
      <c r="A1606" s="11">
        <v>156.99999999999699</v>
      </c>
      <c r="B1606" s="15">
        <v>3.133</v>
      </c>
      <c r="C1606" s="11">
        <f t="shared" si="98"/>
        <v>20345.620296696587</v>
      </c>
      <c r="D1606" s="11">
        <f t="shared" si="99"/>
        <v>-51400.220263759598</v>
      </c>
      <c r="E1606" s="11">
        <f t="shared" si="100"/>
        <v>-88395.283256148759</v>
      </c>
      <c r="F1606" s="11">
        <f>Speed_Calc!B$5*E1606</f>
        <v>-79555.754930533891</v>
      </c>
      <c r="G1606" s="15">
        <f>Speed_Calc!G$3+Speed_Calc!G$5*A1606^2</f>
        <v>118.8424899999962</v>
      </c>
      <c r="H1606" s="7">
        <f>(F1606-G1606)/Speed_Calc!G$2*9.806</f>
        <v>-578.73266837463348</v>
      </c>
      <c r="I1606" s="4">
        <f t="shared" si="101"/>
        <v>43.611111111110276</v>
      </c>
    </row>
    <row r="1607" spans="1:9" x14ac:dyDescent="0.2">
      <c r="A1607" s="11">
        <v>157.09999999999701</v>
      </c>
      <c r="B1607" s="15">
        <v>3.133</v>
      </c>
      <c r="C1607" s="11">
        <f t="shared" si="98"/>
        <v>20358.579290516136</v>
      </c>
      <c r="D1607" s="11">
        <f t="shared" si="99"/>
        <v>-51612.209437420956</v>
      </c>
      <c r="E1607" s="11">
        <f t="shared" si="100"/>
        <v>-88703.351674754449</v>
      </c>
      <c r="F1607" s="11">
        <f>Speed_Calc!B$5*E1607</f>
        <v>-79833.016507279011</v>
      </c>
      <c r="G1607" s="15">
        <f>Speed_Calc!G$3+Speed_Calc!G$5*A1607^2</f>
        <v>118.96844409999623</v>
      </c>
      <c r="H1607" s="7">
        <f>(F1607-G1607)/Speed_Calc!G$2*9.806</f>
        <v>-580.74752920979438</v>
      </c>
      <c r="I1607" s="4">
        <f t="shared" si="101"/>
        <v>43.638888888888054</v>
      </c>
    </row>
    <row r="1608" spans="1:9" x14ac:dyDescent="0.2">
      <c r="A1608" s="11">
        <v>157.199999999997</v>
      </c>
      <c r="B1608" s="15">
        <v>3.133</v>
      </c>
      <c r="C1608" s="11">
        <f t="shared" si="98"/>
        <v>20371.538284335686</v>
      </c>
      <c r="D1608" s="11">
        <f t="shared" si="99"/>
        <v>-51824.885078628497</v>
      </c>
      <c r="E1608" s="11">
        <f t="shared" si="100"/>
        <v>-89012.207196119343</v>
      </c>
      <c r="F1608" s="11">
        <f>Speed_Calc!B$5*E1608</f>
        <v>-80110.986476507416</v>
      </c>
      <c r="G1608" s="15">
        <f>Speed_Calc!G$3+Speed_Calc!G$5*A1608^2</f>
        <v>119.09447839999622</v>
      </c>
      <c r="H1608" s="7">
        <f>(F1608-G1608)/Speed_Calc!G$2*9.806</f>
        <v>-582.767536180609</v>
      </c>
      <c r="I1608" s="4">
        <f t="shared" si="101"/>
        <v>43.666666666665833</v>
      </c>
    </row>
    <row r="1609" spans="1:9" x14ac:dyDescent="0.2">
      <c r="A1609" s="11">
        <v>157.299999999997</v>
      </c>
      <c r="B1609" s="15">
        <v>3.133</v>
      </c>
      <c r="C1609" s="11">
        <f t="shared" si="98"/>
        <v>20384.497278155242</v>
      </c>
      <c r="D1609" s="11">
        <f t="shared" si="99"/>
        <v>-52038.24883521306</v>
      </c>
      <c r="E1609" s="11">
        <f t="shared" si="100"/>
        <v>-89321.851147538415</v>
      </c>
      <c r="F1609" s="11">
        <f>Speed_Calc!B$5*E1609</f>
        <v>-80389.666032784575</v>
      </c>
      <c r="G1609" s="15">
        <f>Speed_Calc!G$3+Speed_Calc!G$5*A1609^2</f>
        <v>119.22059289999621</v>
      </c>
      <c r="H1609" s="7">
        <f>(F1609-G1609)/Speed_Calc!G$2*9.806</f>
        <v>-584.79269796404651</v>
      </c>
      <c r="I1609" s="4">
        <f t="shared" si="101"/>
        <v>43.694444444443612</v>
      </c>
    </row>
    <row r="1610" spans="1:9" x14ac:dyDescent="0.2">
      <c r="A1610" s="11">
        <v>157.39999999999699</v>
      </c>
      <c r="B1610" s="15">
        <v>3.133</v>
      </c>
      <c r="C1610" s="11">
        <f t="shared" si="98"/>
        <v>20397.456271974792</v>
      </c>
      <c r="D1610" s="11">
        <f t="shared" si="99"/>
        <v>-52252.302357618566</v>
      </c>
      <c r="E1610" s="11">
        <f t="shared" si="100"/>
        <v>-89632.284857416016</v>
      </c>
      <c r="F1610" s="11">
        <f>Speed_Calc!B$5*E1610</f>
        <v>-80669.056371674422</v>
      </c>
      <c r="G1610" s="15">
        <f>Speed_Calc!G$3+Speed_Calc!G$5*A1610^2</f>
        <v>119.34678759999619</v>
      </c>
      <c r="H1610" s="7">
        <f>(F1610-G1610)/Speed_Calc!G$2*9.806</f>
        <v>-586.82302324432953</v>
      </c>
      <c r="I1610" s="4">
        <f t="shared" si="101"/>
        <v>43.722222222221383</v>
      </c>
    </row>
    <row r="1611" spans="1:9" x14ac:dyDescent="0.2">
      <c r="A1611" s="11">
        <v>157.49999999999699</v>
      </c>
      <c r="B1611" s="15">
        <v>3.133</v>
      </c>
      <c r="C1611" s="11">
        <f t="shared" si="98"/>
        <v>20410.415265794341</v>
      </c>
      <c r="D1611" s="11">
        <f t="shared" si="99"/>
        <v>-52467.047298904923</v>
      </c>
      <c r="E1611" s="11">
        <f t="shared" si="100"/>
        <v>-89943.50965526732</v>
      </c>
      <c r="F1611" s="11">
        <f>Speed_Calc!B$5*E1611</f>
        <v>-80949.158689740594</v>
      </c>
      <c r="G1611" s="15">
        <f>Speed_Calc!G$3+Speed_Calc!G$5*A1611^2</f>
        <v>119.47306249999619</v>
      </c>
      <c r="H1611" s="7">
        <f>(F1611-G1611)/Speed_Calc!G$2*9.806</f>
        <v>-588.85852071294164</v>
      </c>
      <c r="I1611" s="4">
        <f t="shared" si="101"/>
        <v>43.749999999999162</v>
      </c>
    </row>
    <row r="1612" spans="1:9" x14ac:dyDescent="0.2">
      <c r="A1612" s="11">
        <v>157.59999999999701</v>
      </c>
      <c r="B1612" s="15">
        <v>3.133</v>
      </c>
      <c r="C1612" s="11">
        <f t="shared" si="98"/>
        <v>20423.374259613895</v>
      </c>
      <c r="D1612" s="11">
        <f t="shared" si="99"/>
        <v>-52682.485314749429</v>
      </c>
      <c r="E1612" s="11">
        <f t="shared" si="100"/>
        <v>-90255.526871717113</v>
      </c>
      <c r="F1612" s="11">
        <f>Speed_Calc!B$5*E1612</f>
        <v>-81229.974184545397</v>
      </c>
      <c r="G1612" s="15">
        <f>Speed_Calc!G$3+Speed_Calc!G$5*A1612^2</f>
        <v>119.5994175999962</v>
      </c>
      <c r="H1612" s="7">
        <f>(F1612-G1612)/Speed_Calc!G$2*9.806</f>
        <v>-590.89919906862042</v>
      </c>
      <c r="I1612" s="4">
        <f t="shared" si="101"/>
        <v>43.777777777776947</v>
      </c>
    </row>
    <row r="1613" spans="1:9" x14ac:dyDescent="0.2">
      <c r="A1613" s="11">
        <v>157.699999999997</v>
      </c>
      <c r="B1613" s="15">
        <v>3.133</v>
      </c>
      <c r="C1613" s="11">
        <f t="shared" si="98"/>
        <v>20436.333253433448</v>
      </c>
      <c r="D1613" s="11">
        <f t="shared" si="99"/>
        <v>-52898.618063448972</v>
      </c>
      <c r="E1613" s="11">
        <f t="shared" si="100"/>
        <v>-90568.337838500287</v>
      </c>
      <c r="F1613" s="11">
        <f>Speed_Calc!B$5*E1613</f>
        <v>-81511.504054650257</v>
      </c>
      <c r="G1613" s="15">
        <f>Speed_Calc!G$3+Speed_Calc!G$5*A1613^2</f>
        <v>119.7258528999962</v>
      </c>
      <c r="H1613" s="7">
        <f>(F1613-G1613)/Speed_Calc!G$2*9.806</f>
        <v>-592.94506701736123</v>
      </c>
      <c r="I1613" s="4">
        <f t="shared" si="101"/>
        <v>43.805555555554726</v>
      </c>
    </row>
    <row r="1614" spans="1:9" x14ac:dyDescent="0.2">
      <c r="A1614" s="11">
        <v>157.799999999997</v>
      </c>
      <c r="B1614" s="15">
        <v>3.133</v>
      </c>
      <c r="C1614" s="11">
        <f t="shared" si="98"/>
        <v>20449.292247252994</v>
      </c>
      <c r="D1614" s="11">
        <f t="shared" si="99"/>
        <v>-53115.447205921904</v>
      </c>
      <c r="E1614" s="11">
        <f t="shared" si="100"/>
        <v>-90881.943888461275</v>
      </c>
      <c r="F1614" s="11">
        <f>Speed_Calc!B$5*E1614</f>
        <v>-81793.749499615151</v>
      </c>
      <c r="G1614" s="15">
        <f>Speed_Calc!G$3+Speed_Calc!G$5*A1614^2</f>
        <v>119.85236839999619</v>
      </c>
      <c r="H1614" s="7">
        <f>(F1614-G1614)/Speed_Calc!G$2*9.806</f>
        <v>-594.99613327241218</v>
      </c>
      <c r="I1614" s="4">
        <f t="shared" si="101"/>
        <v>43.833333333332497</v>
      </c>
    </row>
    <row r="1615" spans="1:9" x14ac:dyDescent="0.2">
      <c r="A1615" s="11">
        <v>157.89999999999699</v>
      </c>
      <c r="B1615" s="15">
        <v>3.133</v>
      </c>
      <c r="C1615" s="11">
        <f t="shared" ref="C1615:C1678" si="102">A1615/3.6/B$23/2/PI()*B$32*B$31*B1615*60</f>
        <v>20462.25124107255</v>
      </c>
      <c r="D1615" s="11">
        <f t="shared" ref="D1615:D1678" si="103">-4.687*10^(-17)*C1615^5+9.129*10^(-13)*C1615^4-6.175*10^(-9)*C1615^3+1.799*10^(-5)*C1615^2+6.502*10^(-3)*C1615</f>
        <v>-53332.974405710913</v>
      </c>
      <c r="E1615" s="11">
        <f t="shared" ref="E1615:E1678" si="104">D1615*75*B1615*B$31*B$32/B$23/C1615/2/PI()*60</f>
        <v>-91196.34635555555</v>
      </c>
      <c r="F1615" s="11">
        <f>Speed_Calc!B$5*E1615</f>
        <v>-82076.711719999992</v>
      </c>
      <c r="G1615" s="15">
        <f>Speed_Calc!G$3+Speed_Calc!G$5*A1615^2</f>
        <v>119.97896409999619</v>
      </c>
      <c r="H1615" s="7">
        <f>(F1615-G1615)/Speed_Calc!G$2*9.806</f>
        <v>-597.05240655428474</v>
      </c>
      <c r="I1615" s="4">
        <f t="shared" ref="I1615:I1678" si="105">A1615/3.6</f>
        <v>43.861111111110276</v>
      </c>
    </row>
    <row r="1616" spans="1:9" x14ac:dyDescent="0.2">
      <c r="A1616" s="11">
        <v>157.99999999999699</v>
      </c>
      <c r="B1616" s="15">
        <v>3.133</v>
      </c>
      <c r="C1616" s="11">
        <f t="shared" si="102"/>
        <v>20475.210234892103</v>
      </c>
      <c r="D1616" s="11">
        <f t="shared" si="103"/>
        <v>-53551.201328983865</v>
      </c>
      <c r="E1616" s="11">
        <f t="shared" si="104"/>
        <v>-91511.546574847598</v>
      </c>
      <c r="F1616" s="11">
        <f>Speed_Calc!B$5*E1616</f>
        <v>-82360.391917362838</v>
      </c>
      <c r="G1616" s="15">
        <f>Speed_Calc!G$3+Speed_Calc!G$5*A1616^2</f>
        <v>120.10563999999617</v>
      </c>
      <c r="H1616" s="7">
        <f>(F1616-G1616)/Speed_Calc!G$2*9.806</f>
        <v>-599.11389559074064</v>
      </c>
      <c r="I1616" s="4">
        <f t="shared" si="105"/>
        <v>43.888888888888054</v>
      </c>
    </row>
    <row r="1617" spans="1:9" x14ac:dyDescent="0.2">
      <c r="A1617" s="11">
        <v>158.09999999999701</v>
      </c>
      <c r="B1617" s="15">
        <v>3.133</v>
      </c>
      <c r="C1617" s="11">
        <f t="shared" si="102"/>
        <v>20488.16922871166</v>
      </c>
      <c r="D1617" s="11">
        <f t="shared" si="103"/>
        <v>-53770.129644536879</v>
      </c>
      <c r="E1617" s="11">
        <f t="shared" si="104"/>
        <v>-91827.545882512539</v>
      </c>
      <c r="F1617" s="11">
        <f>Speed_Calc!B$5*E1617</f>
        <v>-82644.791294261289</v>
      </c>
      <c r="G1617" s="15">
        <f>Speed_Calc!G$3+Speed_Calc!G$5*A1617^2</f>
        <v>120.23239609999621</v>
      </c>
      <c r="H1617" s="7">
        <f>(F1617-G1617)/Speed_Calc!G$2*9.806</f>
        <v>-601.18060911680197</v>
      </c>
      <c r="I1617" s="4">
        <f t="shared" si="105"/>
        <v>43.916666666665833</v>
      </c>
    </row>
    <row r="1618" spans="1:9" x14ac:dyDescent="0.2">
      <c r="A1618" s="11">
        <v>158.199999999997</v>
      </c>
      <c r="B1618" s="15">
        <v>3.133</v>
      </c>
      <c r="C1618" s="11">
        <f t="shared" si="102"/>
        <v>20501.128222531213</v>
      </c>
      <c r="D1618" s="11">
        <f t="shared" si="103"/>
        <v>-53989.761023795611</v>
      </c>
      <c r="E1618" s="11">
        <f t="shared" si="104"/>
        <v>-92144.345615834944</v>
      </c>
      <c r="F1618" s="11">
        <f>Speed_Calc!B$5*E1618</f>
        <v>-82929.911054251454</v>
      </c>
      <c r="G1618" s="15">
        <f>Speed_Calc!G$3+Speed_Calc!G$5*A1618^2</f>
        <v>120.35923239999619</v>
      </c>
      <c r="H1618" s="7">
        <f>(F1618-G1618)/Speed_Calc!G$2*9.806</f>
        <v>-603.25255587474373</v>
      </c>
      <c r="I1618" s="4">
        <f t="shared" si="105"/>
        <v>43.944444444443612</v>
      </c>
    </row>
    <row r="1619" spans="1:9" x14ac:dyDescent="0.2">
      <c r="A1619" s="11">
        <v>158.299999999997</v>
      </c>
      <c r="B1619" s="15">
        <v>3.133</v>
      </c>
      <c r="C1619" s="11">
        <f t="shared" si="102"/>
        <v>20514.087216350763</v>
      </c>
      <c r="D1619" s="11">
        <f t="shared" si="103"/>
        <v>-54210.097140817859</v>
      </c>
      <c r="E1619" s="11">
        <f t="shared" si="104"/>
        <v>-92461.947113209695</v>
      </c>
      <c r="F1619" s="11">
        <f>Speed_Calc!B$5*E1619</f>
        <v>-83215.752401888734</v>
      </c>
      <c r="G1619" s="15">
        <f>Speed_Calc!G$3+Speed_Calc!G$5*A1619^2</f>
        <v>120.48614889999618</v>
      </c>
      <c r="H1619" s="7">
        <f>(F1619-G1619)/Speed_Calc!G$2*9.806</f>
        <v>-605.32974461409947</v>
      </c>
      <c r="I1619" s="4">
        <f t="shared" si="105"/>
        <v>43.97222222222139</v>
      </c>
    </row>
    <row r="1620" spans="1:9" x14ac:dyDescent="0.2">
      <c r="A1620" s="11">
        <v>158.39999999999699</v>
      </c>
      <c r="B1620" s="15">
        <v>3.133</v>
      </c>
      <c r="C1620" s="11">
        <f t="shared" si="102"/>
        <v>20527.046210170316</v>
      </c>
      <c r="D1620" s="11">
        <f t="shared" si="103"/>
        <v>-54431.139672295656</v>
      </c>
      <c r="E1620" s="11">
        <f t="shared" si="104"/>
        <v>-92780.351714142074</v>
      </c>
      <c r="F1620" s="11">
        <f>Speed_Calc!B$5*E1620</f>
        <v>-83502.316542727873</v>
      </c>
      <c r="G1620" s="15">
        <f>Speed_Calc!G$3+Speed_Calc!G$5*A1620^2</f>
        <v>120.61314559999617</v>
      </c>
      <c r="H1620" s="7">
        <f>(F1620-G1620)/Speed_Calc!G$2*9.806</f>
        <v>-607.41218409166152</v>
      </c>
      <c r="I1620" s="4">
        <f t="shared" si="105"/>
        <v>43.999999999999162</v>
      </c>
    </row>
    <row r="1621" spans="1:9" x14ac:dyDescent="0.2">
      <c r="A1621" s="11">
        <v>158.49999999999699</v>
      </c>
      <c r="B1621" s="15">
        <v>3.133</v>
      </c>
      <c r="C1621" s="11">
        <f t="shared" si="102"/>
        <v>20540.005203989866</v>
      </c>
      <c r="D1621" s="11">
        <f t="shared" si="103"/>
        <v>-54652.890297556674</v>
      </c>
      <c r="E1621" s="11">
        <f t="shared" si="104"/>
        <v>-93099.560759246582</v>
      </c>
      <c r="F1621" s="11">
        <f>Speed_Calc!B$5*E1621</f>
        <v>-83789.60468332193</v>
      </c>
      <c r="G1621" s="15">
        <f>Speed_Calc!G$3+Speed_Calc!G$5*A1621^2</f>
        <v>120.74022249999615</v>
      </c>
      <c r="H1621" s="7">
        <f>(F1621-G1621)/Speed_Calc!G$2*9.806</f>
        <v>-609.49988307147385</v>
      </c>
      <c r="I1621" s="4">
        <f t="shared" si="105"/>
        <v>44.02777777777694</v>
      </c>
    </row>
    <row r="1622" spans="1:9" x14ac:dyDescent="0.2">
      <c r="A1622" s="11">
        <v>158.59999999999701</v>
      </c>
      <c r="B1622" s="15">
        <v>3.133</v>
      </c>
      <c r="C1622" s="11">
        <f t="shared" si="102"/>
        <v>20552.964197809422</v>
      </c>
      <c r="D1622" s="11">
        <f t="shared" si="103"/>
        <v>-54875.35069856717</v>
      </c>
      <c r="E1622" s="11">
        <f t="shared" si="104"/>
        <v>-93419.575590248496</v>
      </c>
      <c r="F1622" s="11">
        <f>Speed_Calc!B$5*E1622</f>
        <v>-84077.618031223654</v>
      </c>
      <c r="G1622" s="15">
        <f>Speed_Calc!G$3+Speed_Calc!G$5*A1622^2</f>
        <v>120.8673795999962</v>
      </c>
      <c r="H1622" s="7">
        <f>(F1622-G1622)/Speed_Calc!G$2*9.806</f>
        <v>-611.59285032484195</v>
      </c>
      <c r="I1622" s="4">
        <f t="shared" si="105"/>
        <v>44.055555555554726</v>
      </c>
    </row>
    <row r="1623" spans="1:9" x14ac:dyDescent="0.2">
      <c r="A1623" s="11">
        <v>158.699999999997</v>
      </c>
      <c r="B1623" s="15">
        <v>3.133</v>
      </c>
      <c r="C1623" s="11">
        <f t="shared" si="102"/>
        <v>20565.923191628965</v>
      </c>
      <c r="D1623" s="11">
        <f t="shared" si="103"/>
        <v>-55098.522559932942</v>
      </c>
      <c r="E1623" s="11">
        <f t="shared" si="104"/>
        <v>-93740.397549982241</v>
      </c>
      <c r="F1623" s="11">
        <f>Speed_Calc!B$5*E1623</f>
        <v>-84366.357794984026</v>
      </c>
      <c r="G1623" s="15">
        <f>Speed_Calc!G$3+Speed_Calc!G$5*A1623^2</f>
        <v>120.99461689999617</v>
      </c>
      <c r="H1623" s="7">
        <f>(F1623-G1623)/Speed_Calc!G$2*9.806</f>
        <v>-613.69109463032203</v>
      </c>
      <c r="I1623" s="4">
        <f t="shared" si="105"/>
        <v>44.083333333332497</v>
      </c>
    </row>
    <row r="1624" spans="1:9" x14ac:dyDescent="0.2">
      <c r="A1624" s="11">
        <v>158.799999999997</v>
      </c>
      <c r="B1624" s="15">
        <v>3.133</v>
      </c>
      <c r="C1624" s="11">
        <f t="shared" si="102"/>
        <v>20578.882185448521</v>
      </c>
      <c r="D1624" s="11">
        <f t="shared" si="103"/>
        <v>-55322.407568902905</v>
      </c>
      <c r="E1624" s="11">
        <f t="shared" si="104"/>
        <v>-94062.027982393367</v>
      </c>
      <c r="F1624" s="11">
        <f>Speed_Calc!B$5*E1624</f>
        <v>-84655.825184154033</v>
      </c>
      <c r="G1624" s="15">
        <f>Speed_Calc!G$3+Speed_Calc!G$5*A1624^2</f>
        <v>121.12193439999616</v>
      </c>
      <c r="H1624" s="7">
        <f>(F1624-G1624)/Speed_Calc!G$2*9.806</f>
        <v>-615.79462477373386</v>
      </c>
      <c r="I1624" s="4">
        <f t="shared" si="105"/>
        <v>44.111111111110276</v>
      </c>
    </row>
    <row r="1625" spans="1:9" x14ac:dyDescent="0.2">
      <c r="A1625" s="11">
        <v>158.89999999999699</v>
      </c>
      <c r="B1625" s="15">
        <v>3.133</v>
      </c>
      <c r="C1625" s="11">
        <f t="shared" si="102"/>
        <v>20591.841179268074</v>
      </c>
      <c r="D1625" s="11">
        <f t="shared" si="103"/>
        <v>-55547.007415369459</v>
      </c>
      <c r="E1625" s="11">
        <f t="shared" si="104"/>
        <v>-94384.468232536427</v>
      </c>
      <c r="F1625" s="11">
        <f>Speed_Calc!B$5*E1625</f>
        <v>-84946.021409282781</v>
      </c>
      <c r="G1625" s="15">
        <f>Speed_Calc!G$3+Speed_Calc!G$5*A1625^2</f>
        <v>121.24933209999617</v>
      </c>
      <c r="H1625" s="7">
        <f>(F1625-G1625)/Speed_Calc!G$2*9.806</f>
        <v>-617.90344954814771</v>
      </c>
      <c r="I1625" s="4">
        <f t="shared" si="105"/>
        <v>44.138888888888054</v>
      </c>
    </row>
    <row r="1626" spans="1:9" x14ac:dyDescent="0.2">
      <c r="A1626" s="11">
        <v>158.99999999999699</v>
      </c>
      <c r="B1626" s="15">
        <v>3.133</v>
      </c>
      <c r="C1626" s="11">
        <f t="shared" si="102"/>
        <v>20604.800173087624</v>
      </c>
      <c r="D1626" s="11">
        <f t="shared" si="103"/>
        <v>-55772.323791871699</v>
      </c>
      <c r="E1626" s="11">
        <f t="shared" si="104"/>
        <v>-94707.71964657637</v>
      </c>
      <c r="F1626" s="11">
        <f>Speed_Calc!B$5*E1626</f>
        <v>-85236.94768191874</v>
      </c>
      <c r="G1626" s="15">
        <f>Speed_Calc!G$3+Speed_Calc!G$5*A1626^2</f>
        <v>121.37680999999615</v>
      </c>
      <c r="H1626" s="7">
        <f>(F1626-G1626)/Speed_Calc!G$2*9.806</f>
        <v>-620.01757775389274</v>
      </c>
      <c r="I1626" s="4">
        <f t="shared" si="105"/>
        <v>44.166666666665826</v>
      </c>
    </row>
    <row r="1627" spans="1:9" x14ac:dyDescent="0.2">
      <c r="A1627" s="11">
        <v>159.09999999999701</v>
      </c>
      <c r="B1627" s="15">
        <v>3.133</v>
      </c>
      <c r="C1627" s="11">
        <f t="shared" si="102"/>
        <v>20617.759166907177</v>
      </c>
      <c r="D1627" s="11">
        <f t="shared" si="103"/>
        <v>-55998.35839359722</v>
      </c>
      <c r="E1627" s="11">
        <f t="shared" si="104"/>
        <v>-95031.78357178843</v>
      </c>
      <c r="F1627" s="11">
        <f>Speed_Calc!B$5*E1627</f>
        <v>-85528.60521460959</v>
      </c>
      <c r="G1627" s="15">
        <f>Speed_Calc!G$3+Speed_Calc!G$5*A1627^2</f>
        <v>121.50436809999617</v>
      </c>
      <c r="H1627" s="7">
        <f>(F1627-G1627)/Speed_Calc!G$2*9.806</f>
        <v>-622.13701819855567</v>
      </c>
      <c r="I1627" s="4">
        <f t="shared" si="105"/>
        <v>44.194444444443612</v>
      </c>
    </row>
    <row r="1628" spans="1:9" x14ac:dyDescent="0.2">
      <c r="A1628" s="11">
        <v>159.199999999997</v>
      </c>
      <c r="B1628" s="15">
        <v>3.133</v>
      </c>
      <c r="C1628" s="11">
        <f t="shared" si="102"/>
        <v>20630.71816072673</v>
      </c>
      <c r="D1628" s="11">
        <f t="shared" si="103"/>
        <v>-56225.112918383835</v>
      </c>
      <c r="E1628" s="11">
        <f t="shared" si="104"/>
        <v>-95356.661356557306</v>
      </c>
      <c r="F1628" s="11">
        <f>Speed_Calc!B$5*E1628</f>
        <v>-85820.995220901576</v>
      </c>
      <c r="G1628" s="15">
        <f>Speed_Calc!G$3+Speed_Calc!G$5*A1628^2</f>
        <v>121.63200639999617</v>
      </c>
      <c r="H1628" s="7">
        <f>(F1628-G1628)/Speed_Calc!G$2*9.806</f>
        <v>-624.26177969697721</v>
      </c>
      <c r="I1628" s="4">
        <f t="shared" si="105"/>
        <v>44.22222222222139</v>
      </c>
    </row>
    <row r="1629" spans="1:9" x14ac:dyDescent="0.2">
      <c r="A1629" s="11">
        <v>159.299999999997</v>
      </c>
      <c r="B1629" s="15">
        <v>3.133</v>
      </c>
      <c r="C1629" s="11">
        <f t="shared" si="102"/>
        <v>20643.677154546283</v>
      </c>
      <c r="D1629" s="11">
        <f t="shared" si="103"/>
        <v>-56452.589066722001</v>
      </c>
      <c r="E1629" s="11">
        <f t="shared" si="104"/>
        <v>-95682.354350378082</v>
      </c>
      <c r="F1629" s="11">
        <f>Speed_Calc!B$5*E1629</f>
        <v>-86114.118915340281</v>
      </c>
      <c r="G1629" s="15">
        <f>Speed_Calc!G$3+Speed_Calc!G$5*A1629^2</f>
        <v>121.75972489999616</v>
      </c>
      <c r="H1629" s="7">
        <f>(F1629-G1629)/Speed_Calc!G$2*9.806</f>
        <v>-626.39187107125633</v>
      </c>
      <c r="I1629" s="4">
        <f t="shared" si="105"/>
        <v>44.249999999999169</v>
      </c>
    </row>
    <row r="1630" spans="1:9" x14ac:dyDescent="0.2">
      <c r="A1630" s="11">
        <v>159.39999999999699</v>
      </c>
      <c r="B1630" s="15">
        <v>3.133</v>
      </c>
      <c r="C1630" s="11">
        <f t="shared" si="102"/>
        <v>20656.636148365837</v>
      </c>
      <c r="D1630" s="11">
        <f t="shared" si="103"/>
        <v>-56680.788541756694</v>
      </c>
      <c r="E1630" s="11">
        <f t="shared" si="104"/>
        <v>-96008.863903855658</v>
      </c>
      <c r="F1630" s="11">
        <f>Speed_Calc!B$5*E1630</f>
        <v>-86407.97751347009</v>
      </c>
      <c r="G1630" s="15">
        <f>Speed_Calc!G$3+Speed_Calc!G$5*A1630^2</f>
        <v>121.88752359999614</v>
      </c>
      <c r="H1630" s="7">
        <f>(F1630-G1630)/Speed_Calc!G$2*9.806</f>
        <v>-628.52730115074758</v>
      </c>
      <c r="I1630" s="4">
        <f t="shared" si="105"/>
        <v>44.27777777777694</v>
      </c>
    </row>
    <row r="1631" spans="1:9" x14ac:dyDescent="0.2">
      <c r="A1631" s="11">
        <v>159.49999999999699</v>
      </c>
      <c r="B1631" s="15">
        <v>3.133</v>
      </c>
      <c r="C1631" s="11">
        <f t="shared" si="102"/>
        <v>20669.595142185386</v>
      </c>
      <c r="D1631" s="11">
        <f t="shared" si="103"/>
        <v>-56909.713049289545</v>
      </c>
      <c r="E1631" s="11">
        <f t="shared" si="104"/>
        <v>-96336.191368705142</v>
      </c>
      <c r="F1631" s="11">
        <f>Speed_Calc!B$5*E1631</f>
        <v>-86702.572231834623</v>
      </c>
      <c r="G1631" s="15">
        <f>Speed_Calc!G$3+Speed_Calc!G$5*A1631^2</f>
        <v>122.01540249999614</v>
      </c>
      <c r="H1631" s="7">
        <f>(F1631-G1631)/Speed_Calc!G$2*9.806</f>
        <v>-630.66807877206315</v>
      </c>
      <c r="I1631" s="4">
        <f t="shared" si="105"/>
        <v>44.305555555554719</v>
      </c>
    </row>
    <row r="1632" spans="1:9" x14ac:dyDescent="0.2">
      <c r="A1632" s="11">
        <v>159.59999999999701</v>
      </c>
      <c r="B1632" s="15">
        <v>3.133</v>
      </c>
      <c r="C1632" s="11">
        <f t="shared" si="102"/>
        <v>20682.554136004943</v>
      </c>
      <c r="D1632" s="11">
        <f t="shared" si="103"/>
        <v>-57139.36429778098</v>
      </c>
      <c r="E1632" s="11">
        <f t="shared" si="104"/>
        <v>-96664.338097751592</v>
      </c>
      <c r="F1632" s="11">
        <f>Speed_Calc!B$5*E1632</f>
        <v>-86997.904287976431</v>
      </c>
      <c r="G1632" s="15">
        <f>Speed_Calc!G$3+Speed_Calc!G$5*A1632^2</f>
        <v>122.14336159999617</v>
      </c>
      <c r="H1632" s="7">
        <f>(F1632-G1632)/Speed_Calc!G$2*9.806</f>
        <v>-632.81421277907145</v>
      </c>
      <c r="I1632" s="4">
        <f t="shared" si="105"/>
        <v>44.333333333332504</v>
      </c>
    </row>
    <row r="1633" spans="1:9" x14ac:dyDescent="0.2">
      <c r="A1633" s="11">
        <v>159.699999999997</v>
      </c>
      <c r="B1633" s="15">
        <v>3.133</v>
      </c>
      <c r="C1633" s="11">
        <f t="shared" si="102"/>
        <v>20695.513129824492</v>
      </c>
      <c r="D1633" s="11">
        <f t="shared" si="103"/>
        <v>-57369.74399835182</v>
      </c>
      <c r="E1633" s="11">
        <f t="shared" si="104"/>
        <v>-96993.305444929763</v>
      </c>
      <c r="F1633" s="11">
        <f>Speed_Calc!B$5*E1633</f>
        <v>-87293.974900436791</v>
      </c>
      <c r="G1633" s="15">
        <f>Speed_Calc!G$3+Speed_Calc!G$5*A1633^2</f>
        <v>122.27140089999615</v>
      </c>
      <c r="H1633" s="7">
        <f>(F1633-G1633)/Speed_Calc!G$2*9.806</f>
        <v>-634.96571202289522</v>
      </c>
      <c r="I1633" s="4">
        <f t="shared" si="105"/>
        <v>44.361111111110276</v>
      </c>
    </row>
    <row r="1634" spans="1:9" x14ac:dyDescent="0.2">
      <c r="A1634" s="11">
        <v>159.799999999997</v>
      </c>
      <c r="B1634" s="15">
        <v>3.133</v>
      </c>
      <c r="C1634" s="11">
        <f t="shared" si="102"/>
        <v>20708.472123644045</v>
      </c>
      <c r="D1634" s="11">
        <f t="shared" si="103"/>
        <v>-57600.853864786048</v>
      </c>
      <c r="E1634" s="11">
        <f t="shared" si="104"/>
        <v>-97323.094765284884</v>
      </c>
      <c r="F1634" s="11">
        <f>Speed_Calc!B$5*E1634</f>
        <v>-87590.785288756393</v>
      </c>
      <c r="G1634" s="15">
        <f>Speed_Calc!G$3+Speed_Calc!G$5*A1634^2</f>
        <v>122.39952039999615</v>
      </c>
      <c r="H1634" s="7">
        <f>(F1634-G1634)/Speed_Calc!G$2*9.806</f>
        <v>-637.12258536191666</v>
      </c>
      <c r="I1634" s="4">
        <f t="shared" si="105"/>
        <v>44.388888888888054</v>
      </c>
    </row>
    <row r="1635" spans="1:9" x14ac:dyDescent="0.2">
      <c r="A1635" s="11">
        <v>159.89999999999699</v>
      </c>
      <c r="B1635" s="15">
        <v>3.133</v>
      </c>
      <c r="C1635" s="11">
        <f t="shared" si="102"/>
        <v>20721.431117463595</v>
      </c>
      <c r="D1635" s="11">
        <f t="shared" si="103"/>
        <v>-57832.69561353224</v>
      </c>
      <c r="E1635" s="11">
        <f t="shared" si="104"/>
        <v>-97653.707414971854</v>
      </c>
      <c r="F1635" s="11">
        <f>Speed_Calc!B$5*E1635</f>
        <v>-87888.336673474667</v>
      </c>
      <c r="G1635" s="15">
        <f>Speed_Calc!G$3+Speed_Calc!G$5*A1635^2</f>
        <v>122.52772009999613</v>
      </c>
      <c r="H1635" s="7">
        <f>(F1635-G1635)/Speed_Calc!G$2*9.806</f>
        <v>-639.2848416617727</v>
      </c>
      <c r="I1635" s="4">
        <f t="shared" si="105"/>
        <v>44.416666666665833</v>
      </c>
    </row>
    <row r="1636" spans="1:9" x14ac:dyDescent="0.2">
      <c r="A1636" s="11">
        <v>159.99999999999699</v>
      </c>
      <c r="B1636" s="15">
        <v>3.133</v>
      </c>
      <c r="C1636" s="11">
        <f t="shared" si="102"/>
        <v>20734.390111283145</v>
      </c>
      <c r="D1636" s="11">
        <f t="shared" si="103"/>
        <v>-58065.27096370604</v>
      </c>
      <c r="E1636" s="11">
        <f t="shared" si="104"/>
        <v>-97985.144751255808</v>
      </c>
      <c r="F1636" s="11">
        <f>Speed_Calc!B$5*E1636</f>
        <v>-88186.630276130236</v>
      </c>
      <c r="G1636" s="15">
        <f>Speed_Calc!G$3+Speed_Calc!G$5*A1636^2</f>
        <v>122.65599999999613</v>
      </c>
      <c r="H1636" s="7">
        <f>(F1636-G1636)/Speed_Calc!G$2*9.806</f>
        <v>-641.45248979535791</v>
      </c>
      <c r="I1636" s="4">
        <f t="shared" si="105"/>
        <v>44.444444444443604</v>
      </c>
    </row>
    <row r="1637" spans="1:9" x14ac:dyDescent="0.2">
      <c r="A1637" s="11">
        <v>160.09999999999701</v>
      </c>
      <c r="B1637" s="15">
        <v>3.133</v>
      </c>
      <c r="C1637" s="11">
        <f t="shared" si="102"/>
        <v>20747.349105102701</v>
      </c>
      <c r="D1637" s="11">
        <f t="shared" si="103"/>
        <v>-58298.581637092109</v>
      </c>
      <c r="E1637" s="11">
        <f t="shared" si="104"/>
        <v>-98317.408132511948</v>
      </c>
      <c r="F1637" s="11">
        <f>Speed_Calc!B$5*E1637</f>
        <v>-88485.667319260756</v>
      </c>
      <c r="G1637" s="15">
        <f>Speed_Calc!G$3+Speed_Calc!G$5*A1637^2</f>
        <v>122.78436009999615</v>
      </c>
      <c r="H1637" s="7">
        <f>(F1637-G1637)/Speed_Calc!G$2*9.806</f>
        <v>-643.62553864282324</v>
      </c>
      <c r="I1637" s="4">
        <f t="shared" si="105"/>
        <v>44.47222222222139</v>
      </c>
    </row>
    <row r="1638" spans="1:9" x14ac:dyDescent="0.2">
      <c r="A1638" s="11">
        <v>160.199999999997</v>
      </c>
      <c r="B1638" s="15">
        <v>3.133</v>
      </c>
      <c r="C1638" s="11">
        <f t="shared" si="102"/>
        <v>20760.308098922251</v>
      </c>
      <c r="D1638" s="11">
        <f t="shared" si="103"/>
        <v>-58532.629358145699</v>
      </c>
      <c r="E1638" s="11">
        <f t="shared" si="104"/>
        <v>-98650.498918224941</v>
      </c>
      <c r="F1638" s="11">
        <f>Speed_Calc!B$5*E1638</f>
        <v>-88785.44902640245</v>
      </c>
      <c r="G1638" s="15">
        <f>Speed_Calc!G$3+Speed_Calc!G$5*A1638^2</f>
        <v>122.91280039999614</v>
      </c>
      <c r="H1638" s="7">
        <f>(F1638-G1638)/Speed_Calc!G$2*9.806</f>
        <v>-645.80399709157382</v>
      </c>
      <c r="I1638" s="4">
        <f t="shared" si="105"/>
        <v>44.499999999999169</v>
      </c>
    </row>
    <row r="1639" spans="1:9" x14ac:dyDescent="0.2">
      <c r="A1639" s="11">
        <v>160.299999999997</v>
      </c>
      <c r="B1639" s="15">
        <v>3.133</v>
      </c>
      <c r="C1639" s="11">
        <f t="shared" si="102"/>
        <v>20773.2670927418</v>
      </c>
      <c r="D1639" s="11">
        <f t="shared" si="103"/>
        <v>-58767.415853995619</v>
      </c>
      <c r="E1639" s="11">
        <f t="shared" si="104"/>
        <v>-98984.41846899013</v>
      </c>
      <c r="F1639" s="11">
        <f>Speed_Calc!B$5*E1639</f>
        <v>-89085.976622091126</v>
      </c>
      <c r="G1639" s="15">
        <f>Speed_Calc!G$3+Speed_Calc!G$5*A1639^2</f>
        <v>123.04132089999612</v>
      </c>
      <c r="H1639" s="7">
        <f>(F1639-G1639)/Speed_Calc!G$2*9.806</f>
        <v>-647.98787403627466</v>
      </c>
      <c r="I1639" s="4">
        <f t="shared" si="105"/>
        <v>44.52777777777694</v>
      </c>
    </row>
    <row r="1640" spans="1:9" x14ac:dyDescent="0.2">
      <c r="A1640" s="11">
        <v>160.39999999999699</v>
      </c>
      <c r="B1640" s="15">
        <v>3.133</v>
      </c>
      <c r="C1640" s="11">
        <f t="shared" si="102"/>
        <v>20786.226086561353</v>
      </c>
      <c r="D1640" s="11">
        <f t="shared" si="103"/>
        <v>-59002.942854445624</v>
      </c>
      <c r="E1640" s="11">
        <f t="shared" si="104"/>
        <v>-99319.168146512588</v>
      </c>
      <c r="F1640" s="11">
        <f>Speed_Calc!B$5*E1640</f>
        <v>-89387.251331861335</v>
      </c>
      <c r="G1640" s="15">
        <f>Speed_Calc!G$3+Speed_Calc!G$5*A1640^2</f>
        <v>123.16992159999613</v>
      </c>
      <c r="H1640" s="7">
        <f>(F1640-G1640)/Speed_Calc!G$2*9.806</f>
        <v>-650.17717837884572</v>
      </c>
      <c r="I1640" s="4">
        <f t="shared" si="105"/>
        <v>44.555555555554719</v>
      </c>
    </row>
    <row r="1641" spans="1:9" x14ac:dyDescent="0.2">
      <c r="A1641" s="11">
        <v>160.49999999999699</v>
      </c>
      <c r="B1641" s="15">
        <v>3.133</v>
      </c>
      <c r="C1641" s="11">
        <f t="shared" si="102"/>
        <v>20799.185080380914</v>
      </c>
      <c r="D1641" s="11">
        <f t="shared" si="103"/>
        <v>-59239.212091976711</v>
      </c>
      <c r="E1641" s="11">
        <f t="shared" si="104"/>
        <v>-99654.749313607521</v>
      </c>
      <c r="F1641" s="11">
        <f>Speed_Calc!B$5*E1641</f>
        <v>-89689.274382246775</v>
      </c>
      <c r="G1641" s="15">
        <f>Speed_Calc!G$3+Speed_Calc!G$5*A1641^2</f>
        <v>123.29860249999611</v>
      </c>
      <c r="H1641" s="7">
        <f>(F1641-G1641)/Speed_Calc!G$2*9.806</f>
        <v>-652.37191902846428</v>
      </c>
      <c r="I1641" s="4">
        <f t="shared" si="105"/>
        <v>44.583333333332497</v>
      </c>
    </row>
    <row r="1642" spans="1:9" x14ac:dyDescent="0.2">
      <c r="A1642" s="11">
        <v>160.59999999999701</v>
      </c>
      <c r="B1642" s="15">
        <v>3.133</v>
      </c>
      <c r="C1642" s="11">
        <f t="shared" si="102"/>
        <v>20812.144074200467</v>
      </c>
      <c r="D1642" s="11">
        <f t="shared" si="103"/>
        <v>-59476.225301748753</v>
      </c>
      <c r="E1642" s="11">
        <f t="shared" si="104"/>
        <v>-99991.163334199635</v>
      </c>
      <c r="F1642" s="11">
        <f>Speed_Calc!B$5*E1642</f>
        <v>-89992.047000779668</v>
      </c>
      <c r="G1642" s="15">
        <f>Speed_Calc!G$3+Speed_Calc!G$5*A1642^2</f>
        <v>123.42736359999614</v>
      </c>
      <c r="H1642" s="7">
        <f>(F1642-G1642)/Speed_Calc!G$2*9.806</f>
        <v>-654.57210490156069</v>
      </c>
      <c r="I1642" s="4">
        <f t="shared" si="105"/>
        <v>44.611111111110283</v>
      </c>
    </row>
    <row r="1643" spans="1:9" x14ac:dyDescent="0.2">
      <c r="A1643" s="11">
        <v>160.699999999997</v>
      </c>
      <c r="B1643" s="15">
        <v>3.133</v>
      </c>
      <c r="C1643" s="11">
        <f t="shared" si="102"/>
        <v>20825.103068020017</v>
      </c>
      <c r="D1643" s="11">
        <f t="shared" si="103"/>
        <v>-59713.984221603299</v>
      </c>
      <c r="E1643" s="11">
        <f t="shared" si="104"/>
        <v>-100328.41157332418</v>
      </c>
      <c r="F1643" s="11">
        <f>Speed_Calc!B$5*E1643</f>
        <v>-90295.570415991766</v>
      </c>
      <c r="G1643" s="15">
        <f>Speed_Calc!G$3+Speed_Calc!G$5*A1643^2</f>
        <v>123.55620489999613</v>
      </c>
      <c r="H1643" s="7">
        <f>(F1643-G1643)/Speed_Calc!G$2*9.806</f>
        <v>-656.77774492182562</v>
      </c>
      <c r="I1643" s="4">
        <f t="shared" si="105"/>
        <v>44.638888888888054</v>
      </c>
    </row>
    <row r="1644" spans="1:9" x14ac:dyDescent="0.2">
      <c r="A1644" s="11">
        <v>160.799999999997</v>
      </c>
      <c r="B1644" s="15">
        <v>3.133</v>
      </c>
      <c r="C1644" s="11">
        <f t="shared" si="102"/>
        <v>20838.062061839566</v>
      </c>
      <c r="D1644" s="11">
        <f t="shared" si="103"/>
        <v>-59952.490592065114</v>
      </c>
      <c r="E1644" s="11">
        <f t="shared" si="104"/>
        <v>-100666.49539712614</v>
      </c>
      <c r="F1644" s="11">
        <f>Speed_Calc!B$5*E1644</f>
        <v>-90599.845857413529</v>
      </c>
      <c r="G1644" s="15">
        <f>Speed_Calc!G$3+Speed_Calc!G$5*A1644^2</f>
        <v>123.68512639999612</v>
      </c>
      <c r="H1644" s="7">
        <f>(F1644-G1644)/Speed_Calc!G$2*9.806</f>
        <v>-658.98884802020393</v>
      </c>
      <c r="I1644" s="4">
        <f t="shared" si="105"/>
        <v>44.666666666665833</v>
      </c>
    </row>
    <row r="1645" spans="1:9" x14ac:dyDescent="0.2">
      <c r="A1645" s="11">
        <v>160.89999999999699</v>
      </c>
      <c r="B1645" s="15">
        <v>3.133</v>
      </c>
      <c r="C1645" s="11">
        <f t="shared" si="102"/>
        <v>20851.021055659123</v>
      </c>
      <c r="D1645" s="11">
        <f t="shared" si="103"/>
        <v>-60191.746156344663</v>
      </c>
      <c r="E1645" s="11">
        <f t="shared" si="104"/>
        <v>-101005.41617286117</v>
      </c>
      <c r="F1645" s="11">
        <f>Speed_Calc!B$5*E1645</f>
        <v>-90904.87455557505</v>
      </c>
      <c r="G1645" s="15">
        <f>Speed_Calc!G$3+Speed_Calc!G$5*A1645^2</f>
        <v>123.81412809999611</v>
      </c>
      <c r="H1645" s="7">
        <f>(F1645-G1645)/Speed_Calc!G$2*9.806</f>
        <v>-661.20542313490182</v>
      </c>
      <c r="I1645" s="4">
        <f t="shared" si="105"/>
        <v>44.694444444443612</v>
      </c>
    </row>
    <row r="1646" spans="1:9" x14ac:dyDescent="0.2">
      <c r="A1646" s="11">
        <v>160.99999999999699</v>
      </c>
      <c r="B1646" s="15">
        <v>3.133</v>
      </c>
      <c r="C1646" s="11">
        <f t="shared" si="102"/>
        <v>20863.980049478669</v>
      </c>
      <c r="D1646" s="11">
        <f t="shared" si="103"/>
        <v>-60431.75266033916</v>
      </c>
      <c r="E1646" s="11">
        <f t="shared" si="104"/>
        <v>-101345.17526889367</v>
      </c>
      <c r="F1646" s="11">
        <f>Speed_Calc!B$5*E1646</f>
        <v>-91210.657742004303</v>
      </c>
      <c r="G1646" s="15">
        <f>Speed_Calc!G$3+Speed_Calc!G$5*A1646^2</f>
        <v>123.9432099999961</v>
      </c>
      <c r="H1646" s="7">
        <f>(F1646-G1646)/Speed_Calc!G$2*9.806</f>
        <v>-663.42747921137334</v>
      </c>
      <c r="I1646" s="4">
        <f t="shared" si="105"/>
        <v>44.722222222221383</v>
      </c>
    </row>
    <row r="1647" spans="1:9" x14ac:dyDescent="0.2">
      <c r="A1647" s="11">
        <v>161.09999999999701</v>
      </c>
      <c r="B1647" s="15">
        <v>3.133</v>
      </c>
      <c r="C1647" s="11">
        <f t="shared" si="102"/>
        <v>20876.939043298225</v>
      </c>
      <c r="D1647" s="11">
        <f t="shared" si="103"/>
        <v>-60672.511852636177</v>
      </c>
      <c r="E1647" s="11">
        <f t="shared" si="104"/>
        <v>-101685.77405469936</v>
      </c>
      <c r="F1647" s="11">
        <f>Speed_Calc!B$5*E1647</f>
        <v>-91517.19664922943</v>
      </c>
      <c r="G1647" s="15">
        <f>Speed_Calc!G$3+Speed_Calc!G$5*A1647^2</f>
        <v>124.07237209999612</v>
      </c>
      <c r="H1647" s="7">
        <f>(F1647-G1647)/Speed_Calc!G$2*9.806</f>
        <v>-665.65502520233804</v>
      </c>
      <c r="I1647" s="4">
        <f t="shared" si="105"/>
        <v>44.749999999999169</v>
      </c>
    </row>
    <row r="1648" spans="1:9" x14ac:dyDescent="0.2">
      <c r="A1648" s="11">
        <v>161.199999999997</v>
      </c>
      <c r="B1648" s="15">
        <v>3.133</v>
      </c>
      <c r="C1648" s="11">
        <f t="shared" si="102"/>
        <v>20889.898037117779</v>
      </c>
      <c r="D1648" s="11">
        <f t="shared" si="103"/>
        <v>-60914.025484514168</v>
      </c>
      <c r="E1648" s="11">
        <f t="shared" si="104"/>
        <v>-102027.21390086306</v>
      </c>
      <c r="F1648" s="11">
        <f>Speed_Calc!B$5*E1648</f>
        <v>-91824.492510776763</v>
      </c>
      <c r="G1648" s="15">
        <f>Speed_Calc!G$3+Speed_Calc!G$5*A1648^2</f>
        <v>124.20161439999612</v>
      </c>
      <c r="H1648" s="7">
        <f>(F1648-G1648)/Speed_Calc!G$2*9.806</f>
        <v>-667.88807006776528</v>
      </c>
      <c r="I1648" s="4">
        <f t="shared" si="105"/>
        <v>44.777777777776947</v>
      </c>
    </row>
    <row r="1649" spans="1:9" x14ac:dyDescent="0.2">
      <c r="A1649" s="11">
        <v>161.299999999997</v>
      </c>
      <c r="B1649" s="15">
        <v>3.133</v>
      </c>
      <c r="C1649" s="11">
        <f t="shared" si="102"/>
        <v>20902.857030937324</v>
      </c>
      <c r="D1649" s="11">
        <f t="shared" si="103"/>
        <v>-61156.295309945453</v>
      </c>
      <c r="E1649" s="11">
        <f t="shared" si="104"/>
        <v>-102369.49617907986</v>
      </c>
      <c r="F1649" s="11">
        <f>Speed_Calc!B$5*E1649</f>
        <v>-92132.546561171868</v>
      </c>
      <c r="G1649" s="15">
        <f>Speed_Calc!G$3+Speed_Calc!G$5*A1649^2</f>
        <v>124.3309368999961</v>
      </c>
      <c r="H1649" s="7">
        <f>(F1649-G1649)/Speed_Calc!G$2*9.806</f>
        <v>-670.12662277488334</v>
      </c>
      <c r="I1649" s="4">
        <f t="shared" si="105"/>
        <v>44.805555555554719</v>
      </c>
    </row>
    <row r="1650" spans="1:9" x14ac:dyDescent="0.2">
      <c r="A1650" s="11">
        <v>161.39999999999699</v>
      </c>
      <c r="B1650" s="15">
        <v>3.133</v>
      </c>
      <c r="C1650" s="11">
        <f t="shared" si="102"/>
        <v>20915.816024756878</v>
      </c>
      <c r="D1650" s="11">
        <f t="shared" si="103"/>
        <v>-61399.323085598342</v>
      </c>
      <c r="E1650" s="11">
        <f t="shared" si="104"/>
        <v>-102712.62226215529</v>
      </c>
      <c r="F1650" s="11">
        <f>Speed_Calc!B$5*E1650</f>
        <v>-92441.360035939768</v>
      </c>
      <c r="G1650" s="15">
        <f>Speed_Calc!G$3+Speed_Calc!G$5*A1650^2</f>
        <v>124.46033959999609</v>
      </c>
      <c r="H1650" s="7">
        <f>(F1650-G1650)/Speed_Calc!G$2*9.806</f>
        <v>-672.37069229817996</v>
      </c>
      <c r="I1650" s="4">
        <f t="shared" si="105"/>
        <v>44.833333333332497</v>
      </c>
    </row>
    <row r="1651" spans="1:9" x14ac:dyDescent="0.2">
      <c r="A1651" s="11">
        <v>161.49999999999699</v>
      </c>
      <c r="B1651" s="15">
        <v>3.133</v>
      </c>
      <c r="C1651" s="11">
        <f t="shared" si="102"/>
        <v>20928.775018576431</v>
      </c>
      <c r="D1651" s="11">
        <f t="shared" si="103"/>
        <v>-61643.110570838435</v>
      </c>
      <c r="E1651" s="11">
        <f t="shared" si="104"/>
        <v>-103056.59352400425</v>
      </c>
      <c r="F1651" s="11">
        <f>Speed_Calc!B$5*E1651</f>
        <v>-92750.934171603818</v>
      </c>
      <c r="G1651" s="15">
        <f>Speed_Calc!G$3+Speed_Calc!G$5*A1651^2</f>
        <v>124.5898224999961</v>
      </c>
      <c r="H1651" s="7">
        <f>(F1651-G1651)/Speed_Calc!G$2*9.806</f>
        <v>-674.62028761939405</v>
      </c>
      <c r="I1651" s="4">
        <f t="shared" si="105"/>
        <v>44.861111111110276</v>
      </c>
    </row>
    <row r="1652" spans="1:9" x14ac:dyDescent="0.2">
      <c r="A1652" s="11">
        <v>161.59999999999701</v>
      </c>
      <c r="B1652" s="15">
        <v>3.133</v>
      </c>
      <c r="C1652" s="11">
        <f t="shared" si="102"/>
        <v>20941.734012395984</v>
      </c>
      <c r="D1652" s="11">
        <f t="shared" si="103"/>
        <v>-61887.659527731354</v>
      </c>
      <c r="E1652" s="11">
        <f t="shared" si="104"/>
        <v>-103401.41133965207</v>
      </c>
      <c r="F1652" s="11">
        <f>Speed_Calc!B$5*E1652</f>
        <v>-93061.270205686858</v>
      </c>
      <c r="G1652" s="15">
        <f>Speed_Calc!G$3+Speed_Calc!G$5*A1652^2</f>
        <v>124.71938559999612</v>
      </c>
      <c r="H1652" s="7">
        <f>(F1652-G1652)/Speed_Calc!G$2*9.806</f>
        <v>-676.87541772752502</v>
      </c>
      <c r="I1652" s="4">
        <f t="shared" si="105"/>
        <v>44.888888888888054</v>
      </c>
    </row>
    <row r="1653" spans="1:9" x14ac:dyDescent="0.2">
      <c r="A1653" s="11">
        <v>161.699999999997</v>
      </c>
      <c r="B1653" s="15">
        <v>3.133</v>
      </c>
      <c r="C1653" s="11">
        <f t="shared" si="102"/>
        <v>20954.693006215537</v>
      </c>
      <c r="D1653" s="11">
        <f t="shared" si="103"/>
        <v>-62132.971721044349</v>
      </c>
      <c r="E1653" s="11">
        <f t="shared" si="104"/>
        <v>-103747.07708523366</v>
      </c>
      <c r="F1653" s="11">
        <f>Speed_Calc!B$5*E1653</f>
        <v>-93372.369376710296</v>
      </c>
      <c r="G1653" s="15">
        <f>Speed_Calc!G$3+Speed_Calc!G$5*A1653^2</f>
        <v>124.84902889999611</v>
      </c>
      <c r="H1653" s="7">
        <f>(F1653-G1653)/Speed_Calc!G$2*9.806</f>
        <v>-679.13609161882539</v>
      </c>
      <c r="I1653" s="4">
        <f t="shared" si="105"/>
        <v>44.916666666665833</v>
      </c>
    </row>
    <row r="1654" spans="1:9" x14ac:dyDescent="0.2">
      <c r="A1654" s="11">
        <v>161.799999999997</v>
      </c>
      <c r="B1654" s="15">
        <v>3.133</v>
      </c>
      <c r="C1654" s="11">
        <f t="shared" si="102"/>
        <v>20967.652000035094</v>
      </c>
      <c r="D1654" s="11">
        <f t="shared" si="103"/>
        <v>-62379.048918248955</v>
      </c>
      <c r="E1654" s="11">
        <f t="shared" si="104"/>
        <v>-104093.59213799456</v>
      </c>
      <c r="F1654" s="11">
        <f>Speed_Calc!B$5*E1654</f>
        <v>-93684.232924195108</v>
      </c>
      <c r="G1654" s="15">
        <f>Speed_Calc!G$3+Speed_Calc!G$5*A1654^2</f>
        <v>124.9787523999961</v>
      </c>
      <c r="H1654" s="7">
        <f>(F1654-G1654)/Speed_Calc!G$2*9.806</f>
        <v>-681.40231829680852</v>
      </c>
      <c r="I1654" s="4">
        <f t="shared" si="105"/>
        <v>44.944444444443612</v>
      </c>
    </row>
    <row r="1655" spans="1:9" x14ac:dyDescent="0.2">
      <c r="A1655" s="11">
        <v>161.89999999999699</v>
      </c>
      <c r="B1655" s="15">
        <v>3.133</v>
      </c>
      <c r="C1655" s="11">
        <f t="shared" si="102"/>
        <v>20980.61099385464</v>
      </c>
      <c r="D1655" s="11">
        <f t="shared" si="103"/>
        <v>-62625.892889522089</v>
      </c>
      <c r="E1655" s="11">
        <f t="shared" si="104"/>
        <v>-104440.95787628957</v>
      </c>
      <c r="F1655" s="11">
        <f>Speed_Calc!B$5*E1655</f>
        <v>-93996.862088660608</v>
      </c>
      <c r="G1655" s="15">
        <f>Speed_Calc!G$3+Speed_Calc!G$5*A1655^2</f>
        <v>125.10855609999608</v>
      </c>
      <c r="H1655" s="7">
        <f>(F1655-G1655)/Speed_Calc!G$2*9.806</f>
        <v>-683.67410677223882</v>
      </c>
      <c r="I1655" s="4">
        <f t="shared" si="105"/>
        <v>44.972222222221383</v>
      </c>
    </row>
    <row r="1656" spans="1:9" x14ac:dyDescent="0.2">
      <c r="A1656" s="11">
        <v>161.99999999999699</v>
      </c>
      <c r="B1656" s="15">
        <v>3.133</v>
      </c>
      <c r="C1656" s="11">
        <f t="shared" si="102"/>
        <v>20993.569987674193</v>
      </c>
      <c r="D1656" s="11">
        <f t="shared" si="103"/>
        <v>-62873.50540774937</v>
      </c>
      <c r="E1656" s="11">
        <f t="shared" si="104"/>
        <v>-104789.17567958424</v>
      </c>
      <c r="F1656" s="11">
        <f>Speed_Calc!B$5*E1656</f>
        <v>-94310.258111625822</v>
      </c>
      <c r="G1656" s="15">
        <f>Speed_Calc!G$3+Speed_Calc!G$5*A1656^2</f>
        <v>125.23843999999607</v>
      </c>
      <c r="H1656" s="7">
        <f>(F1656-G1656)/Speed_Calc!G$2*9.806</f>
        <v>-685.95146606314279</v>
      </c>
      <c r="I1656" s="4">
        <f t="shared" si="105"/>
        <v>44.999999999999162</v>
      </c>
    </row>
    <row r="1657" spans="1:9" x14ac:dyDescent="0.2">
      <c r="A1657" s="11">
        <v>162.09999999999701</v>
      </c>
      <c r="B1657" s="15">
        <v>3.133</v>
      </c>
      <c r="C1657" s="11">
        <f t="shared" si="102"/>
        <v>21006.52898149375</v>
      </c>
      <c r="D1657" s="11">
        <f t="shared" si="103"/>
        <v>-63121.888248526069</v>
      </c>
      <c r="E1657" s="11">
        <f t="shared" si="104"/>
        <v>-105138.24692845375</v>
      </c>
      <c r="F1657" s="11">
        <f>Speed_Calc!B$5*E1657</f>
        <v>-94624.422235608377</v>
      </c>
      <c r="G1657" s="15">
        <f>Speed_Calc!G$3+Speed_Calc!G$5*A1657^2</f>
        <v>125.36840409999611</v>
      </c>
      <c r="H1657" s="7">
        <f>(F1657-G1657)/Speed_Calc!G$2*9.806</f>
        <v>-688.23440519480005</v>
      </c>
      <c r="I1657" s="4">
        <f t="shared" si="105"/>
        <v>45.027777777776947</v>
      </c>
    </row>
    <row r="1658" spans="1:9" x14ac:dyDescent="0.2">
      <c r="A1658" s="11">
        <v>162.199999999997</v>
      </c>
      <c r="B1658" s="15">
        <v>3.133</v>
      </c>
      <c r="C1658" s="11">
        <f t="shared" si="102"/>
        <v>21019.487975313299</v>
      </c>
      <c r="D1658" s="11">
        <f t="shared" si="103"/>
        <v>-63371.043190159457</v>
      </c>
      <c r="E1658" s="11">
        <f t="shared" si="104"/>
        <v>-105488.17300458306</v>
      </c>
      <c r="F1658" s="11">
        <f>Speed_Calc!B$5*E1658</f>
        <v>-94939.355704124755</v>
      </c>
      <c r="G1658" s="15">
        <f>Speed_Calc!G$3+Speed_Calc!G$5*A1658^2</f>
        <v>125.49844839999609</v>
      </c>
      <c r="H1658" s="7">
        <f>(F1658-G1658)/Speed_Calc!G$2*9.806</f>
        <v>-690.52293319974649</v>
      </c>
      <c r="I1658" s="4">
        <f t="shared" si="105"/>
        <v>45.055555555554726</v>
      </c>
    </row>
    <row r="1659" spans="1:9" x14ac:dyDescent="0.2">
      <c r="A1659" s="11">
        <v>162.299999999997</v>
      </c>
      <c r="B1659" s="15">
        <v>3.133</v>
      </c>
      <c r="C1659" s="11">
        <f t="shared" si="102"/>
        <v>21032.446969132849</v>
      </c>
      <c r="D1659" s="11">
        <f t="shared" si="103"/>
        <v>-63620.972013671395</v>
      </c>
      <c r="E1659" s="11">
        <f t="shared" si="104"/>
        <v>-105838.95529076768</v>
      </c>
      <c r="F1659" s="11">
        <f>Speed_Calc!B$5*E1659</f>
        <v>-95255.059761690922</v>
      </c>
      <c r="G1659" s="15">
        <f>Speed_Calc!G$3+Speed_Calc!G$5*A1659^2</f>
        <v>125.62857289999609</v>
      </c>
      <c r="H1659" s="7">
        <f>(F1659-G1659)/Speed_Calc!G$2*9.806</f>
        <v>-692.81705911777658</v>
      </c>
      <c r="I1659" s="4">
        <f t="shared" si="105"/>
        <v>45.083333333332497</v>
      </c>
    </row>
    <row r="1660" spans="1:9" x14ac:dyDescent="0.2">
      <c r="A1660" s="11">
        <v>162.39999999999699</v>
      </c>
      <c r="B1660" s="15">
        <v>3.133</v>
      </c>
      <c r="C1660" s="11">
        <f t="shared" si="102"/>
        <v>21045.405962952402</v>
      </c>
      <c r="D1660" s="11">
        <f t="shared" si="103"/>
        <v>-63871.67650279971</v>
      </c>
      <c r="E1660" s="11">
        <f t="shared" si="104"/>
        <v>-106190.59517091281</v>
      </c>
      <c r="F1660" s="11">
        <f>Speed_Calc!B$5*E1660</f>
        <v>-95571.535653821527</v>
      </c>
      <c r="G1660" s="15">
        <f>Speed_Calc!G$3+Speed_Calc!G$5*A1660^2</f>
        <v>125.75877759999608</v>
      </c>
      <c r="H1660" s="7">
        <f>(F1660-G1660)/Speed_Calc!G$2*9.806</f>
        <v>-695.11679199594028</v>
      </c>
      <c r="I1660" s="4">
        <f t="shared" si="105"/>
        <v>45.111111111110276</v>
      </c>
    </row>
    <row r="1661" spans="1:9" x14ac:dyDescent="0.2">
      <c r="A1661" s="11">
        <v>162.49999999999699</v>
      </c>
      <c r="B1661" s="15">
        <v>3.133</v>
      </c>
      <c r="C1661" s="11">
        <f t="shared" si="102"/>
        <v>21058.364956771951</v>
      </c>
      <c r="D1661" s="11">
        <f t="shared" si="103"/>
        <v>-64123.158444000488</v>
      </c>
      <c r="E1661" s="11">
        <f t="shared" si="104"/>
        <v>-106543.09403003355</v>
      </c>
      <c r="F1661" s="11">
        <f>Speed_Calc!B$5*E1661</f>
        <v>-95888.784627030196</v>
      </c>
      <c r="G1661" s="15">
        <f>Speed_Calc!G$3+Speed_Calc!G$5*A1661^2</f>
        <v>125.88906249999607</v>
      </c>
      <c r="H1661" s="7">
        <f>(F1661-G1661)/Speed_Calc!G$2*9.806</f>
        <v>-697.4221408885428</v>
      </c>
      <c r="I1661" s="4">
        <f t="shared" si="105"/>
        <v>45.138888888888054</v>
      </c>
    </row>
    <row r="1662" spans="1:9" x14ac:dyDescent="0.2">
      <c r="A1662" s="11">
        <v>162.59999999999701</v>
      </c>
      <c r="B1662" s="15">
        <v>3.133</v>
      </c>
      <c r="C1662" s="11">
        <f t="shared" si="102"/>
        <v>21071.323950591501</v>
      </c>
      <c r="D1662" s="11">
        <f t="shared" si="103"/>
        <v>-64375.419626450399</v>
      </c>
      <c r="E1662" s="11">
        <f t="shared" si="104"/>
        <v>-106896.45325425544</v>
      </c>
      <c r="F1662" s="11">
        <f>Speed_Calc!B$5*E1662</f>
        <v>-96206.80792882989</v>
      </c>
      <c r="G1662" s="15">
        <f>Speed_Calc!G$3+Speed_Calc!G$5*A1662^2</f>
        <v>126.01942759999609</v>
      </c>
      <c r="H1662" s="7">
        <f>(F1662-G1662)/Speed_Calc!G$2*9.806</f>
        <v>-699.73311485714919</v>
      </c>
      <c r="I1662" s="4">
        <f t="shared" si="105"/>
        <v>45.166666666665833</v>
      </c>
    </row>
    <row r="1663" spans="1:9" x14ac:dyDescent="0.2">
      <c r="A1663" s="11">
        <v>162.699999999997</v>
      </c>
      <c r="B1663" s="15">
        <v>3.133</v>
      </c>
      <c r="C1663" s="11">
        <f t="shared" si="102"/>
        <v>21084.282944411061</v>
      </c>
      <c r="D1663" s="11">
        <f t="shared" si="103"/>
        <v>-64628.461842048455</v>
      </c>
      <c r="E1663" s="11">
        <f t="shared" si="104"/>
        <v>-107250.67423081378</v>
      </c>
      <c r="F1663" s="11">
        <f>Speed_Calc!B$5*E1663</f>
        <v>-96525.606807732402</v>
      </c>
      <c r="G1663" s="15">
        <f>Speed_Calc!G$3+Speed_Calc!G$5*A1663^2</f>
        <v>126.14987289999608</v>
      </c>
      <c r="H1663" s="7">
        <f>(F1663-G1663)/Speed_Calc!G$2*9.806</f>
        <v>-702.04972297057873</v>
      </c>
      <c r="I1663" s="4">
        <f t="shared" si="105"/>
        <v>45.194444444443612</v>
      </c>
    </row>
    <row r="1664" spans="1:9" x14ac:dyDescent="0.2">
      <c r="A1664" s="11">
        <v>162.799999999997</v>
      </c>
      <c r="B1664" s="15">
        <v>3.133</v>
      </c>
      <c r="C1664" s="11">
        <f t="shared" si="102"/>
        <v>21097.241938230611</v>
      </c>
      <c r="D1664" s="11">
        <f t="shared" si="103"/>
        <v>-64882.286885417634</v>
      </c>
      <c r="E1664" s="11">
        <f t="shared" si="104"/>
        <v>-107605.75834805335</v>
      </c>
      <c r="F1664" s="11">
        <f>Speed_Calc!B$5*E1664</f>
        <v>-96845.182513248015</v>
      </c>
      <c r="G1664" s="15">
        <f>Speed_Calc!G$3+Speed_Calc!G$5*A1664^2</f>
        <v>126.28039839999607</v>
      </c>
      <c r="H1664" s="7">
        <f>(F1664-G1664)/Speed_Calc!G$2*9.806</f>
        <v>-704.37197430490392</v>
      </c>
      <c r="I1664" s="4">
        <f t="shared" si="105"/>
        <v>45.22222222222139</v>
      </c>
    </row>
    <row r="1665" spans="1:9" x14ac:dyDescent="0.2">
      <c r="A1665" s="11">
        <v>162.89999999999699</v>
      </c>
      <c r="B1665" s="15">
        <v>3.133</v>
      </c>
      <c r="C1665" s="11">
        <f t="shared" si="102"/>
        <v>21110.200932050164</v>
      </c>
      <c r="D1665" s="11">
        <f t="shared" si="103"/>
        <v>-65136.896553908191</v>
      </c>
      <c r="E1665" s="11">
        <f t="shared" si="104"/>
        <v>-107961.70699542995</v>
      </c>
      <c r="F1665" s="11">
        <f>Speed_Calc!B$5*E1665</f>
        <v>-97165.536295886952</v>
      </c>
      <c r="G1665" s="15">
        <f>Speed_Calc!G$3+Speed_Calc!G$5*A1665^2</f>
        <v>126.41100409999606</v>
      </c>
      <c r="H1665" s="7">
        <f>(F1665-G1665)/Speed_Calc!G$2*9.806</f>
        <v>-706.69987794346059</v>
      </c>
      <c r="I1665" s="4">
        <f t="shared" si="105"/>
        <v>45.249999999999162</v>
      </c>
    </row>
    <row r="1666" spans="1:9" x14ac:dyDescent="0.2">
      <c r="A1666" s="11">
        <v>162.99999999999699</v>
      </c>
      <c r="B1666" s="15">
        <v>3.133</v>
      </c>
      <c r="C1666" s="11">
        <f t="shared" si="102"/>
        <v>21123.159925869717</v>
      </c>
      <c r="D1666" s="11">
        <f t="shared" si="103"/>
        <v>-65392.29264759845</v>
      </c>
      <c r="E1666" s="11">
        <f t="shared" si="104"/>
        <v>-108318.52156350861</v>
      </c>
      <c r="F1666" s="11">
        <f>Speed_Calc!B$5*E1666</f>
        <v>-97486.669407157751</v>
      </c>
      <c r="G1666" s="15">
        <f>Speed_Calc!G$3+Speed_Calc!G$5*A1666^2</f>
        <v>126.54168999999605</v>
      </c>
      <c r="H1666" s="7">
        <f>(F1666-G1666)/Speed_Calc!G$2*9.806</f>
        <v>-709.03344297683623</v>
      </c>
      <c r="I1666" s="4">
        <f t="shared" si="105"/>
        <v>45.27777777777694</v>
      </c>
    </row>
    <row r="1667" spans="1:9" x14ac:dyDescent="0.2">
      <c r="A1667" s="11">
        <v>163.09999999999701</v>
      </c>
      <c r="B1667" s="15">
        <v>3.133</v>
      </c>
      <c r="C1667" s="11">
        <f t="shared" si="102"/>
        <v>21136.11891968927</v>
      </c>
      <c r="D1667" s="11">
        <f t="shared" si="103"/>
        <v>-65648.476969297466</v>
      </c>
      <c r="E1667" s="11">
        <f t="shared" si="104"/>
        <v>-108676.20344396467</v>
      </c>
      <c r="F1667" s="11">
        <f>Speed_Calc!B$5*E1667</f>
        <v>-97808.583099568204</v>
      </c>
      <c r="G1667" s="15">
        <f>Speed_Calc!G$3+Speed_Calc!G$5*A1667^2</f>
        <v>126.67245609999608</v>
      </c>
      <c r="H1667" s="7">
        <f>(F1667-G1667)/Speed_Calc!G$2*9.806</f>
        <v>-711.37267850287583</v>
      </c>
      <c r="I1667" s="4">
        <f t="shared" si="105"/>
        <v>45.305555555554726</v>
      </c>
    </row>
    <row r="1668" spans="1:9" x14ac:dyDescent="0.2">
      <c r="A1668" s="11">
        <v>163.199999999997</v>
      </c>
      <c r="B1668" s="15">
        <v>3.133</v>
      </c>
      <c r="C1668" s="11">
        <f t="shared" si="102"/>
        <v>21149.07791350882</v>
      </c>
      <c r="D1668" s="11">
        <f t="shared" si="103"/>
        <v>-65905.451324547044</v>
      </c>
      <c r="E1668" s="11">
        <f t="shared" si="104"/>
        <v>-109034.75402958352</v>
      </c>
      <c r="F1668" s="11">
        <f>Speed_Calc!B$5*E1668</f>
        <v>-98131.278626625164</v>
      </c>
      <c r="G1668" s="15">
        <f>Speed_Calc!G$3+Speed_Calc!G$5*A1668^2</f>
        <v>126.80330239999607</v>
      </c>
      <c r="H1668" s="7">
        <f>(F1668-G1668)/Speed_Calc!G$2*9.806</f>
        <v>-713.71759362668195</v>
      </c>
      <c r="I1668" s="4">
        <f t="shared" si="105"/>
        <v>45.333333333332497</v>
      </c>
    </row>
    <row r="1669" spans="1:9" x14ac:dyDescent="0.2">
      <c r="A1669" s="11">
        <v>163.299999999997</v>
      </c>
      <c r="B1669" s="15">
        <v>3.133</v>
      </c>
      <c r="C1669" s="11">
        <f t="shared" si="102"/>
        <v>21162.036907328373</v>
      </c>
      <c r="D1669" s="11">
        <f t="shared" si="103"/>
        <v>-66163.217521623767</v>
      </c>
      <c r="E1669" s="11">
        <f t="shared" si="104"/>
        <v>-109394.17471426052</v>
      </c>
      <c r="F1669" s="11">
        <f>Speed_Calc!B$5*E1669</f>
        <v>-98454.757242834472</v>
      </c>
      <c r="G1669" s="15">
        <f>Speed_Calc!G$3+Speed_Calc!G$5*A1669^2</f>
        <v>126.93422889999607</v>
      </c>
      <c r="H1669" s="7">
        <f>(F1669-G1669)/Speed_Calc!G$2*9.806</f>
        <v>-716.06819746061342</v>
      </c>
      <c r="I1669" s="4">
        <f t="shared" si="105"/>
        <v>45.361111111110276</v>
      </c>
    </row>
    <row r="1670" spans="1:9" x14ac:dyDescent="0.2">
      <c r="A1670" s="11">
        <v>163.39999999999699</v>
      </c>
      <c r="B1670" s="15">
        <v>3.133</v>
      </c>
      <c r="C1670" s="11">
        <f t="shared" si="102"/>
        <v>21174.995901147922</v>
      </c>
      <c r="D1670" s="11">
        <f t="shared" si="103"/>
        <v>-66421.777371540782</v>
      </c>
      <c r="E1670" s="11">
        <f t="shared" si="104"/>
        <v>-109754.46689300085</v>
      </c>
      <c r="F1670" s="11">
        <f>Speed_Calc!B$5*E1670</f>
        <v>-98779.020203700769</v>
      </c>
      <c r="G1670" s="15">
        <f>Speed_Calc!G$3+Speed_Calc!G$5*A1670^2</f>
        <v>127.06523559999606</v>
      </c>
      <c r="H1670" s="7">
        <f>(F1670-G1670)/Speed_Calc!G$2*9.806</f>
        <v>-718.42449912428378</v>
      </c>
      <c r="I1670" s="4">
        <f t="shared" si="105"/>
        <v>45.388888888888054</v>
      </c>
    </row>
    <row r="1671" spans="1:9" x14ac:dyDescent="0.2">
      <c r="A1671" s="11">
        <v>163.49999999999699</v>
      </c>
      <c r="B1671" s="15">
        <v>3.133</v>
      </c>
      <c r="C1671" s="11">
        <f t="shared" si="102"/>
        <v>21187.954894967468</v>
      </c>
      <c r="D1671" s="11">
        <f t="shared" si="103"/>
        <v>-66681.132688050187</v>
      </c>
      <c r="E1671" s="11">
        <f t="shared" si="104"/>
        <v>-110115.6319619198</v>
      </c>
      <c r="F1671" s="11">
        <f>Speed_Calc!B$5*E1671</f>
        <v>-99104.068765727832</v>
      </c>
      <c r="G1671" s="15">
        <f>Speed_Calc!G$3+Speed_Calc!G$5*A1671^2</f>
        <v>127.19632249999604</v>
      </c>
      <c r="H1671" s="7">
        <f>(F1671-G1671)/Speed_Calc!G$2*9.806</f>
        <v>-720.78650774456446</v>
      </c>
      <c r="I1671" s="4">
        <f t="shared" si="105"/>
        <v>45.416666666665826</v>
      </c>
    </row>
    <row r="1672" spans="1:9" x14ac:dyDescent="0.2">
      <c r="A1672" s="11">
        <v>163.59999999999701</v>
      </c>
      <c r="B1672" s="15">
        <v>3.133</v>
      </c>
      <c r="C1672" s="11">
        <f t="shared" si="102"/>
        <v>21200.913888787032</v>
      </c>
      <c r="D1672" s="11">
        <f t="shared" si="103"/>
        <v>-66941.285287645514</v>
      </c>
      <c r="E1672" s="11">
        <f t="shared" si="104"/>
        <v>-110477.67131824337</v>
      </c>
      <c r="F1672" s="11">
        <f>Speed_Calc!B$5*E1672</f>
        <v>-99429.904186419037</v>
      </c>
      <c r="G1672" s="15">
        <f>Speed_Calc!G$3+Speed_Calc!G$5*A1672^2</f>
        <v>127.32748959999607</v>
      </c>
      <c r="H1672" s="7">
        <f>(F1672-G1672)/Speed_Calc!G$2*9.806</f>
        <v>-723.15423245558702</v>
      </c>
      <c r="I1672" s="4">
        <f t="shared" si="105"/>
        <v>45.444444444443612</v>
      </c>
    </row>
    <row r="1673" spans="1:9" x14ac:dyDescent="0.2">
      <c r="A1673" s="11">
        <v>163.699999999997</v>
      </c>
      <c r="B1673" s="15">
        <v>3.133</v>
      </c>
      <c r="C1673" s="11">
        <f t="shared" si="102"/>
        <v>21213.872882606582</v>
      </c>
      <c r="D1673" s="11">
        <f t="shared" si="103"/>
        <v>-67202.236989562109</v>
      </c>
      <c r="E1673" s="11">
        <f t="shared" si="104"/>
        <v>-110840.58636030607</v>
      </c>
      <c r="F1673" s="11">
        <f>Speed_Calc!B$5*E1673</f>
        <v>-99756.527724275467</v>
      </c>
      <c r="G1673" s="15">
        <f>Speed_Calc!G$3+Speed_Calc!G$5*A1673^2</f>
        <v>127.45873689999607</v>
      </c>
      <c r="H1673" s="7">
        <f>(F1673-G1673)/Speed_Calc!G$2*9.806</f>
        <v>-725.5276823987308</v>
      </c>
      <c r="I1673" s="4">
        <f t="shared" si="105"/>
        <v>45.47222222222139</v>
      </c>
    </row>
    <row r="1674" spans="1:9" x14ac:dyDescent="0.2">
      <c r="A1674" s="11">
        <v>163.799999999997</v>
      </c>
      <c r="B1674" s="15">
        <v>3.133</v>
      </c>
      <c r="C1674" s="11">
        <f t="shared" si="102"/>
        <v>21226.831876426131</v>
      </c>
      <c r="D1674" s="11">
        <f t="shared" si="103"/>
        <v>-67463.989615781247</v>
      </c>
      <c r="E1674" s="11">
        <f t="shared" si="104"/>
        <v>-111204.37848755355</v>
      </c>
      <c r="F1674" s="11">
        <f>Speed_Calc!B$5*E1674</f>
        <v>-100083.9406387982</v>
      </c>
      <c r="G1674" s="15">
        <f>Speed_Calc!G$3+Speed_Calc!G$5*A1674^2</f>
        <v>127.59006439999605</v>
      </c>
      <c r="H1674" s="7">
        <f>(F1674-G1674)/Speed_Calc!G$2*9.806</f>
        <v>-727.90686672263803</v>
      </c>
      <c r="I1674" s="4">
        <f t="shared" si="105"/>
        <v>45.499999999999169</v>
      </c>
    </row>
    <row r="1675" spans="1:9" x14ac:dyDescent="0.2">
      <c r="A1675" s="11">
        <v>163.89999999999699</v>
      </c>
      <c r="B1675" s="15">
        <v>3.133</v>
      </c>
      <c r="C1675" s="11">
        <f t="shared" si="102"/>
        <v>21239.790870245681</v>
      </c>
      <c r="D1675" s="11">
        <f t="shared" si="103"/>
        <v>-67726.544991030984</v>
      </c>
      <c r="E1675" s="11">
        <f t="shared" si="104"/>
        <v>-111569.0491005412</v>
      </c>
      <c r="F1675" s="11">
        <f>Speed_Calc!B$5*E1675</f>
        <v>-100412.14419048709</v>
      </c>
      <c r="G1675" s="15">
        <f>Speed_Calc!G$3+Speed_Calc!G$5*A1675^2</f>
        <v>127.72147209999603</v>
      </c>
      <c r="H1675" s="7">
        <f>(F1675-G1675)/Speed_Calc!G$2*9.806</f>
        <v>-730.29179458320652</v>
      </c>
      <c r="I1675" s="4">
        <f t="shared" si="105"/>
        <v>45.52777777777694</v>
      </c>
    </row>
    <row r="1676" spans="1:9" x14ac:dyDescent="0.2">
      <c r="A1676" s="11">
        <v>163.99999999999699</v>
      </c>
      <c r="B1676" s="15">
        <v>3.133</v>
      </c>
      <c r="C1676" s="11">
        <f t="shared" si="102"/>
        <v>21252.749864065234</v>
      </c>
      <c r="D1676" s="11">
        <f t="shared" si="103"/>
        <v>-67989.904942788693</v>
      </c>
      <c r="E1676" s="11">
        <f t="shared" si="104"/>
        <v>-111934.59960093467</v>
      </c>
      <c r="F1676" s="11">
        <f>Speed_Calc!B$5*E1676</f>
        <v>-100741.13964084121</v>
      </c>
      <c r="G1676" s="15">
        <f>Speed_Calc!G$3+Speed_Calc!G$5*A1676^2</f>
        <v>127.85295999999602</v>
      </c>
      <c r="H1676" s="7">
        <f>(F1676-G1676)/Speed_Calc!G$2*9.806</f>
        <v>-732.68247514359166</v>
      </c>
      <c r="I1676" s="4">
        <f t="shared" si="105"/>
        <v>45.555555555554719</v>
      </c>
    </row>
    <row r="1677" spans="1:9" x14ac:dyDescent="0.2">
      <c r="A1677" s="11">
        <v>164.09999999999701</v>
      </c>
      <c r="B1677" s="15">
        <v>3.133</v>
      </c>
      <c r="C1677" s="11">
        <f t="shared" si="102"/>
        <v>21265.708857884791</v>
      </c>
      <c r="D1677" s="11">
        <f t="shared" si="103"/>
        <v>-68254.071301282631</v>
      </c>
      <c r="E1677" s="11">
        <f t="shared" si="104"/>
        <v>-112301.03139150912</v>
      </c>
      <c r="F1677" s="11">
        <f>Speed_Calc!B$5*E1677</f>
        <v>-101070.92825235821</v>
      </c>
      <c r="G1677" s="15">
        <f>Speed_Calc!G$3+Speed_Calc!G$5*A1677^2</f>
        <v>127.98452809999606</v>
      </c>
      <c r="H1677" s="7">
        <f>(F1677-G1677)/Speed_Calc!G$2*9.806</f>
        <v>-735.07891757420225</v>
      </c>
      <c r="I1677" s="4">
        <f t="shared" si="105"/>
        <v>45.583333333332504</v>
      </c>
    </row>
    <row r="1678" spans="1:9" x14ac:dyDescent="0.2">
      <c r="A1678" s="11">
        <v>164.199999999997</v>
      </c>
      <c r="B1678" s="15">
        <v>3.133</v>
      </c>
      <c r="C1678" s="11">
        <f t="shared" si="102"/>
        <v>21278.667851704344</v>
      </c>
      <c r="D1678" s="11">
        <f t="shared" si="103"/>
        <v>-68519.045899494333</v>
      </c>
      <c r="E1678" s="11">
        <f t="shared" si="104"/>
        <v>-112668.34587614983</v>
      </c>
      <c r="F1678" s="11">
        <f>Speed_Calc!B$5*E1678</f>
        <v>-101401.51128853485</v>
      </c>
      <c r="G1678" s="15">
        <f>Speed_Calc!G$3+Speed_Calc!G$5*A1678^2</f>
        <v>128.11617639999605</v>
      </c>
      <c r="H1678" s="7">
        <f>(F1678-G1678)/Speed_Calc!G$2*9.806</f>
        <v>-737.48113105270443</v>
      </c>
      <c r="I1678" s="4">
        <f t="shared" si="105"/>
        <v>45.611111111110276</v>
      </c>
    </row>
    <row r="1679" spans="1:9" x14ac:dyDescent="0.2">
      <c r="A1679" s="11">
        <v>164.299999999997</v>
      </c>
      <c r="B1679" s="15">
        <v>3.133</v>
      </c>
      <c r="C1679" s="11">
        <f t="shared" ref="C1679:C1742" si="106">A1679/3.6/B$23/2/PI()*B$32*B$31*B1679*60</f>
        <v>21291.626845523897</v>
      </c>
      <c r="D1679" s="11">
        <f t="shared" ref="D1679:D1742" si="107">-4.687*10^(-17)*C1679^5+9.129*10^(-13)*C1679^4-6.175*10^(-9)*C1679^3+1.799*10^(-5)*C1679^2+6.502*10^(-3)*C1679</f>
        <v>-68784.830573160827</v>
      </c>
      <c r="E1679" s="11">
        <f t="shared" ref="E1679:E1742" si="108">D1679*75*B1679*B$31*B$32/B$23/C1679/2/PI()*60</f>
        <v>-113036.54445985246</v>
      </c>
      <c r="F1679" s="11">
        <f>Speed_Calc!B$5*E1679</f>
        <v>-101732.89001386722</v>
      </c>
      <c r="G1679" s="15">
        <f>Speed_Calc!G$3+Speed_Calc!G$5*A1679^2</f>
        <v>128.24790489999603</v>
      </c>
      <c r="H1679" s="7">
        <f>(F1679-G1679)/Speed_Calc!G$2*9.806</f>
        <v>-739.88912476402311</v>
      </c>
      <c r="I1679" s="4">
        <f t="shared" ref="I1679:I1742" si="109">A1679/3.6</f>
        <v>45.638888888888054</v>
      </c>
    </row>
    <row r="1680" spans="1:9" x14ac:dyDescent="0.2">
      <c r="A1680" s="11">
        <v>164.39999999999699</v>
      </c>
      <c r="B1680" s="15">
        <v>3.133</v>
      </c>
      <c r="C1680" s="11">
        <f t="shared" si="106"/>
        <v>21304.585839343446</v>
      </c>
      <c r="D1680" s="11">
        <f t="shared" si="107"/>
        <v>-69051.427160776249</v>
      </c>
      <c r="E1680" s="11">
        <f t="shared" si="108"/>
        <v>-113405.62854872219</v>
      </c>
      <c r="F1680" s="11">
        <f>Speed_Calc!B$5*E1680</f>
        <v>-102065.06569384997</v>
      </c>
      <c r="G1680" s="15">
        <f>Speed_Calc!G$3+Speed_Calc!G$5*A1680^2</f>
        <v>128.37971359999602</v>
      </c>
      <c r="H1680" s="7">
        <f>(F1680-G1680)/Speed_Calc!G$2*9.806</f>
        <v>-742.30290790033655</v>
      </c>
      <c r="I1680" s="4">
        <f t="shared" si="109"/>
        <v>45.666666666665833</v>
      </c>
    </row>
    <row r="1681" spans="1:9" x14ac:dyDescent="0.2">
      <c r="A1681" s="11">
        <v>164.49999999999699</v>
      </c>
      <c r="B1681" s="15">
        <v>3.133</v>
      </c>
      <c r="C1681" s="11">
        <f t="shared" si="106"/>
        <v>21317.544833163</v>
      </c>
      <c r="D1681" s="11">
        <f t="shared" si="107"/>
        <v>-69318.837503594434</v>
      </c>
      <c r="E1681" s="11">
        <f t="shared" si="108"/>
        <v>-113775.59954997469</v>
      </c>
      <c r="F1681" s="11">
        <f>Speed_Calc!B$5*E1681</f>
        <v>-102398.03959497722</v>
      </c>
      <c r="G1681" s="15">
        <f>Speed_Calc!G$3+Speed_Calc!G$5*A1681^2</f>
        <v>128.51160249999603</v>
      </c>
      <c r="H1681" s="7">
        <f>(F1681-G1681)/Speed_Calc!G$2*9.806</f>
        <v>-744.72248966108259</v>
      </c>
      <c r="I1681" s="4">
        <f t="shared" si="109"/>
        <v>45.694444444443604</v>
      </c>
    </row>
    <row r="1682" spans="1:9" x14ac:dyDescent="0.2">
      <c r="A1682" s="11">
        <v>164.59999999999701</v>
      </c>
      <c r="B1682" s="15">
        <v>3.133</v>
      </c>
      <c r="C1682" s="11">
        <f t="shared" si="106"/>
        <v>21330.503826982553</v>
      </c>
      <c r="D1682" s="11">
        <f t="shared" si="107"/>
        <v>-69587.063445630381</v>
      </c>
      <c r="E1682" s="11">
        <f t="shared" si="108"/>
        <v>-114146.45887193529</v>
      </c>
      <c r="F1682" s="11">
        <f>Speed_Calc!B$5*E1682</f>
        <v>-102731.81298474176</v>
      </c>
      <c r="G1682" s="15">
        <f>Speed_Calc!G$3+Speed_Calc!G$5*A1682^2</f>
        <v>128.64357159999605</v>
      </c>
      <c r="H1682" s="7">
        <f>(F1682-G1682)/Speed_Calc!G$2*9.806</f>
        <v>-747.14787925295343</v>
      </c>
      <c r="I1682" s="4">
        <f t="shared" si="109"/>
        <v>45.72222222222139</v>
      </c>
    </row>
    <row r="1683" spans="1:9" x14ac:dyDescent="0.2">
      <c r="A1683" s="11">
        <v>164.699999999997</v>
      </c>
      <c r="B1683" s="15">
        <v>3.133</v>
      </c>
      <c r="C1683" s="11">
        <f t="shared" si="106"/>
        <v>21343.462820802102</v>
      </c>
      <c r="D1683" s="11">
        <f t="shared" si="107"/>
        <v>-69856.106833662649</v>
      </c>
      <c r="E1683" s="11">
        <f t="shared" si="108"/>
        <v>-114518.20792403925</v>
      </c>
      <c r="F1683" s="11">
        <f>Speed_Calc!B$5*E1683</f>
        <v>-103066.38713163533</v>
      </c>
      <c r="G1683" s="15">
        <f>Speed_Calc!G$3+Speed_Calc!G$5*A1683^2</f>
        <v>128.77562089999606</v>
      </c>
      <c r="H1683" s="7">
        <f>(F1683-G1683)/Speed_Calc!G$2*9.806</f>
        <v>-749.57908588989721</v>
      </c>
      <c r="I1683" s="4">
        <f t="shared" si="109"/>
        <v>45.749999999999169</v>
      </c>
    </row>
    <row r="1684" spans="1:9" x14ac:dyDescent="0.2">
      <c r="A1684" s="11">
        <v>164.799999999997</v>
      </c>
      <c r="B1684" s="15">
        <v>3.133</v>
      </c>
      <c r="C1684" s="11">
        <f t="shared" si="106"/>
        <v>21356.421814621652</v>
      </c>
      <c r="D1684" s="11">
        <f t="shared" si="107"/>
        <v>-70125.969517235557</v>
      </c>
      <c r="E1684" s="11">
        <f t="shared" si="108"/>
        <v>-114890.84811683222</v>
      </c>
      <c r="F1684" s="11">
        <f>Speed_Calc!B$5*E1684</f>
        <v>-103401.763305149</v>
      </c>
      <c r="G1684" s="15">
        <f>Speed_Calc!G$3+Speed_Calc!G$5*A1684^2</f>
        <v>128.90775039999602</v>
      </c>
      <c r="H1684" s="7">
        <f>(F1684-G1684)/Speed_Calc!G$2*9.806</f>
        <v>-752.01611879312111</v>
      </c>
      <c r="I1684" s="4">
        <f t="shared" si="109"/>
        <v>45.77777777777694</v>
      </c>
    </row>
    <row r="1685" spans="1:9" x14ac:dyDescent="0.2">
      <c r="A1685" s="11">
        <v>164.89999999999699</v>
      </c>
      <c r="B1685" s="15">
        <v>3.133</v>
      </c>
      <c r="C1685" s="11">
        <f t="shared" si="106"/>
        <v>21369.380808441201</v>
      </c>
      <c r="D1685" s="11">
        <f t="shared" si="107"/>
        <v>-70396.653348660941</v>
      </c>
      <c r="E1685" s="11">
        <f t="shared" si="108"/>
        <v>-115264.38086196971</v>
      </c>
      <c r="F1685" s="11">
        <f>Speed_Calc!B$5*E1685</f>
        <v>-103737.94277577274</v>
      </c>
      <c r="G1685" s="15">
        <f>Speed_Calc!G$3+Speed_Calc!G$5*A1685^2</f>
        <v>129.03996009999602</v>
      </c>
      <c r="H1685" s="7">
        <f>(F1685-G1685)/Speed_Calc!G$2*9.806</f>
        <v>-754.45898719108743</v>
      </c>
      <c r="I1685" s="4">
        <f t="shared" si="109"/>
        <v>45.805555555554719</v>
      </c>
    </row>
    <row r="1686" spans="1:9" x14ac:dyDescent="0.2">
      <c r="A1686" s="11">
        <v>164.99999999999699</v>
      </c>
      <c r="B1686" s="15">
        <v>3.133</v>
      </c>
      <c r="C1686" s="11">
        <f t="shared" si="106"/>
        <v>21382.339802260754</v>
      </c>
      <c r="D1686" s="11">
        <f t="shared" si="107"/>
        <v>-70668.160183020271</v>
      </c>
      <c r="E1686" s="11">
        <f t="shared" si="108"/>
        <v>-115638.80757221712</v>
      </c>
      <c r="F1686" s="11">
        <f>Speed_Calc!B$5*E1686</f>
        <v>-104074.92681499542</v>
      </c>
      <c r="G1686" s="15">
        <f>Speed_Calc!G$3+Speed_Calc!G$5*A1686^2</f>
        <v>129.17224999999601</v>
      </c>
      <c r="H1686" s="7">
        <f>(F1686-G1686)/Speed_Calc!G$2*9.806</f>
        <v>-756.90770031951479</v>
      </c>
      <c r="I1686" s="4">
        <f t="shared" si="109"/>
        <v>45.833333333332497</v>
      </c>
    </row>
    <row r="1687" spans="1:9" x14ac:dyDescent="0.2">
      <c r="A1687" s="11">
        <v>165.09999999999701</v>
      </c>
      <c r="B1687" s="15">
        <v>3.133</v>
      </c>
      <c r="C1687" s="11">
        <f t="shared" si="106"/>
        <v>21395.298796080315</v>
      </c>
      <c r="D1687" s="11">
        <f t="shared" si="107"/>
        <v>-70940.491878166969</v>
      </c>
      <c r="E1687" s="11">
        <f t="shared" si="108"/>
        <v>-116014.12966145019</v>
      </c>
      <c r="F1687" s="11">
        <f>Speed_Calc!B$5*E1687</f>
        <v>-104412.71669530518</v>
      </c>
      <c r="G1687" s="15">
        <f>Speed_Calc!G$3+Speed_Calc!G$5*A1687^2</f>
        <v>129.30462009999604</v>
      </c>
      <c r="H1687" s="7">
        <f>(F1687-G1687)/Speed_Calc!G$2*9.806</f>
        <v>-759.36226742138012</v>
      </c>
      <c r="I1687" s="4">
        <f t="shared" si="109"/>
        <v>45.861111111110283</v>
      </c>
    </row>
    <row r="1688" spans="1:9" x14ac:dyDescent="0.2">
      <c r="A1688" s="11">
        <v>165.199999999997</v>
      </c>
      <c r="B1688" s="15">
        <v>3.133</v>
      </c>
      <c r="C1688" s="11">
        <f t="shared" si="106"/>
        <v>21408.257789899864</v>
      </c>
      <c r="D1688" s="11">
        <f t="shared" si="107"/>
        <v>-71213.650294727719</v>
      </c>
      <c r="E1688" s="11">
        <f t="shared" si="108"/>
        <v>-116390.34854465394</v>
      </c>
      <c r="F1688" s="11">
        <f>Speed_Calc!B$5*E1688</f>
        <v>-104751.31369018854</v>
      </c>
      <c r="G1688" s="15">
        <f>Speed_Calc!G$3+Speed_Calc!G$5*A1688^2</f>
        <v>129.43707039999603</v>
      </c>
      <c r="H1688" s="7">
        <f>(F1688-G1688)/Speed_Calc!G$2*9.806</f>
        <v>-761.82269774691201</v>
      </c>
      <c r="I1688" s="4">
        <f t="shared" si="109"/>
        <v>45.888888888888054</v>
      </c>
    </row>
    <row r="1689" spans="1:9" x14ac:dyDescent="0.2">
      <c r="A1689" s="11">
        <v>165.299999999997</v>
      </c>
      <c r="B1689" s="15">
        <v>3.133</v>
      </c>
      <c r="C1689" s="11">
        <f t="shared" si="106"/>
        <v>21421.216783719417</v>
      </c>
      <c r="D1689" s="11">
        <f t="shared" si="107"/>
        <v>-71487.637296105575</v>
      </c>
      <c r="E1689" s="11">
        <f t="shared" si="108"/>
        <v>-116767.46563792412</v>
      </c>
      <c r="F1689" s="11">
        <f>Speed_Calc!B$5*E1689</f>
        <v>-105090.71907413172</v>
      </c>
      <c r="G1689" s="15">
        <f>Speed_Calc!G$3+Speed_Calc!G$5*A1689^2</f>
        <v>129.569600899996</v>
      </c>
      <c r="H1689" s="7">
        <f>(F1689-G1689)/Speed_Calc!G$2*9.806</f>
        <v>-764.28900055360066</v>
      </c>
      <c r="I1689" s="4">
        <f t="shared" si="109"/>
        <v>45.916666666665833</v>
      </c>
    </row>
    <row r="1690" spans="1:9" x14ac:dyDescent="0.2">
      <c r="A1690" s="11">
        <v>165.39999999999699</v>
      </c>
      <c r="B1690" s="15">
        <v>3.133</v>
      </c>
      <c r="C1690" s="11">
        <f t="shared" si="106"/>
        <v>21434.175777538974</v>
      </c>
      <c r="D1690" s="11">
        <f t="shared" si="107"/>
        <v>-71762.45474848141</v>
      </c>
      <c r="E1690" s="11">
        <f t="shared" si="108"/>
        <v>-117145.48235846632</v>
      </c>
      <c r="F1690" s="11">
        <f>Speed_Calc!B$5*E1690</f>
        <v>-105430.9341226197</v>
      </c>
      <c r="G1690" s="15">
        <f>Speed_Calc!G$3+Speed_Calc!G$5*A1690^2</f>
        <v>129.70221159999602</v>
      </c>
      <c r="H1690" s="7">
        <f>(F1690-G1690)/Speed_Calc!G$2*9.806</f>
        <v>-766.76118510619142</v>
      </c>
      <c r="I1690" s="4">
        <f t="shared" si="109"/>
        <v>45.944444444443612</v>
      </c>
    </row>
    <row r="1691" spans="1:9" x14ac:dyDescent="0.2">
      <c r="A1691" s="11">
        <v>165.49999999999699</v>
      </c>
      <c r="B1691" s="15">
        <v>3.133</v>
      </c>
      <c r="C1691" s="11">
        <f t="shared" si="106"/>
        <v>21447.13477135852</v>
      </c>
      <c r="D1691" s="11">
        <f t="shared" si="107"/>
        <v>-72038.104520815628</v>
      </c>
      <c r="E1691" s="11">
        <f t="shared" si="108"/>
        <v>-117524.4001245956</v>
      </c>
      <c r="F1691" s="11">
        <f>Speed_Calc!B$5*E1691</f>
        <v>-105771.96011213605</v>
      </c>
      <c r="G1691" s="15">
        <f>Speed_Calc!G$3+Speed_Calc!G$5*A1691^2</f>
        <v>129.83490249999599</v>
      </c>
      <c r="H1691" s="7">
        <f>(F1691-G1691)/Speed_Calc!G$2*9.806</f>
        <v>-769.23926067668219</v>
      </c>
      <c r="I1691" s="4">
        <f t="shared" si="109"/>
        <v>45.972222222221383</v>
      </c>
    </row>
    <row r="1692" spans="1:9" x14ac:dyDescent="0.2">
      <c r="A1692" s="11">
        <v>165.59999999999701</v>
      </c>
      <c r="B1692" s="15">
        <v>3.133</v>
      </c>
      <c r="C1692" s="11">
        <f t="shared" si="106"/>
        <v>21460.093765178073</v>
      </c>
      <c r="D1692" s="11">
        <f t="shared" si="107"/>
        <v>-72314.588484851309</v>
      </c>
      <c r="E1692" s="11">
        <f t="shared" si="108"/>
        <v>-117904.22035573795</v>
      </c>
      <c r="F1692" s="11">
        <f>Speed_Calc!B$5*E1692</f>
        <v>-106113.79832016416</v>
      </c>
      <c r="G1692" s="15">
        <f>Speed_Calc!G$3+Speed_Calc!G$5*A1692^2</f>
        <v>129.96767359999603</v>
      </c>
      <c r="H1692" s="7">
        <f>(F1692-G1692)/Speed_Calc!G$2*9.806</f>
        <v>-771.72323654433433</v>
      </c>
      <c r="I1692" s="4">
        <f t="shared" si="109"/>
        <v>45.999999999999169</v>
      </c>
    </row>
    <row r="1693" spans="1:9" x14ac:dyDescent="0.2">
      <c r="A1693" s="11">
        <v>165.699999999997</v>
      </c>
      <c r="B1693" s="15">
        <v>3.133</v>
      </c>
      <c r="C1693" s="11">
        <f t="shared" si="106"/>
        <v>21473.05275899763</v>
      </c>
      <c r="D1693" s="11">
        <f t="shared" si="107"/>
        <v>-72591.908515115327</v>
      </c>
      <c r="E1693" s="11">
        <f t="shared" si="108"/>
        <v>-118284.94447242904</v>
      </c>
      <c r="F1693" s="11">
        <f>Speed_Calc!B$5*E1693</f>
        <v>-106456.45002518613</v>
      </c>
      <c r="G1693" s="15">
        <f>Speed_Calc!G$3+Speed_Calc!G$5*A1693^2</f>
        <v>130.100524899996</v>
      </c>
      <c r="H1693" s="7">
        <f>(F1693-G1693)/Speed_Calc!G$2*9.806</f>
        <v>-774.21312199566262</v>
      </c>
      <c r="I1693" s="4">
        <f t="shared" si="109"/>
        <v>46.027777777776947</v>
      </c>
    </row>
    <row r="1694" spans="1:9" x14ac:dyDescent="0.2">
      <c r="A1694" s="11">
        <v>165.799999999997</v>
      </c>
      <c r="B1694" s="15">
        <v>3.133</v>
      </c>
      <c r="C1694" s="11">
        <f t="shared" si="106"/>
        <v>21486.011752817172</v>
      </c>
      <c r="D1694" s="11">
        <f t="shared" si="107"/>
        <v>-72870.0664889201</v>
      </c>
      <c r="E1694" s="11">
        <f t="shared" si="108"/>
        <v>-118666.57389631358</v>
      </c>
      <c r="F1694" s="11">
        <f>Speed_Calc!B$5*E1694</f>
        <v>-106799.91650668223</v>
      </c>
      <c r="G1694" s="15">
        <f>Speed_Calc!G$3+Speed_Calc!G$5*A1694^2</f>
        <v>130.23345639999599</v>
      </c>
      <c r="H1694" s="7">
        <f>(F1694-G1694)/Speed_Calc!G$2*9.806</f>
        <v>-776.7089263244327</v>
      </c>
      <c r="I1694" s="4">
        <f t="shared" si="109"/>
        <v>46.055555555554719</v>
      </c>
    </row>
    <row r="1695" spans="1:9" x14ac:dyDescent="0.2">
      <c r="A1695" s="11">
        <v>165.89999999999699</v>
      </c>
      <c r="B1695" s="15">
        <v>3.133</v>
      </c>
      <c r="C1695" s="11">
        <f t="shared" si="106"/>
        <v>21498.970746636725</v>
      </c>
      <c r="D1695" s="11">
        <f t="shared" si="107"/>
        <v>-73149.064286367415</v>
      </c>
      <c r="E1695" s="11">
        <f t="shared" si="108"/>
        <v>-119049.11005014803</v>
      </c>
      <c r="F1695" s="11">
        <f>Speed_Calc!B$5*E1695</f>
        <v>-107144.19904513322</v>
      </c>
      <c r="G1695" s="15">
        <f>Speed_Calc!G$3+Speed_Calc!G$5*A1695^2</f>
        <v>130.36646809999598</v>
      </c>
      <c r="H1695" s="7">
        <f>(F1695-G1695)/Speed_Calc!G$2*9.806</f>
        <v>-779.21065883167762</v>
      </c>
      <c r="I1695" s="4">
        <f t="shared" si="109"/>
        <v>46.083333333332497</v>
      </c>
    </row>
    <row r="1696" spans="1:9" x14ac:dyDescent="0.2">
      <c r="A1696" s="11">
        <v>165.99999999999699</v>
      </c>
      <c r="B1696" s="15">
        <v>3.133</v>
      </c>
      <c r="C1696" s="11">
        <f t="shared" si="106"/>
        <v>21511.929740456282</v>
      </c>
      <c r="D1696" s="11">
        <f t="shared" si="107"/>
        <v>-73428.903790348413</v>
      </c>
      <c r="E1696" s="11">
        <f t="shared" si="108"/>
        <v>-119432.55435779778</v>
      </c>
      <c r="F1696" s="11">
        <f>Speed_Calc!B$5*E1696</f>
        <v>-107489.298922018</v>
      </c>
      <c r="G1696" s="15">
        <f>Speed_Calc!G$3+Speed_Calc!G$5*A1696^2</f>
        <v>130.49955999999599</v>
      </c>
      <c r="H1696" s="7">
        <f>(F1696-G1696)/Speed_Calc!G$2*9.806</f>
        <v>-781.71832882568026</v>
      </c>
      <c r="I1696" s="4">
        <f t="shared" si="109"/>
        <v>46.111111111110276</v>
      </c>
    </row>
    <row r="1697" spans="1:9" x14ac:dyDescent="0.2">
      <c r="A1697" s="11">
        <v>166.09999999999701</v>
      </c>
      <c r="B1697" s="15">
        <v>3.133</v>
      </c>
      <c r="C1697" s="11">
        <f t="shared" si="106"/>
        <v>21524.888734275832</v>
      </c>
      <c r="D1697" s="11">
        <f t="shared" si="107"/>
        <v>-73709.586886546531</v>
      </c>
      <c r="E1697" s="11">
        <f t="shared" si="108"/>
        <v>-119816.90824423797</v>
      </c>
      <c r="F1697" s="11">
        <f>Speed_Calc!B$5*E1697</f>
        <v>-107835.21741981417</v>
      </c>
      <c r="G1697" s="15">
        <f>Speed_Calc!G$3+Speed_Calc!G$5*A1697^2</f>
        <v>130.63273209999602</v>
      </c>
      <c r="H1697" s="7">
        <f>(F1697-G1697)/Speed_Calc!G$2*9.806</f>
        <v>-784.23194562197796</v>
      </c>
      <c r="I1697" s="4">
        <f t="shared" si="109"/>
        <v>46.138888888888054</v>
      </c>
    </row>
    <row r="1698" spans="1:9" x14ac:dyDescent="0.2">
      <c r="A1698" s="11">
        <v>166.199999999997</v>
      </c>
      <c r="B1698" s="15">
        <v>3.133</v>
      </c>
      <c r="C1698" s="11">
        <f t="shared" si="106"/>
        <v>21537.847728095381</v>
      </c>
      <c r="D1698" s="11">
        <f t="shared" si="107"/>
        <v>-73991.115463439914</v>
      </c>
      <c r="E1698" s="11">
        <f t="shared" si="108"/>
        <v>-120202.17313555443</v>
      </c>
      <c r="F1698" s="11">
        <f>Speed_Calc!B$5*E1698</f>
        <v>-108181.95582199898</v>
      </c>
      <c r="G1698" s="15">
        <f>Speed_Calc!G$3+Speed_Calc!G$5*A1698^2</f>
        <v>130.765984399996</v>
      </c>
      <c r="H1698" s="7">
        <f>(F1698-G1698)/Speed_Calc!G$2*9.806</f>
        <v>-786.75151854336923</v>
      </c>
      <c r="I1698" s="4">
        <f t="shared" si="109"/>
        <v>46.166666666665833</v>
      </c>
    </row>
    <row r="1699" spans="1:9" x14ac:dyDescent="0.2">
      <c r="A1699" s="11">
        <v>166.299999999997</v>
      </c>
      <c r="B1699" s="15">
        <v>3.133</v>
      </c>
      <c r="C1699" s="11">
        <f t="shared" si="106"/>
        <v>21550.806721914942</v>
      </c>
      <c r="D1699" s="11">
        <f t="shared" si="107"/>
        <v>-74273.491412303207</v>
      </c>
      <c r="E1699" s="11">
        <f t="shared" si="108"/>
        <v>-120588.35045894304</v>
      </c>
      <c r="F1699" s="11">
        <f>Speed_Calc!B$5*E1699</f>
        <v>-108529.51541304874</v>
      </c>
      <c r="G1699" s="15">
        <f>Speed_Calc!G$3+Speed_Calc!G$5*A1699^2</f>
        <v>130.89931689999599</v>
      </c>
      <c r="H1699" s="7">
        <f>(F1699-G1699)/Speed_Calc!G$2*9.806</f>
        <v>-789.27705691990911</v>
      </c>
      <c r="I1699" s="4">
        <f t="shared" si="109"/>
        <v>46.194444444443612</v>
      </c>
    </row>
    <row r="1700" spans="1:9" x14ac:dyDescent="0.2">
      <c r="A1700" s="11">
        <v>166.39999999999699</v>
      </c>
      <c r="B1700" s="15">
        <v>3.133</v>
      </c>
      <c r="C1700" s="11">
        <f t="shared" si="106"/>
        <v>21563.765715734487</v>
      </c>
      <c r="D1700" s="11">
        <f t="shared" si="107"/>
        <v>-74556.71662720872</v>
      </c>
      <c r="E1700" s="11">
        <f t="shared" si="108"/>
        <v>-120975.44164270865</v>
      </c>
      <c r="F1700" s="11">
        <f>Speed_Calc!B$5*E1700</f>
        <v>-108877.89747843779</v>
      </c>
      <c r="G1700" s="15">
        <f>Speed_Calc!G$3+Speed_Calc!G$5*A1700^2</f>
        <v>131.03272959999597</v>
      </c>
      <c r="H1700" s="7">
        <f>(F1700-G1700)/Speed_Calc!G$2*9.806</f>
        <v>-791.80857008890257</v>
      </c>
      <c r="I1700" s="4">
        <f t="shared" si="109"/>
        <v>46.222222222221383</v>
      </c>
    </row>
    <row r="1701" spans="1:9" x14ac:dyDescent="0.2">
      <c r="A1701" s="11">
        <v>166.49999999999699</v>
      </c>
      <c r="B1701" s="15">
        <v>3.133</v>
      </c>
      <c r="C1701" s="11">
        <f t="shared" si="106"/>
        <v>21576.724709554041</v>
      </c>
      <c r="D1701" s="11">
        <f t="shared" si="107"/>
        <v>-74840.793005030297</v>
      </c>
      <c r="E1701" s="11">
        <f t="shared" si="108"/>
        <v>-121363.44811626757</v>
      </c>
      <c r="F1701" s="11">
        <f>Speed_Calc!B$5*E1701</f>
        <v>-109227.10330464081</v>
      </c>
      <c r="G1701" s="15">
        <f>Speed_Calc!G$3+Speed_Calc!G$5*A1701^2</f>
        <v>131.16622249999597</v>
      </c>
      <c r="H1701" s="7">
        <f>(F1701-G1701)/Speed_Calc!G$2*9.806</f>
        <v>-794.3460673949204</v>
      </c>
      <c r="I1701" s="4">
        <f t="shared" si="109"/>
        <v>46.249999999999162</v>
      </c>
    </row>
    <row r="1702" spans="1:9" x14ac:dyDescent="0.2">
      <c r="A1702" s="11">
        <v>166.59999999999701</v>
      </c>
      <c r="B1702" s="15">
        <v>3.133</v>
      </c>
      <c r="C1702" s="11">
        <f t="shared" si="106"/>
        <v>21589.683703373594</v>
      </c>
      <c r="D1702" s="11">
        <f t="shared" si="107"/>
        <v>-75125.722445443695</v>
      </c>
      <c r="E1702" s="11">
        <f t="shared" si="108"/>
        <v>-121752.37131014503</v>
      </c>
      <c r="F1702" s="11">
        <f>Speed_Calc!B$5*E1702</f>
        <v>-109577.13417913053</v>
      </c>
      <c r="G1702" s="15">
        <f>Speed_Calc!G$3+Speed_Calc!G$5*A1702^2</f>
        <v>131.299795599996</v>
      </c>
      <c r="H1702" s="7">
        <f>(F1702-G1702)/Speed_Calc!G$2*9.806</f>
        <v>-796.8895581897832</v>
      </c>
      <c r="I1702" s="4">
        <f t="shared" si="109"/>
        <v>46.277777777776947</v>
      </c>
    </row>
    <row r="1703" spans="1:9" x14ac:dyDescent="0.2">
      <c r="A1703" s="11">
        <v>166.699999999997</v>
      </c>
      <c r="B1703" s="15">
        <v>3.133</v>
      </c>
      <c r="C1703" s="11">
        <f t="shared" si="106"/>
        <v>21602.642697193154</v>
      </c>
      <c r="D1703" s="11">
        <f t="shared" si="107"/>
        <v>-75411.506850929742</v>
      </c>
      <c r="E1703" s="11">
        <f t="shared" si="108"/>
        <v>-122142.21265597713</v>
      </c>
      <c r="F1703" s="11">
        <f>Speed_Calc!B$5*E1703</f>
        <v>-109927.99139037942</v>
      </c>
      <c r="G1703" s="15">
        <f>Speed_Calc!G$3+Speed_Calc!G$5*A1703^2</f>
        <v>131.43344889999599</v>
      </c>
      <c r="H1703" s="7">
        <f>(F1703-G1703)/Speed_Calc!G$2*9.806</f>
        <v>-799.43905183257323</v>
      </c>
      <c r="I1703" s="4">
        <f t="shared" si="109"/>
        <v>46.305555555554726</v>
      </c>
    </row>
    <row r="1704" spans="1:9" x14ac:dyDescent="0.2">
      <c r="A1704" s="11">
        <v>166.799999999997</v>
      </c>
      <c r="B1704" s="15">
        <v>3.133</v>
      </c>
      <c r="C1704" s="11">
        <f t="shared" si="106"/>
        <v>21615.6016910127</v>
      </c>
      <c r="D1704" s="11">
        <f t="shared" si="107"/>
        <v>-75698.148126775064</v>
      </c>
      <c r="E1704" s="11">
        <f t="shared" si="108"/>
        <v>-122532.97358650858</v>
      </c>
      <c r="F1704" s="11">
        <f>Speed_Calc!B$5*E1704</f>
        <v>-110279.67622785772</v>
      </c>
      <c r="G1704" s="15">
        <f>Speed_Calc!G$3+Speed_Calc!G$5*A1704^2</f>
        <v>131.56718239999597</v>
      </c>
      <c r="H1704" s="7">
        <f>(F1704-G1704)/Speed_Calc!G$2*9.806</f>
        <v>-801.99455768962002</v>
      </c>
      <c r="I1704" s="4">
        <f t="shared" si="109"/>
        <v>46.333333333332497</v>
      </c>
    </row>
    <row r="1705" spans="1:9" x14ac:dyDescent="0.2">
      <c r="A1705" s="11">
        <v>166.89999999999699</v>
      </c>
      <c r="B1705" s="15">
        <v>3.133</v>
      </c>
      <c r="C1705" s="11">
        <f t="shared" si="106"/>
        <v>21628.560684832253</v>
      </c>
      <c r="D1705" s="11">
        <f t="shared" si="107"/>
        <v>-75985.648181076249</v>
      </c>
      <c r="E1705" s="11">
        <f t="shared" si="108"/>
        <v>-122924.65553559587</v>
      </c>
      <c r="F1705" s="11">
        <f>Speed_Calc!B$5*E1705</f>
        <v>-110632.18998203629</v>
      </c>
      <c r="G1705" s="15">
        <f>Speed_Calc!G$3+Speed_Calc!G$5*A1705^2</f>
        <v>131.70099609999596</v>
      </c>
      <c r="H1705" s="7">
        <f>(F1705-G1705)/Speed_Calc!G$2*9.806</f>
        <v>-804.55608513452171</v>
      </c>
      <c r="I1705" s="4">
        <f t="shared" si="109"/>
        <v>46.361111111110276</v>
      </c>
    </row>
    <row r="1706" spans="1:9" x14ac:dyDescent="0.2">
      <c r="A1706" s="11">
        <v>166.99999999999699</v>
      </c>
      <c r="B1706" s="15">
        <v>3.133</v>
      </c>
      <c r="C1706" s="11">
        <f t="shared" si="106"/>
        <v>21641.519678651803</v>
      </c>
      <c r="D1706" s="11">
        <f t="shared" si="107"/>
        <v>-76274.00892473977</v>
      </c>
      <c r="E1706" s="11">
        <f t="shared" si="108"/>
        <v>-123317.25993820422</v>
      </c>
      <c r="F1706" s="11">
        <f>Speed_Calc!B$5*E1706</f>
        <v>-110985.5339443838</v>
      </c>
      <c r="G1706" s="15">
        <f>Speed_Calc!G$3+Speed_Calc!G$5*A1706^2</f>
        <v>131.83488999999594</v>
      </c>
      <c r="H1706" s="7">
        <f>(F1706-G1706)/Speed_Calc!G$2*9.806</f>
        <v>-807.12364354812405</v>
      </c>
      <c r="I1706" s="4">
        <f t="shared" si="109"/>
        <v>46.388888888888054</v>
      </c>
    </row>
    <row r="1707" spans="1:9" x14ac:dyDescent="0.2">
      <c r="A1707" s="11">
        <v>167.09999999999701</v>
      </c>
      <c r="B1707" s="15">
        <v>3.133</v>
      </c>
      <c r="C1707" s="11">
        <f t="shared" si="106"/>
        <v>21654.478672471352</v>
      </c>
      <c r="D1707" s="11">
        <f t="shared" si="107"/>
        <v>-76563.232271485293</v>
      </c>
      <c r="E1707" s="11">
        <f t="shared" si="108"/>
        <v>-123710.78823040937</v>
      </c>
      <c r="F1707" s="11">
        <f>Speed_Calc!B$5*E1707</f>
        <v>-111339.70940736843</v>
      </c>
      <c r="G1707" s="15">
        <f>Speed_Calc!G$3+Speed_Calc!G$5*A1707^2</f>
        <v>131.96886409999598</v>
      </c>
      <c r="H1707" s="7">
        <f>(F1707-G1707)/Speed_Calc!G$2*9.806</f>
        <v>-809.69724231853274</v>
      </c>
      <c r="I1707" s="4">
        <f t="shared" si="109"/>
        <v>46.416666666665833</v>
      </c>
    </row>
    <row r="1708" spans="1:9" x14ac:dyDescent="0.2">
      <c r="A1708" s="11">
        <v>167.19999999999601</v>
      </c>
      <c r="B1708" s="15">
        <v>3.133</v>
      </c>
      <c r="C1708" s="11">
        <f t="shared" si="106"/>
        <v>21667.437666290782</v>
      </c>
      <c r="D1708" s="11">
        <f t="shared" si="107"/>
        <v>-76853.32013784477</v>
      </c>
      <c r="E1708" s="11">
        <f t="shared" si="108"/>
        <v>-124105.24184939344</v>
      </c>
      <c r="F1708" s="11">
        <f>Speed_Calc!B$5*E1708</f>
        <v>-111694.7176644541</v>
      </c>
      <c r="G1708" s="15">
        <f>Speed_Calc!G$3+Speed_Calc!G$5*A1708^2</f>
        <v>132.10291839999462</v>
      </c>
      <c r="H1708" s="7">
        <f>(F1708-G1708)/Speed_Calc!G$2*9.806</f>
        <v>-812.27689084108681</v>
      </c>
      <c r="I1708" s="4">
        <f t="shared" si="109"/>
        <v>46.444444444443334</v>
      </c>
    </row>
    <row r="1709" spans="1:9" x14ac:dyDescent="0.2">
      <c r="A1709" s="11">
        <v>167.299999999996</v>
      </c>
      <c r="B1709" s="15">
        <v>3.133</v>
      </c>
      <c r="C1709" s="11">
        <f t="shared" si="106"/>
        <v>21680.396660110331</v>
      </c>
      <c r="D1709" s="11">
        <f t="shared" si="107"/>
        <v>-77144.274443174916</v>
      </c>
      <c r="E1709" s="11">
        <f t="shared" si="108"/>
        <v>-124500.6222334592</v>
      </c>
      <c r="F1709" s="11">
        <f>Speed_Calc!B$5*E1709</f>
        <v>-112050.56001011329</v>
      </c>
      <c r="G1709" s="15">
        <f>Speed_Calc!G$3+Speed_Calc!G$5*A1709^2</f>
        <v>132.23705289999464</v>
      </c>
      <c r="H1709" s="7">
        <f>(F1709-G1709)/Speed_Calc!G$2*9.806</f>
        <v>-814.86259851845034</v>
      </c>
      <c r="I1709" s="4">
        <f t="shared" si="109"/>
        <v>46.472222222221113</v>
      </c>
    </row>
    <row r="1710" spans="1:9" x14ac:dyDescent="0.2">
      <c r="A1710" s="11">
        <v>167.39999999999699</v>
      </c>
      <c r="B1710" s="15">
        <v>3.133</v>
      </c>
      <c r="C1710" s="11">
        <f t="shared" si="106"/>
        <v>21693.355653930004</v>
      </c>
      <c r="D1710" s="11">
        <f t="shared" si="107"/>
        <v>-77436.097109646464</v>
      </c>
      <c r="E1710" s="11">
        <f t="shared" si="108"/>
        <v>-124896.93082201271</v>
      </c>
      <c r="F1710" s="11">
        <f>Speed_Calc!B$5*E1710</f>
        <v>-112407.23773981145</v>
      </c>
      <c r="G1710" s="15">
        <f>Speed_Calc!G$3+Speed_Calc!G$5*A1710^2</f>
        <v>132.37126759999597</v>
      </c>
      <c r="H1710" s="7">
        <f>(F1710-G1710)/Speed_Calc!G$2*9.806</f>
        <v>-817.4543747605012</v>
      </c>
      <c r="I1710" s="4">
        <f t="shared" si="109"/>
        <v>46.499999999999162</v>
      </c>
    </row>
    <row r="1711" spans="1:9" x14ac:dyDescent="0.2">
      <c r="A1711" s="11">
        <v>167.49999999999699</v>
      </c>
      <c r="B1711" s="15">
        <v>3.133</v>
      </c>
      <c r="C1711" s="11">
        <f t="shared" si="106"/>
        <v>21706.314647749565</v>
      </c>
      <c r="D1711" s="11">
        <f t="shared" si="107"/>
        <v>-77728.790062245593</v>
      </c>
      <c r="E1711" s="11">
        <f t="shared" si="108"/>
        <v>-125294.16905556226</v>
      </c>
      <c r="F1711" s="11">
        <f>Speed_Calc!B$5*E1711</f>
        <v>-112764.75215000604</v>
      </c>
      <c r="G1711" s="15">
        <f>Speed_Calc!G$3+Speed_Calc!G$5*A1711^2</f>
        <v>132.50556249999596</v>
      </c>
      <c r="H1711" s="7">
        <f>(F1711-G1711)/Speed_Calc!G$2*9.806</f>
        <v>-820.05222898432157</v>
      </c>
      <c r="I1711" s="4">
        <f t="shared" si="109"/>
        <v>46.52777777777694</v>
      </c>
    </row>
    <row r="1712" spans="1:9" x14ac:dyDescent="0.2">
      <c r="A1712" s="11">
        <v>167.59999999999599</v>
      </c>
      <c r="B1712" s="15">
        <v>3.133</v>
      </c>
      <c r="C1712" s="11">
        <f t="shared" si="106"/>
        <v>21719.273641568987</v>
      </c>
      <c r="D1712" s="11">
        <f t="shared" si="107"/>
        <v>-78022.355228786386</v>
      </c>
      <c r="E1712" s="11">
        <f t="shared" si="108"/>
        <v>-125692.33837573283</v>
      </c>
      <c r="F1712" s="11">
        <f>Speed_Calc!B$5*E1712</f>
        <v>-113123.10453815955</v>
      </c>
      <c r="G1712" s="15">
        <f>Speed_Calc!G$3+Speed_Calc!G$5*A1712^2</f>
        <v>132.6399375999946</v>
      </c>
      <c r="H1712" s="7">
        <f>(F1712-G1712)/Speed_Calc!G$2*9.806</f>
        <v>-822.65617061429475</v>
      </c>
      <c r="I1712" s="4">
        <f t="shared" si="109"/>
        <v>46.555555555554442</v>
      </c>
    </row>
    <row r="1713" spans="1:9" x14ac:dyDescent="0.2">
      <c r="A1713" s="11">
        <v>167.69999999999601</v>
      </c>
      <c r="B1713" s="15">
        <v>3.133</v>
      </c>
      <c r="C1713" s="11">
        <f t="shared" si="106"/>
        <v>21732.23263538854</v>
      </c>
      <c r="D1713" s="11">
        <f t="shared" si="107"/>
        <v>-78316.794539914801</v>
      </c>
      <c r="E1713" s="11">
        <f t="shared" si="108"/>
        <v>-126091.44022526831</v>
      </c>
      <c r="F1713" s="11">
        <f>Speed_Calc!B$5*E1713</f>
        <v>-113482.29620274148</v>
      </c>
      <c r="G1713" s="15">
        <f>Speed_Calc!G$3+Speed_Calc!G$5*A1713^2</f>
        <v>132.77439289999461</v>
      </c>
      <c r="H1713" s="7">
        <f>(F1713-G1713)/Speed_Calc!G$2*9.806</f>
        <v>-825.26620908211862</v>
      </c>
      <c r="I1713" s="4">
        <f t="shared" si="109"/>
        <v>46.583333333332227</v>
      </c>
    </row>
    <row r="1714" spans="1:9" x14ac:dyDescent="0.2">
      <c r="A1714" s="11">
        <v>167.799999999996</v>
      </c>
      <c r="B1714" s="15">
        <v>3.133</v>
      </c>
      <c r="C1714" s="11">
        <f t="shared" si="106"/>
        <v>21745.191629208093</v>
      </c>
      <c r="D1714" s="11">
        <f t="shared" si="107"/>
        <v>-78612.109929095008</v>
      </c>
      <c r="E1714" s="11">
        <f t="shared" si="108"/>
        <v>-126491.47604801046</v>
      </c>
      <c r="F1714" s="11">
        <f>Speed_Calc!B$5*E1714</f>
        <v>-113842.32844320942</v>
      </c>
      <c r="G1714" s="15">
        <f>Speed_Calc!G$3+Speed_Calc!G$5*A1714^2</f>
        <v>132.90892839999461</v>
      </c>
      <c r="H1714" s="7">
        <f>(F1714-G1714)/Speed_Calc!G$2*9.806</f>
        <v>-827.88235382666801</v>
      </c>
      <c r="I1714" s="4">
        <f t="shared" si="109"/>
        <v>46.611111111109999</v>
      </c>
    </row>
    <row r="1715" spans="1:9" x14ac:dyDescent="0.2">
      <c r="A1715" s="11">
        <v>167.89999999999699</v>
      </c>
      <c r="B1715" s="15">
        <v>3.133</v>
      </c>
      <c r="C1715" s="11">
        <f t="shared" si="106"/>
        <v>21758.150623027774</v>
      </c>
      <c r="D1715" s="11">
        <f t="shared" si="107"/>
        <v>-78908.303332626383</v>
      </c>
      <c r="E1715" s="11">
        <f t="shared" si="108"/>
        <v>-126892.44728891904</v>
      </c>
      <c r="F1715" s="11">
        <f>Speed_Calc!B$5*E1715</f>
        <v>-114203.20256002713</v>
      </c>
      <c r="G1715" s="15">
        <f>Speed_Calc!G$3+Speed_Calc!G$5*A1715^2</f>
        <v>133.04354409999593</v>
      </c>
      <c r="H1715" s="7">
        <f>(F1715-G1715)/Speed_Calc!G$2*9.806</f>
        <v>-830.50461429412633</v>
      </c>
      <c r="I1715" s="4">
        <f t="shared" si="109"/>
        <v>46.638888888888054</v>
      </c>
    </row>
    <row r="1716" spans="1:9" x14ac:dyDescent="0.2">
      <c r="A1716" s="11">
        <v>167.99999999999699</v>
      </c>
      <c r="B1716" s="15">
        <v>3.133</v>
      </c>
      <c r="C1716" s="11">
        <f t="shared" si="106"/>
        <v>21771.10961684732</v>
      </c>
      <c r="D1716" s="11">
        <f t="shared" si="107"/>
        <v>-79205.376689630604</v>
      </c>
      <c r="E1716" s="11">
        <f t="shared" si="108"/>
        <v>-127294.35539405151</v>
      </c>
      <c r="F1716" s="11">
        <f>Speed_Calc!B$5*E1716</f>
        <v>-114564.91985464636</v>
      </c>
      <c r="G1716" s="15">
        <f>Speed_Calc!G$3+Speed_Calc!G$5*A1716^2</f>
        <v>133.17823999999592</v>
      </c>
      <c r="H1716" s="7">
        <f>(F1716-G1716)/Speed_Calc!G$2*9.806</f>
        <v>-833.13299993785336</v>
      </c>
      <c r="I1716" s="4">
        <f t="shared" si="109"/>
        <v>46.666666666665826</v>
      </c>
    </row>
    <row r="1717" spans="1:9" x14ac:dyDescent="0.2">
      <c r="A1717" s="11">
        <v>168.09999999999599</v>
      </c>
      <c r="B1717" s="15">
        <v>3.133</v>
      </c>
      <c r="C1717" s="11">
        <f t="shared" si="106"/>
        <v>21784.068610666749</v>
      </c>
      <c r="D1717" s="11">
        <f t="shared" si="107"/>
        <v>-79503.331942069228</v>
      </c>
      <c r="E1717" s="11">
        <f t="shared" si="108"/>
        <v>-127697.20181058417</v>
      </c>
      <c r="F1717" s="11">
        <f>Speed_Calc!B$5*E1717</f>
        <v>-114927.48162952576</v>
      </c>
      <c r="G1717" s="15">
        <f>Speed_Calc!G$3+Speed_Calc!G$5*A1717^2</f>
        <v>133.31301609999457</v>
      </c>
      <c r="H1717" s="7">
        <f>(F1717-G1717)/Speed_Calc!G$2*9.806</f>
        <v>-835.76752021852303</v>
      </c>
      <c r="I1717" s="4">
        <f t="shared" si="109"/>
        <v>46.694444444443327</v>
      </c>
    </row>
    <row r="1718" spans="1:9" x14ac:dyDescent="0.2">
      <c r="A1718" s="11">
        <v>168.19999999999601</v>
      </c>
      <c r="B1718" s="15">
        <v>3.133</v>
      </c>
      <c r="C1718" s="11">
        <f t="shared" si="106"/>
        <v>21797.027604486299</v>
      </c>
      <c r="D1718" s="11">
        <f t="shared" si="107"/>
        <v>-79802.171034744315</v>
      </c>
      <c r="E1718" s="11">
        <f t="shared" si="108"/>
        <v>-128100.98798681023</v>
      </c>
      <c r="F1718" s="11">
        <f>Speed_Calc!B$5*E1718</f>
        <v>-115290.88918812921</v>
      </c>
      <c r="G1718" s="15">
        <f>Speed_Calc!G$3+Speed_Calc!G$5*A1718^2</f>
        <v>133.44787239999459</v>
      </c>
      <c r="H1718" s="7">
        <f>(F1718-G1718)/Speed_Calc!G$2*9.806</f>
        <v>-838.4081846041106</v>
      </c>
      <c r="I1718" s="4">
        <f t="shared" si="109"/>
        <v>46.722222222221113</v>
      </c>
    </row>
    <row r="1719" spans="1:9" x14ac:dyDescent="0.2">
      <c r="A1719" s="11">
        <v>168.299999999996</v>
      </c>
      <c r="B1719" s="15">
        <v>3.133</v>
      </c>
      <c r="C1719" s="11">
        <f t="shared" si="106"/>
        <v>21809.986598305852</v>
      </c>
      <c r="D1719" s="11">
        <f t="shared" si="107"/>
        <v>-80101.895915287285</v>
      </c>
      <c r="E1719" s="11">
        <f t="shared" si="108"/>
        <v>-128505.71537212172</v>
      </c>
      <c r="F1719" s="11">
        <f>Speed_Calc!B$5*E1719</f>
        <v>-115655.14383490956</v>
      </c>
      <c r="G1719" s="15">
        <f>Speed_Calc!G$3+Speed_Calc!G$5*A1719^2</f>
        <v>133.58280889999457</v>
      </c>
      <c r="H1719" s="7">
        <f>(F1719-G1719)/Speed_Calc!G$2*9.806</f>
        <v>-841.05500256977518</v>
      </c>
      <c r="I1719" s="4">
        <f t="shared" si="109"/>
        <v>46.749999999998892</v>
      </c>
    </row>
    <row r="1720" spans="1:9" x14ac:dyDescent="0.2">
      <c r="A1720" s="11">
        <v>168.39999999999699</v>
      </c>
      <c r="B1720" s="15">
        <v>3.133</v>
      </c>
      <c r="C1720" s="11">
        <f t="shared" si="106"/>
        <v>21822.945592125532</v>
      </c>
      <c r="D1720" s="11">
        <f t="shared" si="107"/>
        <v>-80402.508534174733</v>
      </c>
      <c r="E1720" s="11">
        <f t="shared" si="108"/>
        <v>-128911.38541702832</v>
      </c>
      <c r="F1720" s="11">
        <f>Speed_Calc!B$5*E1720</f>
        <v>-116020.24687532548</v>
      </c>
      <c r="G1720" s="15">
        <f>Speed_Calc!G$3+Speed_Calc!G$5*A1720^2</f>
        <v>133.71782559999593</v>
      </c>
      <c r="H1720" s="7">
        <f>(F1720-G1720)/Speed_Calc!G$2*9.806</f>
        <v>-843.70798359798152</v>
      </c>
      <c r="I1720" s="4">
        <f t="shared" si="109"/>
        <v>46.77777777777694</v>
      </c>
    </row>
    <row r="1721" spans="1:9" x14ac:dyDescent="0.2">
      <c r="A1721" s="11">
        <v>168.49999999999699</v>
      </c>
      <c r="B1721" s="15">
        <v>3.133</v>
      </c>
      <c r="C1721" s="11">
        <f t="shared" si="106"/>
        <v>21835.904585945085</v>
      </c>
      <c r="D1721" s="11">
        <f t="shared" si="107"/>
        <v>-80704.01084471606</v>
      </c>
      <c r="E1721" s="11">
        <f t="shared" si="108"/>
        <v>-129317.99957313784</v>
      </c>
      <c r="F1721" s="11">
        <f>Speed_Calc!B$5*E1721</f>
        <v>-116386.19961582407</v>
      </c>
      <c r="G1721" s="15">
        <f>Speed_Calc!G$3+Speed_Calc!G$5*A1721^2</f>
        <v>133.85292249999594</v>
      </c>
      <c r="H1721" s="7">
        <f>(F1721-G1721)/Speed_Calc!G$2*9.806</f>
        <v>-846.36713717837461</v>
      </c>
      <c r="I1721" s="4">
        <f t="shared" si="109"/>
        <v>46.805555555554719</v>
      </c>
    </row>
    <row r="1722" spans="1:9" x14ac:dyDescent="0.2">
      <c r="A1722" s="11">
        <v>168.59999999999599</v>
      </c>
      <c r="B1722" s="15">
        <v>3.133</v>
      </c>
      <c r="C1722" s="11">
        <f t="shared" si="106"/>
        <v>21848.863579764507</v>
      </c>
      <c r="D1722" s="11">
        <f t="shared" si="107"/>
        <v>-81006.404803070152</v>
      </c>
      <c r="E1722" s="11">
        <f t="shared" si="108"/>
        <v>-129725.55929317595</v>
      </c>
      <c r="F1722" s="11">
        <f>Speed_Calc!B$5*E1722</f>
        <v>-116753.00336385836</v>
      </c>
      <c r="G1722" s="15">
        <f>Speed_Calc!G$3+Speed_Calc!G$5*A1722^2</f>
        <v>133.98809959999454</v>
      </c>
      <c r="H1722" s="7">
        <f>(F1722-G1722)/Speed_Calc!G$2*9.806</f>
        <v>-849.03247280790549</v>
      </c>
      <c r="I1722" s="4">
        <f t="shared" si="109"/>
        <v>46.83333333333222</v>
      </c>
    </row>
    <row r="1723" spans="1:9" x14ac:dyDescent="0.2">
      <c r="A1723" s="11">
        <v>168.69999999999601</v>
      </c>
      <c r="B1723" s="15">
        <v>3.133</v>
      </c>
      <c r="C1723" s="11">
        <f t="shared" si="106"/>
        <v>21861.822573584064</v>
      </c>
      <c r="D1723" s="11">
        <f t="shared" si="107"/>
        <v>-81309.692368247997</v>
      </c>
      <c r="E1723" s="11">
        <f t="shared" si="108"/>
        <v>-130134.06603098683</v>
      </c>
      <c r="F1723" s="11">
        <f>Speed_Calc!B$5*E1723</f>
        <v>-117120.65942788814</v>
      </c>
      <c r="G1723" s="15">
        <f>Speed_Calc!G$3+Speed_Calc!G$5*A1723^2</f>
        <v>134.12335689999458</v>
      </c>
      <c r="H1723" s="7">
        <f>(F1723-G1723)/Speed_Calc!G$2*9.806</f>
        <v>-851.70399999083872</v>
      </c>
      <c r="I1723" s="4">
        <f t="shared" si="109"/>
        <v>46.861111111109999</v>
      </c>
    </row>
    <row r="1724" spans="1:9" x14ac:dyDescent="0.2">
      <c r="A1724" s="11">
        <v>168.799999999996</v>
      </c>
      <c r="B1724" s="15">
        <v>3.133</v>
      </c>
      <c r="C1724" s="11">
        <f t="shared" si="106"/>
        <v>21874.781567403617</v>
      </c>
      <c r="D1724" s="11">
        <f t="shared" si="107"/>
        <v>-81613.875502098759</v>
      </c>
      <c r="E1724" s="11">
        <f t="shared" si="108"/>
        <v>-130543.52124151176</v>
      </c>
      <c r="F1724" s="11">
        <f>Speed_Calc!B$5*E1724</f>
        <v>-117489.16911736058</v>
      </c>
      <c r="G1724" s="15">
        <f>Speed_Calc!G$3+Speed_Calc!G$5*A1724^2</f>
        <v>134.25869439999457</v>
      </c>
      <c r="H1724" s="7">
        <f>(F1724-G1724)/Speed_Calc!G$2*9.806</f>
        <v>-854.38172823861044</v>
      </c>
      <c r="I1724" s="4">
        <f t="shared" si="109"/>
        <v>46.888888888887777</v>
      </c>
    </row>
    <row r="1725" spans="1:9" x14ac:dyDescent="0.2">
      <c r="A1725" s="11">
        <v>168.89999999999699</v>
      </c>
      <c r="B1725" s="15">
        <v>3.133</v>
      </c>
      <c r="C1725" s="11">
        <f t="shared" si="106"/>
        <v>21887.740561223294</v>
      </c>
      <c r="D1725" s="11">
        <f t="shared" si="107"/>
        <v>-81918.956169327925</v>
      </c>
      <c r="E1725" s="11">
        <f t="shared" si="108"/>
        <v>-130953.92638081072</v>
      </c>
      <c r="F1725" s="11">
        <f>Speed_Calc!B$5*E1725</f>
        <v>-117858.53374272965</v>
      </c>
      <c r="G1725" s="15">
        <f>Speed_Calc!G$3+Speed_Calc!G$5*A1725^2</f>
        <v>134.39411209999594</v>
      </c>
      <c r="H1725" s="7">
        <f>(F1725-G1725)/Speed_Calc!G$2*9.806</f>
        <v>-857.06566706996989</v>
      </c>
      <c r="I1725" s="4">
        <f t="shared" si="109"/>
        <v>46.916666666665833</v>
      </c>
    </row>
    <row r="1726" spans="1:9" x14ac:dyDescent="0.2">
      <c r="A1726" s="11">
        <v>168.99999999999599</v>
      </c>
      <c r="B1726" s="15">
        <v>3.133</v>
      </c>
      <c r="C1726" s="11">
        <f t="shared" si="106"/>
        <v>21900.69955504272</v>
      </c>
      <c r="D1726" s="11">
        <f t="shared" si="107"/>
        <v>-82224.936337480947</v>
      </c>
      <c r="E1726" s="11">
        <f t="shared" si="108"/>
        <v>-131365.28290603776</v>
      </c>
      <c r="F1726" s="11">
        <f>Speed_Calc!B$5*E1726</f>
        <v>-118228.75461543398</v>
      </c>
      <c r="G1726" s="15">
        <f>Speed_Calc!G$3+Speed_Calc!G$5*A1726^2</f>
        <v>134.52960999999456</v>
      </c>
      <c r="H1726" s="7">
        <f>(F1726-G1726)/Speed_Calc!G$2*9.806</f>
        <v>-859.75582601081885</v>
      </c>
      <c r="I1726" s="4">
        <f t="shared" si="109"/>
        <v>46.944444444443327</v>
      </c>
    </row>
    <row r="1727" spans="1:9" x14ac:dyDescent="0.2">
      <c r="A1727" s="11">
        <v>169.09999999999599</v>
      </c>
      <c r="B1727" s="15">
        <v>3.133</v>
      </c>
      <c r="C1727" s="11">
        <f t="shared" si="106"/>
        <v>21913.65854886227</v>
      </c>
      <c r="D1727" s="11">
        <f t="shared" si="107"/>
        <v>-82531.817976974809</v>
      </c>
      <c r="E1727" s="11">
        <f t="shared" si="108"/>
        <v>-131777.59227548033</v>
      </c>
      <c r="F1727" s="11">
        <f>Speed_Calc!B$5*E1727</f>
        <v>-118599.8330479323</v>
      </c>
      <c r="G1727" s="15">
        <f>Speed_Calc!G$3+Speed_Calc!G$5*A1727^2</f>
        <v>134.66518809999457</v>
      </c>
      <c r="H1727" s="7">
        <f>(F1727-G1727)/Speed_Calc!G$2*9.806</f>
        <v>-862.45221459446873</v>
      </c>
      <c r="I1727" s="4">
        <f t="shared" si="109"/>
        <v>46.972222222221106</v>
      </c>
    </row>
    <row r="1728" spans="1:9" x14ac:dyDescent="0.2">
      <c r="A1728" s="11">
        <v>169.19999999999601</v>
      </c>
      <c r="B1728" s="15">
        <v>3.133</v>
      </c>
      <c r="C1728" s="11">
        <f t="shared" si="106"/>
        <v>21926.617542681823</v>
      </c>
      <c r="D1728" s="11">
        <f t="shared" si="107"/>
        <v>-82839.603061070986</v>
      </c>
      <c r="E1728" s="11">
        <f t="shared" si="108"/>
        <v>-132190.85594852068</v>
      </c>
      <c r="F1728" s="11">
        <f>Speed_Calc!B$5*E1728</f>
        <v>-118971.77035366862</v>
      </c>
      <c r="G1728" s="15">
        <f>Speed_Calc!G$3+Speed_Calc!G$5*A1728^2</f>
        <v>134.80084639999458</v>
      </c>
      <c r="H1728" s="7">
        <f>(F1728-G1728)/Speed_Calc!G$2*9.806</f>
        <v>-865.1548423613873</v>
      </c>
      <c r="I1728" s="4">
        <f t="shared" si="109"/>
        <v>46.999999999998892</v>
      </c>
    </row>
    <row r="1729" spans="1:9" x14ac:dyDescent="0.2">
      <c r="A1729" s="11">
        <v>169.299999999996</v>
      </c>
      <c r="B1729" s="15">
        <v>3.133</v>
      </c>
      <c r="C1729" s="11">
        <f t="shared" si="106"/>
        <v>21939.576536501376</v>
      </c>
      <c r="D1729" s="11">
        <f t="shared" si="107"/>
        <v>-83148.293565891669</v>
      </c>
      <c r="E1729" s="11">
        <f t="shared" si="108"/>
        <v>-132605.07538565437</v>
      </c>
      <c r="F1729" s="11">
        <f>Speed_Calc!B$5*E1729</f>
        <v>-119344.56784708894</v>
      </c>
      <c r="G1729" s="15">
        <f>Speed_Calc!G$3+Speed_Calc!G$5*A1729^2</f>
        <v>134.93658489999456</v>
      </c>
      <c r="H1729" s="7">
        <f>(F1729-G1729)/Speed_Calc!G$2*9.806</f>
        <v>-867.86371885932101</v>
      </c>
      <c r="I1729" s="4">
        <f t="shared" si="109"/>
        <v>47.02777777777667</v>
      </c>
    </row>
    <row r="1730" spans="1:9" x14ac:dyDescent="0.2">
      <c r="A1730" s="11">
        <v>169.399999999996</v>
      </c>
      <c r="B1730" s="15">
        <v>3.133</v>
      </c>
      <c r="C1730" s="11">
        <f t="shared" si="106"/>
        <v>21952.535530320925</v>
      </c>
      <c r="D1730" s="11">
        <f t="shared" si="107"/>
        <v>-83457.891470419228</v>
      </c>
      <c r="E1730" s="11">
        <f t="shared" si="108"/>
        <v>-133020.25204848716</v>
      </c>
      <c r="F1730" s="11">
        <f>Speed_Calc!B$5*E1730</f>
        <v>-119718.22684363845</v>
      </c>
      <c r="G1730" s="15">
        <f>Speed_Calc!G$3+Speed_Calc!G$5*A1730^2</f>
        <v>135.07240359999457</v>
      </c>
      <c r="H1730" s="7">
        <f>(F1730-G1730)/Speed_Calc!G$2*9.806</f>
        <v>-870.5788536432741</v>
      </c>
      <c r="I1730" s="4">
        <f t="shared" si="109"/>
        <v>47.055555555554442</v>
      </c>
    </row>
    <row r="1731" spans="1:9" x14ac:dyDescent="0.2">
      <c r="A1731" s="11">
        <v>169.49999999999599</v>
      </c>
      <c r="B1731" s="15">
        <v>3.133</v>
      </c>
      <c r="C1731" s="11">
        <f t="shared" si="106"/>
        <v>21965.494524140478</v>
      </c>
      <c r="D1731" s="11">
        <f t="shared" si="107"/>
        <v>-83768.398756498558</v>
      </c>
      <c r="E1731" s="11">
        <f t="shared" si="108"/>
        <v>-133436.38739973539</v>
      </c>
      <c r="F1731" s="11">
        <f>Speed_Calc!B$5*E1731</f>
        <v>-120092.74865976186</v>
      </c>
      <c r="G1731" s="15">
        <f>Speed_Calc!G$3+Speed_Calc!G$5*A1731^2</f>
        <v>135.20830249999455</v>
      </c>
      <c r="H1731" s="7">
        <f>(F1731-G1731)/Speed_Calc!G$2*9.806</f>
        <v>-873.30025627551083</v>
      </c>
      <c r="I1731" s="4">
        <f t="shared" si="109"/>
        <v>47.08333333333222</v>
      </c>
    </row>
    <row r="1732" spans="1:9" x14ac:dyDescent="0.2">
      <c r="A1732" s="11">
        <v>169.59999999999599</v>
      </c>
      <c r="B1732" s="15">
        <v>3.133</v>
      </c>
      <c r="C1732" s="11">
        <f t="shared" si="106"/>
        <v>21978.453517960032</v>
      </c>
      <c r="D1732" s="11">
        <f t="shared" si="107"/>
        <v>-84079.817408838309</v>
      </c>
      <c r="E1732" s="11">
        <f t="shared" si="108"/>
        <v>-133853.48290322453</v>
      </c>
      <c r="F1732" s="11">
        <f>Speed_Calc!B$5*E1732</f>
        <v>-120468.13461290208</v>
      </c>
      <c r="G1732" s="15">
        <f>Speed_Calc!G$3+Speed_Calc!G$5*A1732^2</f>
        <v>135.34428159999453</v>
      </c>
      <c r="H1732" s="7">
        <f>(F1732-G1732)/Speed_Calc!G$2*9.806</f>
        <v>-876.02793632554608</v>
      </c>
      <c r="I1732" s="4">
        <f t="shared" si="109"/>
        <v>47.111111111109999</v>
      </c>
    </row>
    <row r="1733" spans="1:9" x14ac:dyDescent="0.2">
      <c r="A1733" s="11">
        <v>169.69999999999601</v>
      </c>
      <c r="B1733" s="15">
        <v>3.133</v>
      </c>
      <c r="C1733" s="11">
        <f t="shared" si="106"/>
        <v>21991.412511779585</v>
      </c>
      <c r="D1733" s="11">
        <f t="shared" si="107"/>
        <v>-84392.149415013671</v>
      </c>
      <c r="E1733" s="11">
        <f t="shared" si="108"/>
        <v>-134271.54002389056</v>
      </c>
      <c r="F1733" s="11">
        <f>Speed_Calc!B$5*E1733</f>
        <v>-120844.3860215015</v>
      </c>
      <c r="G1733" s="15">
        <f>Speed_Calc!G$3+Speed_Calc!G$5*A1733^2</f>
        <v>135.48034089999456</v>
      </c>
      <c r="H1733" s="7">
        <f>(F1733-G1733)/Speed_Calc!G$2*9.806</f>
        <v>-878.76190337015476</v>
      </c>
      <c r="I1733" s="4">
        <f t="shared" si="109"/>
        <v>47.138888888887777</v>
      </c>
    </row>
    <row r="1734" spans="1:9" x14ac:dyDescent="0.2">
      <c r="A1734" s="11">
        <v>169.799999999996</v>
      </c>
      <c r="B1734" s="15">
        <v>3.133</v>
      </c>
      <c r="C1734" s="11">
        <f t="shared" si="106"/>
        <v>22004.371505599138</v>
      </c>
      <c r="D1734" s="11">
        <f t="shared" si="107"/>
        <v>-84705.396765468147</v>
      </c>
      <c r="E1734" s="11">
        <f t="shared" si="108"/>
        <v>-134690.56022777935</v>
      </c>
      <c r="F1734" s="11">
        <f>Speed_Calc!B$5*E1734</f>
        <v>-121221.50420500142</v>
      </c>
      <c r="G1734" s="15">
        <f>Speed_Calc!G$3+Speed_Calc!G$5*A1734^2</f>
        <v>135.61648039999454</v>
      </c>
      <c r="H1734" s="7">
        <f>(F1734-G1734)/Speed_Calc!G$2*9.806</f>
        <v>-881.50216699336761</v>
      </c>
      <c r="I1734" s="4">
        <f t="shared" si="109"/>
        <v>47.166666666665556</v>
      </c>
    </row>
    <row r="1735" spans="1:9" x14ac:dyDescent="0.2">
      <c r="A1735" s="11">
        <v>169.899999999996</v>
      </c>
      <c r="B1735" s="15">
        <v>3.133</v>
      </c>
      <c r="C1735" s="11">
        <f t="shared" si="106"/>
        <v>22017.330499418691</v>
      </c>
      <c r="D1735" s="11">
        <f t="shared" si="107"/>
        <v>-85019.561453515591</v>
      </c>
      <c r="E1735" s="11">
        <f t="shared" si="108"/>
        <v>-135110.54498204676</v>
      </c>
      <c r="F1735" s="11">
        <f>Speed_Calc!B$5*E1735</f>
        <v>-121599.49048384209</v>
      </c>
      <c r="G1735" s="15">
        <f>Speed_Calc!G$3+Speed_Calc!G$5*A1735^2</f>
        <v>135.75270009999454</v>
      </c>
      <c r="H1735" s="7">
        <f>(F1735-G1735)/Speed_Calc!G$2*9.806</f>
        <v>-884.24873678647111</v>
      </c>
      <c r="I1735" s="4">
        <f t="shared" si="109"/>
        <v>47.194444444443334</v>
      </c>
    </row>
    <row r="1736" spans="1:9" x14ac:dyDescent="0.2">
      <c r="A1736" s="11">
        <v>169.99999999999599</v>
      </c>
      <c r="B1736" s="15">
        <v>3.133</v>
      </c>
      <c r="C1736" s="11">
        <f t="shared" si="106"/>
        <v>22030.289493238241</v>
      </c>
      <c r="D1736" s="11">
        <f t="shared" si="107"/>
        <v>-85334.64547534239</v>
      </c>
      <c r="E1736" s="11">
        <f t="shared" si="108"/>
        <v>-135531.49575495874</v>
      </c>
      <c r="F1736" s="11">
        <f>Speed_Calc!B$5*E1736</f>
        <v>-121978.34617946287</v>
      </c>
      <c r="G1736" s="15">
        <f>Speed_Calc!G$3+Speed_Calc!G$5*A1736^2</f>
        <v>135.88899999999452</v>
      </c>
      <c r="H1736" s="7">
        <f>(F1736-G1736)/Speed_Calc!G$2*9.806</f>
        <v>-887.00162234800951</v>
      </c>
      <c r="I1736" s="4">
        <f t="shared" si="109"/>
        <v>47.222222222221106</v>
      </c>
    </row>
    <row r="1737" spans="1:9" x14ac:dyDescent="0.2">
      <c r="A1737" s="11">
        <v>170.09999999999599</v>
      </c>
      <c r="B1737" s="15">
        <v>3.133</v>
      </c>
      <c r="C1737" s="11">
        <f t="shared" si="106"/>
        <v>22043.24848705779</v>
      </c>
      <c r="D1737" s="11">
        <f t="shared" si="107"/>
        <v>-85650.650830009414</v>
      </c>
      <c r="E1737" s="11">
        <f t="shared" si="108"/>
        <v>-135953.41401589118</v>
      </c>
      <c r="F1737" s="11">
        <f>Speed_Calc!B$5*E1737</f>
        <v>-122358.07261430206</v>
      </c>
      <c r="G1737" s="15">
        <f>Speed_Calc!G$3+Speed_Calc!G$5*A1737^2</f>
        <v>136.02538009999449</v>
      </c>
      <c r="H1737" s="7">
        <f>(F1737-G1737)/Speed_Calc!G$2*9.806</f>
        <v>-889.76083328378252</v>
      </c>
      <c r="I1737" s="4">
        <f t="shared" si="109"/>
        <v>47.249999999998884</v>
      </c>
    </row>
    <row r="1738" spans="1:9" x14ac:dyDescent="0.2">
      <c r="A1738" s="11">
        <v>170.19999999999601</v>
      </c>
      <c r="B1738" s="15">
        <v>3.133</v>
      </c>
      <c r="C1738" s="11">
        <f t="shared" si="106"/>
        <v>22056.207480877347</v>
      </c>
      <c r="D1738" s="11">
        <f t="shared" si="107"/>
        <v>-85967.579519454302</v>
      </c>
      <c r="E1738" s="11">
        <f t="shared" si="108"/>
        <v>-136376.30123533023</v>
      </c>
      <c r="F1738" s="11">
        <f>Speed_Calc!B$5*E1738</f>
        <v>-122738.67111179722</v>
      </c>
      <c r="G1738" s="15">
        <f>Speed_Calc!G$3+Speed_Calc!G$5*A1738^2</f>
        <v>136.16184039999453</v>
      </c>
      <c r="H1738" s="7">
        <f>(F1738-G1738)/Speed_Calc!G$2*9.806</f>
        <v>-892.52637920684867</v>
      </c>
      <c r="I1738" s="4">
        <f t="shared" si="109"/>
        <v>47.27777777777667</v>
      </c>
    </row>
    <row r="1739" spans="1:9" x14ac:dyDescent="0.2">
      <c r="A1739" s="11">
        <v>170.299999999996</v>
      </c>
      <c r="B1739" s="15">
        <v>3.133</v>
      </c>
      <c r="C1739" s="11">
        <f t="shared" si="106"/>
        <v>22069.166474696896</v>
      </c>
      <c r="D1739" s="11">
        <f t="shared" si="107"/>
        <v>-86285.433548492787</v>
      </c>
      <c r="E1739" s="11">
        <f t="shared" si="108"/>
        <v>-136800.1588848714</v>
      </c>
      <c r="F1739" s="11">
        <f>Speed_Calc!B$5*E1739</f>
        <v>-123120.14299638427</v>
      </c>
      <c r="G1739" s="15">
        <f>Speed_Calc!G$3+Speed_Calc!G$5*A1739^2</f>
        <v>136.29838089999453</v>
      </c>
      <c r="H1739" s="7">
        <f>(F1739-G1739)/Speed_Calc!G$2*9.806</f>
        <v>-895.29826973751801</v>
      </c>
      <c r="I1739" s="4">
        <f t="shared" si="109"/>
        <v>47.305555555554442</v>
      </c>
    </row>
    <row r="1740" spans="1:9" x14ac:dyDescent="0.2">
      <c r="A1740" s="11">
        <v>170.399999999996</v>
      </c>
      <c r="B1740" s="15">
        <v>3.133</v>
      </c>
      <c r="C1740" s="11">
        <f t="shared" si="106"/>
        <v>22082.125468516446</v>
      </c>
      <c r="D1740" s="11">
        <f t="shared" si="107"/>
        <v>-86604.214924821805</v>
      </c>
      <c r="E1740" s="11">
        <f t="shared" si="108"/>
        <v>-137224.98843722086</v>
      </c>
      <c r="F1740" s="11">
        <f>Speed_Calc!B$5*E1740</f>
        <v>-123502.48959349877</v>
      </c>
      <c r="G1740" s="15">
        <f>Speed_Calc!G$3+Speed_Calc!G$5*A1740^2</f>
        <v>136.43500159999451</v>
      </c>
      <c r="H1740" s="7">
        <f>(F1740-G1740)/Speed_Calc!G$2*9.806</f>
        <v>-898.07651450336186</v>
      </c>
      <c r="I1740" s="4">
        <f t="shared" si="109"/>
        <v>47.33333333333222</v>
      </c>
    </row>
    <row r="1741" spans="1:9" x14ac:dyDescent="0.2">
      <c r="A1741" s="11">
        <v>170.49999999999599</v>
      </c>
      <c r="B1741" s="15">
        <v>3.133</v>
      </c>
      <c r="C1741" s="11">
        <f t="shared" si="106"/>
        <v>22095.084462336003</v>
      </c>
      <c r="D1741" s="11">
        <f t="shared" si="107"/>
        <v>-86923.925659020955</v>
      </c>
      <c r="E1741" s="11">
        <f t="shared" si="108"/>
        <v>-137650.79136619475</v>
      </c>
      <c r="F1741" s="11">
        <f>Speed_Calc!B$5*E1741</f>
        <v>-123885.71222957528</v>
      </c>
      <c r="G1741" s="15">
        <f>Speed_Calc!G$3+Speed_Calc!G$5*A1741^2</f>
        <v>136.5717024999945</v>
      </c>
      <c r="H1741" s="7">
        <f>(F1741-G1741)/Speed_Calc!G$2*9.806</f>
        <v>-900.86112313920739</v>
      </c>
      <c r="I1741" s="4">
        <f t="shared" si="109"/>
        <v>47.361111111109999</v>
      </c>
    </row>
    <row r="1742" spans="1:9" x14ac:dyDescent="0.2">
      <c r="A1742" s="11">
        <v>170.59999999999599</v>
      </c>
      <c r="B1742" s="15">
        <v>3.133</v>
      </c>
      <c r="C1742" s="11">
        <f t="shared" si="106"/>
        <v>22108.043456155545</v>
      </c>
      <c r="D1742" s="11">
        <f t="shared" si="107"/>
        <v>-87244.567764554115</v>
      </c>
      <c r="E1742" s="11">
        <f t="shared" si="108"/>
        <v>-138077.56914671848</v>
      </c>
      <c r="F1742" s="11">
        <f>Speed_Calc!B$5*E1742</f>
        <v>-124269.81223204664</v>
      </c>
      <c r="G1742" s="15">
        <f>Speed_Calc!G$3+Speed_Calc!G$5*A1742^2</f>
        <v>136.70848359999451</v>
      </c>
      <c r="H1742" s="7">
        <f>(F1742-G1742)/Speed_Calc!G$2*9.806</f>
        <v>-903.65210528713396</v>
      </c>
      <c r="I1742" s="4">
        <f t="shared" si="109"/>
        <v>47.38888888888777</v>
      </c>
    </row>
    <row r="1743" spans="1:9" x14ac:dyDescent="0.2">
      <c r="A1743" s="11">
        <v>170.69999999999601</v>
      </c>
      <c r="B1743" s="15">
        <v>3.133</v>
      </c>
      <c r="C1743" s="11">
        <f t="shared" ref="C1743:C1806" si="110">A1743/3.6/B$23/2/PI()*B$32*B$31*B1743*60</f>
        <v>22121.002449975105</v>
      </c>
      <c r="D1743" s="11">
        <f t="shared" ref="D1743:D1806" si="111">-4.687*10^(-17)*C1743^5+9.129*10^(-13)*C1743^4-6.175*10^(-9)*C1743^3+1.799*10^(-5)*C1743^2+6.502*10^(-3)*C1743</f>
        <v>-87566.143257773103</v>
      </c>
      <c r="E1743" s="11">
        <f t="shared" ref="E1743:E1806" si="112">D1743*75*B1743*B$31*B$32/B$23/C1743/2/PI()*60</f>
        <v>-138505.32325482892</v>
      </c>
      <c r="F1743" s="11">
        <f>Speed_Calc!B$5*E1743</f>
        <v>-124654.79092934604</v>
      </c>
      <c r="G1743" s="15">
        <f>Speed_Calc!G$3+Speed_Calc!G$5*A1743^2</f>
        <v>136.84534489999453</v>
      </c>
      <c r="H1743" s="7">
        <f>(F1743-G1743)/Speed_Calc!G$2*9.806</f>
        <v>-906.44947059648632</v>
      </c>
      <c r="I1743" s="4">
        <f t="shared" ref="I1743:I1806" si="113">A1743/3.6</f>
        <v>47.416666666665556</v>
      </c>
    </row>
    <row r="1744" spans="1:9" x14ac:dyDescent="0.2">
      <c r="A1744" s="11">
        <v>170.799999999996</v>
      </c>
      <c r="B1744" s="15">
        <v>3.133</v>
      </c>
      <c r="C1744" s="11">
        <f t="shared" si="110"/>
        <v>22133.961443794658</v>
      </c>
      <c r="D1744" s="11">
        <f t="shared" si="111"/>
        <v>-87888.654157917335</v>
      </c>
      <c r="E1744" s="11">
        <f t="shared" si="112"/>
        <v>-138934.05516767118</v>
      </c>
      <c r="F1744" s="11">
        <f>Speed_Calc!B$5*E1744</f>
        <v>-125040.64965090406</v>
      </c>
      <c r="G1744" s="15">
        <f>Speed_Calc!G$3+Speed_Calc!G$5*A1744^2</f>
        <v>136.98228639999451</v>
      </c>
      <c r="H1744" s="7">
        <f>(F1744-G1744)/Speed_Calc!G$2*9.806</f>
        <v>-909.25322872385448</v>
      </c>
      <c r="I1744" s="4">
        <f t="shared" si="113"/>
        <v>47.444444444443334</v>
      </c>
    </row>
    <row r="1745" spans="1:9" x14ac:dyDescent="0.2">
      <c r="A1745" s="11">
        <v>170.899999999996</v>
      </c>
      <c r="B1745" s="15">
        <v>3.133</v>
      </c>
      <c r="C1745" s="11">
        <f t="shared" si="110"/>
        <v>22146.920437614212</v>
      </c>
      <c r="D1745" s="11">
        <f t="shared" si="111"/>
        <v>-88212.102487117998</v>
      </c>
      <c r="E1745" s="11">
        <f t="shared" si="112"/>
        <v>-139363.76636350152</v>
      </c>
      <c r="F1745" s="11">
        <f>Speed_Calc!B$5*E1745</f>
        <v>-125427.38972715137</v>
      </c>
      <c r="G1745" s="15">
        <f>Speed_Calc!G$3+Speed_Calc!G$5*A1745^2</f>
        <v>137.1193080999945</v>
      </c>
      <c r="H1745" s="7">
        <f>(F1745-G1745)/Speed_Calc!G$2*9.806</f>
        <v>-912.06338933309235</v>
      </c>
      <c r="I1745" s="4">
        <f t="shared" si="113"/>
        <v>47.472222222221113</v>
      </c>
    </row>
    <row r="1746" spans="1:9" x14ac:dyDescent="0.2">
      <c r="A1746" s="11">
        <v>170.99999999999599</v>
      </c>
      <c r="B1746" s="15">
        <v>3.133</v>
      </c>
      <c r="C1746" s="11">
        <f t="shared" si="110"/>
        <v>22159.879431433761</v>
      </c>
      <c r="D1746" s="11">
        <f t="shared" si="111"/>
        <v>-88536.490270399081</v>
      </c>
      <c r="E1746" s="11">
        <f t="shared" si="112"/>
        <v>-139794.45832168605</v>
      </c>
      <c r="F1746" s="11">
        <f>Speed_Calc!B$5*E1746</f>
        <v>-125815.01248951745</v>
      </c>
      <c r="G1746" s="15">
        <f>Speed_Calc!G$3+Speed_Calc!G$5*A1746^2</f>
        <v>137.2564099999945</v>
      </c>
      <c r="H1746" s="7">
        <f>(F1746-G1746)/Speed_Calc!G$2*9.806</f>
        <v>-914.87996209530968</v>
      </c>
      <c r="I1746" s="4">
        <f t="shared" si="113"/>
        <v>47.499999999998884</v>
      </c>
    </row>
    <row r="1747" spans="1:9" x14ac:dyDescent="0.2">
      <c r="A1747" s="11">
        <v>171.09999999999599</v>
      </c>
      <c r="B1747" s="15">
        <v>3.133</v>
      </c>
      <c r="C1747" s="11">
        <f t="shared" si="110"/>
        <v>22172.838425253318</v>
      </c>
      <c r="D1747" s="11">
        <f t="shared" si="111"/>
        <v>-88861.81953567981</v>
      </c>
      <c r="E1747" s="11">
        <f t="shared" si="112"/>
        <v>-140226.13252270079</v>
      </c>
      <c r="F1747" s="11">
        <f>Speed_Calc!B$5*E1747</f>
        <v>-126203.51927043071</v>
      </c>
      <c r="G1747" s="15">
        <f>Speed_Calc!G$3+Speed_Calc!G$5*A1747^2</f>
        <v>137.39359209999449</v>
      </c>
      <c r="H1747" s="7">
        <f>(F1747-G1747)/Speed_Calc!G$2*9.806</f>
        <v>-917.70295668887104</v>
      </c>
      <c r="I1747" s="4">
        <f t="shared" si="113"/>
        <v>47.527777777776663</v>
      </c>
    </row>
    <row r="1748" spans="1:9" x14ac:dyDescent="0.2">
      <c r="A1748" s="11">
        <v>171.19999999999601</v>
      </c>
      <c r="B1748" s="15">
        <v>3.133</v>
      </c>
      <c r="C1748" s="11">
        <f t="shared" si="110"/>
        <v>22185.797419072871</v>
      </c>
      <c r="D1748" s="11">
        <f t="shared" si="111"/>
        <v>-89188.092313776142</v>
      </c>
      <c r="E1748" s="11">
        <f t="shared" si="112"/>
        <v>-140658.79044813153</v>
      </c>
      <c r="F1748" s="11">
        <f>Speed_Calc!B$5*E1748</f>
        <v>-126592.91140331839</v>
      </c>
      <c r="G1748" s="15">
        <f>Speed_Calc!G$3+Speed_Calc!G$5*A1748^2</f>
        <v>137.5308543999945</v>
      </c>
      <c r="H1748" s="7">
        <f>(F1748-G1748)/Speed_Calc!G$2*9.806</f>
        <v>-920.5323827993974</v>
      </c>
      <c r="I1748" s="4">
        <f t="shared" si="113"/>
        <v>47.555555555554449</v>
      </c>
    </row>
    <row r="1749" spans="1:9" x14ac:dyDescent="0.2">
      <c r="A1749" s="11">
        <v>171.299999999996</v>
      </c>
      <c r="B1749" s="15">
        <v>3.133</v>
      </c>
      <c r="C1749" s="11">
        <f t="shared" si="110"/>
        <v>22198.75641289242</v>
      </c>
      <c r="D1749" s="11">
        <f t="shared" si="111"/>
        <v>-89515.310638403535</v>
      </c>
      <c r="E1749" s="11">
        <f t="shared" si="112"/>
        <v>-141092.43358067435</v>
      </c>
      <c r="F1749" s="11">
        <f>Speed_Calc!B$5*E1749</f>
        <v>-126983.19022260692</v>
      </c>
      <c r="G1749" s="15">
        <f>Speed_Calc!G$3+Speed_Calc!G$5*A1749^2</f>
        <v>137.66819689999448</v>
      </c>
      <c r="H1749" s="7">
        <f>(F1749-G1749)/Speed_Calc!G$2*9.806</f>
        <v>-923.36825011976634</v>
      </c>
      <c r="I1749" s="4">
        <f t="shared" si="113"/>
        <v>47.58333333333222</v>
      </c>
    </row>
    <row r="1750" spans="1:9" x14ac:dyDescent="0.2">
      <c r="A1750" s="11">
        <v>171.399999999996</v>
      </c>
      <c r="B1750" s="15">
        <v>3.133</v>
      </c>
      <c r="C1750" s="11">
        <f t="shared" si="110"/>
        <v>22211.715406711974</v>
      </c>
      <c r="D1750" s="11">
        <f t="shared" si="111"/>
        <v>-89843.476546178645</v>
      </c>
      <c r="E1750" s="11">
        <f t="shared" si="112"/>
        <v>-141527.06340413535</v>
      </c>
      <c r="F1750" s="11">
        <f>Speed_Calc!B$5*E1750</f>
        <v>-127374.35706372182</v>
      </c>
      <c r="G1750" s="15">
        <f>Speed_Calc!G$3+Speed_Calc!G$5*A1750^2</f>
        <v>137.80561959999449</v>
      </c>
      <c r="H1750" s="7">
        <f>(F1750-G1750)/Speed_Calc!G$2*9.806</f>
        <v>-926.21056835011382</v>
      </c>
      <c r="I1750" s="4">
        <f t="shared" si="113"/>
        <v>47.611111111109999</v>
      </c>
    </row>
    <row r="1751" spans="1:9" x14ac:dyDescent="0.2">
      <c r="A1751" s="11">
        <v>171.49999999999599</v>
      </c>
      <c r="B1751" s="15">
        <v>3.133</v>
      </c>
      <c r="C1751" s="11">
        <f t="shared" si="110"/>
        <v>22224.674400531527</v>
      </c>
      <c r="D1751" s="11">
        <f t="shared" si="111"/>
        <v>-90172.592076621469</v>
      </c>
      <c r="E1751" s="11">
        <f t="shared" si="112"/>
        <v>-141962.6814034307</v>
      </c>
      <c r="F1751" s="11">
        <f>Speed_Calc!B$5*E1751</f>
        <v>-127766.41326308764</v>
      </c>
      <c r="G1751" s="15">
        <f>Speed_Calc!G$3+Speed_Calc!G$5*A1751^2</f>
        <v>137.94312249999447</v>
      </c>
      <c r="H1751" s="7">
        <f>(F1751-G1751)/Speed_Calc!G$2*9.806</f>
        <v>-929.05934719783136</v>
      </c>
      <c r="I1751" s="4">
        <f t="shared" si="113"/>
        <v>47.638888888887777</v>
      </c>
    </row>
    <row r="1752" spans="1:9" x14ac:dyDescent="0.2">
      <c r="A1752" s="11">
        <v>171.59999999999599</v>
      </c>
      <c r="B1752" s="15">
        <v>3.133</v>
      </c>
      <c r="C1752" s="11">
        <f t="shared" si="110"/>
        <v>22237.633394351073</v>
      </c>
      <c r="D1752" s="11">
        <f t="shared" si="111"/>
        <v>-90502.659272156961</v>
      </c>
      <c r="E1752" s="11">
        <f t="shared" si="112"/>
        <v>-142399.28906458596</v>
      </c>
      <c r="F1752" s="11">
        <f>Speed_Calc!B$5*E1752</f>
        <v>-128159.36015812737</v>
      </c>
      <c r="G1752" s="15">
        <f>Speed_Calc!G$3+Speed_Calc!G$5*A1752^2</f>
        <v>138.08070559999447</v>
      </c>
      <c r="H1752" s="7">
        <f>(F1752-G1752)/Speed_Calc!G$2*9.806</f>
        <v>-931.91459637756327</v>
      </c>
      <c r="I1752" s="4">
        <f t="shared" si="113"/>
        <v>47.666666666665549</v>
      </c>
    </row>
    <row r="1753" spans="1:9" x14ac:dyDescent="0.2">
      <c r="A1753" s="11">
        <v>171.69999999999601</v>
      </c>
      <c r="B1753" s="15">
        <v>3.133</v>
      </c>
      <c r="C1753" s="11">
        <f t="shared" si="110"/>
        <v>22250.592388170626</v>
      </c>
      <c r="D1753" s="11">
        <f t="shared" si="111"/>
        <v>-90833.680178118142</v>
      </c>
      <c r="E1753" s="11">
        <f t="shared" si="112"/>
        <v>-142836.88787473773</v>
      </c>
      <c r="F1753" s="11">
        <f>Speed_Calc!B$5*E1753</f>
        <v>-128553.19908726396</v>
      </c>
      <c r="G1753" s="15">
        <f>Speed_Calc!G$3+Speed_Calc!G$5*A1753^2</f>
        <v>138.21836889999449</v>
      </c>
      <c r="H1753" s="7">
        <f>(F1753-G1753)/Speed_Calc!G$2*9.806</f>
        <v>-934.77632561121743</v>
      </c>
      <c r="I1753" s="4">
        <f t="shared" si="113"/>
        <v>47.694444444443334</v>
      </c>
    </row>
    <row r="1754" spans="1:9" x14ac:dyDescent="0.2">
      <c r="A1754" s="11">
        <v>171.799999999996</v>
      </c>
      <c r="B1754" s="15">
        <v>3.133</v>
      </c>
      <c r="C1754" s="11">
        <f t="shared" si="110"/>
        <v>22263.551381990179</v>
      </c>
      <c r="D1754" s="11">
        <f t="shared" si="111"/>
        <v>-91165.656842746976</v>
      </c>
      <c r="E1754" s="11">
        <f t="shared" si="112"/>
        <v>-143275.4793221319</v>
      </c>
      <c r="F1754" s="11">
        <f>Speed_Calc!B$5*E1754</f>
        <v>-128947.93138991871</v>
      </c>
      <c r="G1754" s="15">
        <f>Speed_Calc!G$3+Speed_Calc!G$5*A1754^2</f>
        <v>138.35611239999449</v>
      </c>
      <c r="H1754" s="7">
        <f>(F1754-G1754)/Speed_Calc!G$2*9.806</f>
        <v>-937.64454462795345</v>
      </c>
      <c r="I1754" s="4">
        <f t="shared" si="113"/>
        <v>47.722222222221113</v>
      </c>
    </row>
    <row r="1755" spans="1:9" x14ac:dyDescent="0.2">
      <c r="A1755" s="11">
        <v>171.899999999996</v>
      </c>
      <c r="B1755" s="15">
        <v>3.133</v>
      </c>
      <c r="C1755" s="11">
        <f t="shared" si="110"/>
        <v>22276.510375809728</v>
      </c>
      <c r="D1755" s="11">
        <f t="shared" si="111"/>
        <v>-91498.591317197031</v>
      </c>
      <c r="E1755" s="11">
        <f t="shared" si="112"/>
        <v>-143715.06489612442</v>
      </c>
      <c r="F1755" s="11">
        <f>Speed_Calc!B$5*E1755</f>
        <v>-129343.55840651198</v>
      </c>
      <c r="G1755" s="15">
        <f>Speed_Calc!G$3+Speed_Calc!G$5*A1755^2</f>
        <v>138.49393609999447</v>
      </c>
      <c r="H1755" s="7">
        <f>(F1755-G1755)/Speed_Calc!G$2*9.806</f>
        <v>-940.51926316418735</v>
      </c>
      <c r="I1755" s="4">
        <f t="shared" si="113"/>
        <v>47.749999999998884</v>
      </c>
    </row>
    <row r="1756" spans="1:9" x14ac:dyDescent="0.2">
      <c r="A1756" s="11">
        <v>171.99999999999599</v>
      </c>
      <c r="B1756" s="15">
        <v>3.133</v>
      </c>
      <c r="C1756" s="11">
        <f t="shared" si="110"/>
        <v>22289.469369629285</v>
      </c>
      <c r="D1756" s="11">
        <f t="shared" si="111"/>
        <v>-91832.485655535769</v>
      </c>
      <c r="E1756" s="11">
        <f t="shared" si="112"/>
        <v>-144155.64608718161</v>
      </c>
      <c r="F1756" s="11">
        <f>Speed_Calc!B$5*E1756</f>
        <v>-129740.08147846346</v>
      </c>
      <c r="G1756" s="15">
        <f>Speed_Calc!G$3+Speed_Calc!G$5*A1756^2</f>
        <v>138.63183999999444</v>
      </c>
      <c r="H1756" s="7">
        <f>(F1756-G1756)/Speed_Calc!G$2*9.806</f>
        <v>-943.40049096359439</v>
      </c>
      <c r="I1756" s="4">
        <f t="shared" si="113"/>
        <v>47.777777777776663</v>
      </c>
    </row>
    <row r="1757" spans="1:9" x14ac:dyDescent="0.2">
      <c r="A1757" s="11">
        <v>172.09999999999599</v>
      </c>
      <c r="B1757" s="15">
        <v>3.133</v>
      </c>
      <c r="C1757" s="11">
        <f t="shared" si="110"/>
        <v>22302.428363448842</v>
      </c>
      <c r="D1757" s="11">
        <f t="shared" si="111"/>
        <v>-92167.341914745848</v>
      </c>
      <c r="E1757" s="11">
        <f t="shared" si="112"/>
        <v>-144597.22438687945</v>
      </c>
      <c r="F1757" s="11">
        <f>Speed_Calc!B$5*E1757</f>
        <v>-130137.50194819151</v>
      </c>
      <c r="G1757" s="15">
        <f>Speed_Calc!G$3+Speed_Calc!G$5*A1757^2</f>
        <v>138.76982409999445</v>
      </c>
      <c r="H1757" s="7">
        <f>(F1757-G1757)/Speed_Calc!G$2*9.806</f>
        <v>-946.28823777710386</v>
      </c>
      <c r="I1757" s="4">
        <f t="shared" si="113"/>
        <v>47.805555555554442</v>
      </c>
    </row>
    <row r="1758" spans="1:9" x14ac:dyDescent="0.2">
      <c r="A1758" s="11">
        <v>172.19999999999601</v>
      </c>
      <c r="B1758" s="15">
        <v>3.133</v>
      </c>
      <c r="C1758" s="11">
        <f t="shared" si="110"/>
        <v>22315.387357268391</v>
      </c>
      <c r="D1758" s="11">
        <f t="shared" si="111"/>
        <v>-92503.162154727586</v>
      </c>
      <c r="E1758" s="11">
        <f t="shared" si="112"/>
        <v>-145039.80128790374</v>
      </c>
      <c r="F1758" s="11">
        <f>Speed_Calc!B$5*E1758</f>
        <v>-130535.82115911337</v>
      </c>
      <c r="G1758" s="15">
        <f>Speed_Calc!G$3+Speed_Calc!G$5*A1758^2</f>
        <v>138.90788839999448</v>
      </c>
      <c r="H1758" s="7">
        <f>(F1758-G1758)/Speed_Calc!G$2*9.806</f>
        <v>-949.18251336290064</v>
      </c>
      <c r="I1758" s="4">
        <f t="shared" si="113"/>
        <v>47.833333333332227</v>
      </c>
    </row>
    <row r="1759" spans="1:9" x14ac:dyDescent="0.2">
      <c r="A1759" s="11">
        <v>172.299999999996</v>
      </c>
      <c r="B1759" s="15">
        <v>3.133</v>
      </c>
      <c r="C1759" s="11">
        <f t="shared" si="110"/>
        <v>22328.346351087945</v>
      </c>
      <c r="D1759" s="11">
        <f t="shared" si="111"/>
        <v>-92839.94843830145</v>
      </c>
      <c r="E1759" s="11">
        <f t="shared" si="112"/>
        <v>-145483.37828405088</v>
      </c>
      <c r="F1759" s="11">
        <f>Speed_Calc!B$5*E1759</f>
        <v>-130935.04045564579</v>
      </c>
      <c r="G1759" s="15">
        <f>Speed_Calc!G$3+Speed_Calc!G$5*A1759^2</f>
        <v>139.04603289999446</v>
      </c>
      <c r="H1759" s="7">
        <f>(F1759-G1759)/Speed_Calc!G$2*9.806</f>
        <v>-952.08332748642954</v>
      </c>
      <c r="I1759" s="4">
        <f t="shared" si="113"/>
        <v>47.861111111109999</v>
      </c>
    </row>
    <row r="1760" spans="1:9" x14ac:dyDescent="0.2">
      <c r="A1760" s="11">
        <v>172.399999999996</v>
      </c>
      <c r="B1760" s="15">
        <v>3.133</v>
      </c>
      <c r="C1760" s="11">
        <f t="shared" si="110"/>
        <v>22341.305344907498</v>
      </c>
      <c r="D1760" s="11">
        <f t="shared" si="111"/>
        <v>-93177.702831209492</v>
      </c>
      <c r="E1760" s="11">
        <f t="shared" si="112"/>
        <v>-145927.956870227</v>
      </c>
      <c r="F1760" s="11">
        <f>Speed_Calc!B$5*E1760</f>
        <v>-131335.1611832043</v>
      </c>
      <c r="G1760" s="15">
        <f>Speed_Calc!G$3+Speed_Calc!G$5*A1760^2</f>
        <v>139.18425759999445</v>
      </c>
      <c r="H1760" s="7">
        <f>(F1760-G1760)/Speed_Calc!G$2*9.806</f>
        <v>-954.9906899203902</v>
      </c>
      <c r="I1760" s="4">
        <f t="shared" si="113"/>
        <v>47.888888888887777</v>
      </c>
    </row>
    <row r="1761" spans="1:9" x14ac:dyDescent="0.2">
      <c r="A1761" s="11">
        <v>172.49999999999599</v>
      </c>
      <c r="B1761" s="15">
        <v>3.133</v>
      </c>
      <c r="C1761" s="11">
        <f t="shared" si="110"/>
        <v>22354.264338727047</v>
      </c>
      <c r="D1761" s="11">
        <f t="shared" si="111"/>
        <v>-93516.427402117421</v>
      </c>
      <c r="E1761" s="11">
        <f t="shared" si="112"/>
        <v>-146373.53854244802</v>
      </c>
      <c r="F1761" s="11">
        <f>Speed_Calc!B$5*E1761</f>
        <v>-131736.18468820321</v>
      </c>
      <c r="G1761" s="15">
        <f>Speed_Calc!G$3+Speed_Calc!G$5*A1761^2</f>
        <v>139.32256249999443</v>
      </c>
      <c r="H1761" s="7">
        <f>(F1761-G1761)/Speed_Calc!G$2*9.806</f>
        <v>-957.90461044473739</v>
      </c>
      <c r="I1761" s="4">
        <f t="shared" si="113"/>
        <v>47.916666666665556</v>
      </c>
    </row>
    <row r="1762" spans="1:9" x14ac:dyDescent="0.2">
      <c r="A1762" s="11">
        <v>172.59999999999599</v>
      </c>
      <c r="B1762" s="15">
        <v>3.133</v>
      </c>
      <c r="C1762" s="11">
        <f t="shared" si="110"/>
        <v>22367.223332546597</v>
      </c>
      <c r="D1762" s="11">
        <f t="shared" si="111"/>
        <v>-93856.124222617218</v>
      </c>
      <c r="E1762" s="11">
        <f t="shared" si="112"/>
        <v>-146820.12479784031</v>
      </c>
      <c r="F1762" s="11">
        <f>Speed_Calc!B$5*E1762</f>
        <v>-132138.11231805629</v>
      </c>
      <c r="G1762" s="15">
        <f>Speed_Calc!G$3+Speed_Calc!G$5*A1762^2</f>
        <v>139.46094759999443</v>
      </c>
      <c r="H1762" s="7">
        <f>(F1762-G1762)/Speed_Calc!G$2*9.806</f>
        <v>-960.82509884668536</v>
      </c>
      <c r="I1762" s="4">
        <f t="shared" si="113"/>
        <v>47.944444444443327</v>
      </c>
    </row>
    <row r="1763" spans="1:9" x14ac:dyDescent="0.2">
      <c r="A1763" s="11">
        <v>172.69999999999601</v>
      </c>
      <c r="B1763" s="15">
        <v>3.133</v>
      </c>
      <c r="C1763" s="11">
        <f t="shared" si="110"/>
        <v>22380.18232636615</v>
      </c>
      <c r="D1763" s="11">
        <f t="shared" si="111"/>
        <v>-94196.795367228595</v>
      </c>
      <c r="E1763" s="11">
        <f t="shared" si="112"/>
        <v>-147267.71713463991</v>
      </c>
      <c r="F1763" s="11">
        <f>Speed_Calc!B$5*E1763</f>
        <v>-132540.94542117591</v>
      </c>
      <c r="G1763" s="15">
        <f>Speed_Calc!G$3+Speed_Calc!G$5*A1763^2</f>
        <v>139.59941289999446</v>
      </c>
      <c r="H1763" s="7">
        <f>(F1763-G1763)/Speed_Calc!G$2*9.806</f>
        <v>-963.7521649207024</v>
      </c>
      <c r="I1763" s="4">
        <f t="shared" si="113"/>
        <v>47.972222222221113</v>
      </c>
    </row>
    <row r="1764" spans="1:9" x14ac:dyDescent="0.2">
      <c r="A1764" s="11">
        <v>172.799999999996</v>
      </c>
      <c r="B1764" s="15">
        <v>3.133</v>
      </c>
      <c r="C1764" s="11">
        <f t="shared" si="110"/>
        <v>22393.141320185707</v>
      </c>
      <c r="D1764" s="11">
        <f t="shared" si="111"/>
        <v>-94538.442913401435</v>
      </c>
      <c r="E1764" s="11">
        <f t="shared" si="112"/>
        <v>-147716.31705219316</v>
      </c>
      <c r="F1764" s="11">
        <f>Speed_Calc!B$5*E1764</f>
        <v>-132944.68534697386</v>
      </c>
      <c r="G1764" s="15">
        <f>Speed_Calc!G$3+Speed_Calc!G$5*A1764^2</f>
        <v>139.73795839999445</v>
      </c>
      <c r="H1764" s="7">
        <f>(F1764-G1764)/Speed_Calc!G$2*9.806</f>
        <v>-966.68581846851532</v>
      </c>
      <c r="I1764" s="4">
        <f t="shared" si="113"/>
        <v>47.999999999998892</v>
      </c>
    </row>
    <row r="1765" spans="1:9" x14ac:dyDescent="0.2">
      <c r="A1765" s="11">
        <v>172.899999999996</v>
      </c>
      <c r="B1765" s="15">
        <v>3.133</v>
      </c>
      <c r="C1765" s="11">
        <f t="shared" si="110"/>
        <v>22406.100314005256</v>
      </c>
      <c r="D1765" s="11">
        <f t="shared" si="111"/>
        <v>-94881.068941517209</v>
      </c>
      <c r="E1765" s="11">
        <f t="shared" si="112"/>
        <v>-148165.92605095566</v>
      </c>
      <c r="F1765" s="11">
        <f>Speed_Calc!B$5*E1765</f>
        <v>-133349.3334458601</v>
      </c>
      <c r="G1765" s="15">
        <f>Speed_Calc!G$3+Speed_Calc!G$5*A1765^2</f>
        <v>139.87658409999443</v>
      </c>
      <c r="H1765" s="7">
        <f>(F1765-G1765)/Speed_Calc!G$2*9.806</f>
        <v>-969.6260692991026</v>
      </c>
      <c r="I1765" s="4">
        <f t="shared" si="113"/>
        <v>48.027777777776663</v>
      </c>
    </row>
    <row r="1766" spans="1:9" x14ac:dyDescent="0.2">
      <c r="A1766" s="11">
        <v>172.99999999999599</v>
      </c>
      <c r="B1766" s="15">
        <v>3.133</v>
      </c>
      <c r="C1766" s="11">
        <f t="shared" si="110"/>
        <v>22419.059307824806</v>
      </c>
      <c r="D1766" s="11">
        <f t="shared" si="111"/>
        <v>-95224.6755348921</v>
      </c>
      <c r="E1766" s="11">
        <f t="shared" si="112"/>
        <v>-148616.54563249397</v>
      </c>
      <c r="F1766" s="11">
        <f>Speed_Calc!B$5*E1766</f>
        <v>-133754.89106924459</v>
      </c>
      <c r="G1766" s="15">
        <f>Speed_Calc!G$3+Speed_Calc!G$5*A1766^2</f>
        <v>140.01528999999442</v>
      </c>
      <c r="H1766" s="7">
        <f>(F1766-G1766)/Speed_Calc!G$2*9.806</f>
        <v>-972.57292722870534</v>
      </c>
      <c r="I1766" s="4">
        <f t="shared" si="113"/>
        <v>48.055555555554442</v>
      </c>
    </row>
    <row r="1767" spans="1:9" x14ac:dyDescent="0.2">
      <c r="A1767" s="11">
        <v>173.09999999999599</v>
      </c>
      <c r="B1767" s="15">
        <v>3.133</v>
      </c>
      <c r="C1767" s="11">
        <f t="shared" si="110"/>
        <v>22432.018301644355</v>
      </c>
      <c r="D1767" s="11">
        <f t="shared" si="111"/>
        <v>-95569.26477977827</v>
      </c>
      <c r="E1767" s="11">
        <f t="shared" si="112"/>
        <v>-149068.17729948435</v>
      </c>
      <c r="F1767" s="11">
        <f>Speed_Calc!B$5*E1767</f>
        <v>-134161.35956953591</v>
      </c>
      <c r="G1767" s="15">
        <f>Speed_Calc!G$3+Speed_Calc!G$5*A1767^2</f>
        <v>140.15407609999443</v>
      </c>
      <c r="H1767" s="7">
        <f>(F1767-G1767)/Speed_Calc!G$2*9.806</f>
        <v>-975.52640208081903</v>
      </c>
      <c r="I1767" s="4">
        <f t="shared" si="113"/>
        <v>48.08333333333222</v>
      </c>
    </row>
    <row r="1768" spans="1:9" x14ac:dyDescent="0.2">
      <c r="A1768" s="11">
        <v>173.19999999999601</v>
      </c>
      <c r="B1768" s="15">
        <v>3.133</v>
      </c>
      <c r="C1768" s="11">
        <f t="shared" si="110"/>
        <v>22444.977295463912</v>
      </c>
      <c r="D1768" s="11">
        <f t="shared" si="111"/>
        <v>-95914.838765366294</v>
      </c>
      <c r="E1768" s="11">
        <f t="shared" si="112"/>
        <v>-149520.82255571304</v>
      </c>
      <c r="F1768" s="11">
        <f>Speed_Calc!B$5*E1768</f>
        <v>-134568.74030014174</v>
      </c>
      <c r="G1768" s="15">
        <f>Speed_Calc!G$3+Speed_Calc!G$5*A1768^2</f>
        <v>140.29294239999444</v>
      </c>
      <c r="H1768" s="7">
        <f>(F1768-G1768)/Speed_Calc!G$2*9.806</f>
        <v>-978.48650368619576</v>
      </c>
      <c r="I1768" s="4">
        <f t="shared" si="113"/>
        <v>48.111111111109999</v>
      </c>
    </row>
    <row r="1769" spans="1:9" x14ac:dyDescent="0.2">
      <c r="A1769" s="11">
        <v>173.299999999996</v>
      </c>
      <c r="B1769" s="15">
        <v>3.133</v>
      </c>
      <c r="C1769" s="11">
        <f t="shared" si="110"/>
        <v>22457.936289283469</v>
      </c>
      <c r="D1769" s="11">
        <f t="shared" si="111"/>
        <v>-96261.39958378661</v>
      </c>
      <c r="E1769" s="11">
        <f t="shared" si="112"/>
        <v>-149974.48290607604</v>
      </c>
      <c r="F1769" s="11">
        <f>Speed_Calc!B$5*E1769</f>
        <v>-134977.03461546844</v>
      </c>
      <c r="G1769" s="15">
        <f>Speed_Calc!G$3+Speed_Calc!G$5*A1769^2</f>
        <v>140.43188889999442</v>
      </c>
      <c r="H1769" s="7">
        <f>(F1769-G1769)/Speed_Calc!G$2*9.806</f>
        <v>-981.45324188284201</v>
      </c>
      <c r="I1769" s="4">
        <f t="shared" si="113"/>
        <v>48.138888888887777</v>
      </c>
    </row>
    <row r="1770" spans="1:9" x14ac:dyDescent="0.2">
      <c r="A1770" s="11">
        <v>173.399999999996</v>
      </c>
      <c r="B1770" s="15">
        <v>3.133</v>
      </c>
      <c r="C1770" s="11">
        <f t="shared" si="110"/>
        <v>22470.895283103018</v>
      </c>
      <c r="D1770" s="11">
        <f t="shared" si="111"/>
        <v>-96608.949330112053</v>
      </c>
      <c r="E1770" s="11">
        <f t="shared" si="112"/>
        <v>-150429.15985657932</v>
      </c>
      <c r="F1770" s="11">
        <f>Speed_Calc!B$5*E1770</f>
        <v>-135386.2438709214</v>
      </c>
      <c r="G1770" s="15">
        <f>Speed_Calc!G$3+Speed_Calc!G$5*A1770^2</f>
        <v>140.57091559999441</v>
      </c>
      <c r="H1770" s="7">
        <f>(F1770-G1770)/Speed_Calc!G$2*9.806</f>
        <v>-984.4266265160212</v>
      </c>
      <c r="I1770" s="4">
        <f t="shared" si="113"/>
        <v>48.166666666665556</v>
      </c>
    </row>
    <row r="1771" spans="1:9" x14ac:dyDescent="0.2">
      <c r="A1771" s="11">
        <v>173.49999999999599</v>
      </c>
      <c r="B1771" s="15">
        <v>3.133</v>
      </c>
      <c r="C1771" s="11">
        <f t="shared" si="110"/>
        <v>22483.854276922568</v>
      </c>
      <c r="D1771" s="11">
        <f t="shared" si="111"/>
        <v>-96957.4901023602</v>
      </c>
      <c r="E1771" s="11">
        <f t="shared" si="112"/>
        <v>-150884.85491433923</v>
      </c>
      <c r="F1771" s="11">
        <f>Speed_Calc!B$5*E1771</f>
        <v>-135796.36942290532</v>
      </c>
      <c r="G1771" s="15">
        <f>Speed_Calc!G$3+Speed_Calc!G$5*A1771^2</f>
        <v>140.71002249999441</v>
      </c>
      <c r="H1771" s="7">
        <f>(F1771-G1771)/Speed_Calc!G$2*9.806</f>
        <v>-987.40666743825511</v>
      </c>
      <c r="I1771" s="4">
        <f t="shared" si="113"/>
        <v>48.194444444443327</v>
      </c>
    </row>
    <row r="1772" spans="1:9" x14ac:dyDescent="0.2">
      <c r="A1772" s="11">
        <v>173.59999999999599</v>
      </c>
      <c r="B1772" s="15">
        <v>3.133</v>
      </c>
      <c r="C1772" s="11">
        <f t="shared" si="110"/>
        <v>22496.813270742117</v>
      </c>
      <c r="D1772" s="11">
        <f t="shared" si="111"/>
        <v>-97307.024001495112</v>
      </c>
      <c r="E1772" s="11">
        <f t="shared" si="112"/>
        <v>-151341.56958758231</v>
      </c>
      <c r="F1772" s="11">
        <f>Speed_Calc!B$5*E1772</f>
        <v>-136207.4126288241</v>
      </c>
      <c r="G1772" s="15">
        <f>Speed_Calc!G$3+Speed_Calc!G$5*A1772^2</f>
        <v>140.8492095999944</v>
      </c>
      <c r="H1772" s="7">
        <f>(F1772-G1772)/Speed_Calc!G$2*9.806</f>
        <v>-990.39337450932317</v>
      </c>
      <c r="I1772" s="4">
        <f t="shared" si="113"/>
        <v>48.222222222221106</v>
      </c>
    </row>
    <row r="1773" spans="1:9" x14ac:dyDescent="0.2">
      <c r="A1773" s="11">
        <v>173.69999999999601</v>
      </c>
      <c r="B1773" s="15">
        <v>3.133</v>
      </c>
      <c r="C1773" s="11">
        <f t="shared" si="110"/>
        <v>22509.772264561678</v>
      </c>
      <c r="D1773" s="11">
        <f t="shared" si="111"/>
        <v>-97657.553131429275</v>
      </c>
      <c r="E1773" s="11">
        <f t="shared" si="112"/>
        <v>-151799.30538564484</v>
      </c>
      <c r="F1773" s="11">
        <f>Speed_Calc!B$5*E1773</f>
        <v>-136619.37484708035</v>
      </c>
      <c r="G1773" s="15">
        <f>Speed_Calc!G$3+Speed_Calc!G$5*A1773^2</f>
        <v>140.98847689999442</v>
      </c>
      <c r="H1773" s="7">
        <f>(F1773-G1773)/Speed_Calc!G$2*9.806</f>
        <v>-993.38675759626017</v>
      </c>
      <c r="I1773" s="4">
        <f t="shared" si="113"/>
        <v>48.249999999998892</v>
      </c>
    </row>
    <row r="1774" spans="1:9" x14ac:dyDescent="0.2">
      <c r="A1774" s="11">
        <v>173.799999999996</v>
      </c>
      <c r="B1774" s="15">
        <v>3.133</v>
      </c>
      <c r="C1774" s="11">
        <f t="shared" si="110"/>
        <v>22522.731258381227</v>
      </c>
      <c r="D1774" s="11">
        <f t="shared" si="111"/>
        <v>-98009.07959902515</v>
      </c>
      <c r="E1774" s="11">
        <f t="shared" si="112"/>
        <v>-152258.06381897235</v>
      </c>
      <c r="F1774" s="11">
        <f>Speed_Calc!B$5*E1774</f>
        <v>-137032.25743707511</v>
      </c>
      <c r="G1774" s="15">
        <f>Speed_Calc!G$3+Speed_Calc!G$5*A1774^2</f>
        <v>141.12782439999444</v>
      </c>
      <c r="H1774" s="7">
        <f>(F1774-G1774)/Speed_Calc!G$2*9.806</f>
        <v>-996.38682657335175</v>
      </c>
      <c r="I1774" s="4">
        <f t="shared" si="113"/>
        <v>48.277777777776663</v>
      </c>
    </row>
    <row r="1775" spans="1:9" x14ac:dyDescent="0.2">
      <c r="A1775" s="11">
        <v>173.899999999996</v>
      </c>
      <c r="B1775" s="15">
        <v>3.133</v>
      </c>
      <c r="C1775" s="11">
        <f t="shared" si="110"/>
        <v>22535.690252200777</v>
      </c>
      <c r="D1775" s="11">
        <f t="shared" si="111"/>
        <v>-98361.605514098628</v>
      </c>
      <c r="E1775" s="11">
        <f t="shared" si="112"/>
        <v>-152717.84639912157</v>
      </c>
      <c r="F1775" s="11">
        <f>Speed_Calc!B$5*E1775</f>
        <v>-137446.06175920941</v>
      </c>
      <c r="G1775" s="15">
        <f>Speed_Calc!G$3+Speed_Calc!G$5*A1775^2</f>
        <v>141.26725209999441</v>
      </c>
      <c r="H1775" s="7">
        <f>(F1775-G1775)/Speed_Calc!G$2*9.806</f>
        <v>-999.39359132214793</v>
      </c>
      <c r="I1775" s="4">
        <f t="shared" si="113"/>
        <v>48.305555555554442</v>
      </c>
    </row>
    <row r="1776" spans="1:9" x14ac:dyDescent="0.2">
      <c r="A1776" s="11">
        <v>173.99999999999599</v>
      </c>
      <c r="B1776" s="15">
        <v>3.133</v>
      </c>
      <c r="C1776" s="11">
        <f t="shared" si="110"/>
        <v>22548.649246020326</v>
      </c>
      <c r="D1776" s="11">
        <f t="shared" si="111"/>
        <v>-98715.132989420003</v>
      </c>
      <c r="E1776" s="11">
        <f t="shared" si="112"/>
        <v>-153178.65463875872</v>
      </c>
      <c r="F1776" s="11">
        <f>Speed_Calc!B$5*E1776</f>
        <v>-137860.78917488284</v>
      </c>
      <c r="G1776" s="15">
        <f>Speed_Calc!G$3+Speed_Calc!G$5*A1776^2</f>
        <v>141.40675999999439</v>
      </c>
      <c r="H1776" s="7">
        <f>(F1776-G1776)/Speed_Calc!G$2*9.806</f>
        <v>-1002.4070617314525</v>
      </c>
      <c r="I1776" s="4">
        <f t="shared" si="113"/>
        <v>48.33333333333222</v>
      </c>
    </row>
    <row r="1777" spans="1:9" x14ac:dyDescent="0.2">
      <c r="A1777" s="11">
        <v>174.09999999999599</v>
      </c>
      <c r="B1777" s="15">
        <v>3.133</v>
      </c>
      <c r="C1777" s="11">
        <f t="shared" si="110"/>
        <v>22561.608239839876</v>
      </c>
      <c r="D1777" s="11">
        <f t="shared" si="111"/>
        <v>-99069.664140716282</v>
      </c>
      <c r="E1777" s="11">
        <f t="shared" si="112"/>
        <v>-153640.49005166008</v>
      </c>
      <c r="F1777" s="11">
        <f>Speed_Calc!B$5*E1777</f>
        <v>-138276.44104649406</v>
      </c>
      <c r="G1777" s="15">
        <f>Speed_Calc!G$3+Speed_Calc!G$5*A1777^2</f>
        <v>141.54634809999439</v>
      </c>
      <c r="H1777" s="7">
        <f>(F1777-G1777)/Speed_Calc!G$2*9.806</f>
        <v>-1005.4272476973255</v>
      </c>
      <c r="I1777" s="4">
        <f t="shared" si="113"/>
        <v>48.361111111109992</v>
      </c>
    </row>
    <row r="1778" spans="1:9" x14ac:dyDescent="0.2">
      <c r="A1778" s="11">
        <v>174.19999999999601</v>
      </c>
      <c r="B1778" s="15">
        <v>3.133</v>
      </c>
      <c r="C1778" s="11">
        <f t="shared" si="110"/>
        <v>22574.567233659433</v>
      </c>
      <c r="D1778" s="11">
        <f t="shared" si="111"/>
        <v>-99425.201086673464</v>
      </c>
      <c r="E1778" s="11">
        <f t="shared" si="112"/>
        <v>-154103.35415271213</v>
      </c>
      <c r="F1778" s="11">
        <f>Speed_Calc!B$5*E1778</f>
        <v>-138693.01873744093</v>
      </c>
      <c r="G1778" s="15">
        <f>Speed_Calc!G$3+Speed_Calc!G$5*A1778^2</f>
        <v>141.6860163999944</v>
      </c>
      <c r="H1778" s="7">
        <f>(F1778-G1778)/Speed_Calc!G$2*9.806</f>
        <v>-1008.4541591230844</v>
      </c>
      <c r="I1778" s="4">
        <f t="shared" si="113"/>
        <v>48.388888888887777</v>
      </c>
    </row>
    <row r="1779" spans="1:9" x14ac:dyDescent="0.2">
      <c r="A1779" s="11">
        <v>174.299999999996</v>
      </c>
      <c r="B1779" s="15">
        <v>3.133</v>
      </c>
      <c r="C1779" s="11">
        <f t="shared" si="110"/>
        <v>22587.526227478986</v>
      </c>
      <c r="D1779" s="11">
        <f t="shared" si="111"/>
        <v>-99781.745948937853</v>
      </c>
      <c r="E1779" s="11">
        <f t="shared" si="112"/>
        <v>-154567.24845791073</v>
      </c>
      <c r="F1779" s="11">
        <f>Speed_Calc!B$5*E1779</f>
        <v>-139110.52361211966</v>
      </c>
      <c r="G1779" s="15">
        <f>Speed_Calc!G$3+Speed_Calc!G$5*A1779^2</f>
        <v>141.8257648999944</v>
      </c>
      <c r="H1779" s="7">
        <f>(F1779-G1779)/Speed_Calc!G$2*9.806</f>
        <v>-1011.4878059192997</v>
      </c>
      <c r="I1779" s="4">
        <f t="shared" si="113"/>
        <v>48.416666666665556</v>
      </c>
    </row>
    <row r="1780" spans="1:9" x14ac:dyDescent="0.2">
      <c r="A1780" s="11">
        <v>174.399999999996</v>
      </c>
      <c r="B1780" s="15">
        <v>3.133</v>
      </c>
      <c r="C1780" s="11">
        <f t="shared" si="110"/>
        <v>22600.485221298535</v>
      </c>
      <c r="D1780" s="11">
        <f t="shared" si="111"/>
        <v>-100139.30085211902</v>
      </c>
      <c r="E1780" s="11">
        <f t="shared" si="112"/>
        <v>-155032.17448436213</v>
      </c>
      <c r="F1780" s="11">
        <f>Speed_Calc!B$5*E1780</f>
        <v>-139528.95703592591</v>
      </c>
      <c r="G1780" s="15">
        <f>Speed_Calc!G$3+Speed_Calc!G$5*A1780^2</f>
        <v>141.96559359999441</v>
      </c>
      <c r="H1780" s="7">
        <f>(F1780-G1780)/Speed_Calc!G$2*9.806</f>
        <v>-1014.5281980038006</v>
      </c>
      <c r="I1780" s="4">
        <f t="shared" si="113"/>
        <v>48.444444444443334</v>
      </c>
    </row>
    <row r="1781" spans="1:9" x14ac:dyDescent="0.2">
      <c r="A1781" s="11">
        <v>174.49999999999599</v>
      </c>
      <c r="B1781" s="15">
        <v>3.133</v>
      </c>
      <c r="C1781" s="11">
        <f t="shared" si="110"/>
        <v>22613.444215118088</v>
      </c>
      <c r="D1781" s="11">
        <f t="shared" si="111"/>
        <v>-100497.86792379181</v>
      </c>
      <c r="E1781" s="11">
        <f t="shared" si="112"/>
        <v>-155498.13375028316</v>
      </c>
      <c r="F1781" s="11">
        <f>Speed_Calc!B$5*E1781</f>
        <v>-139948.32037525484</v>
      </c>
      <c r="G1781" s="15">
        <f>Speed_Calc!G$3+Speed_Calc!G$5*A1781^2</f>
        <v>142.10550249999437</v>
      </c>
      <c r="H1781" s="7">
        <f>(F1781-G1781)/Speed_Calc!G$2*9.806</f>
        <v>-1017.5753453016769</v>
      </c>
      <c r="I1781" s="4">
        <f t="shared" si="113"/>
        <v>48.472222222221106</v>
      </c>
    </row>
    <row r="1782" spans="1:9" x14ac:dyDescent="0.2">
      <c r="A1782" s="11">
        <v>174.59999999999599</v>
      </c>
      <c r="B1782" s="15">
        <v>3.133</v>
      </c>
      <c r="C1782" s="11">
        <f t="shared" si="110"/>
        <v>22626.403208937641</v>
      </c>
      <c r="D1782" s="11">
        <f t="shared" si="111"/>
        <v>-100857.44929449746</v>
      </c>
      <c r="E1782" s="11">
        <f t="shared" si="112"/>
        <v>-155965.12777499965</v>
      </c>
      <c r="F1782" s="11">
        <f>Speed_Calc!B$5*E1782</f>
        <v>-140368.61499749968</v>
      </c>
      <c r="G1782" s="15">
        <f>Speed_Calc!G$3+Speed_Calc!G$5*A1782^2</f>
        <v>142.24549159999435</v>
      </c>
      <c r="H1782" s="7">
        <f>(F1782-G1782)/Speed_Calc!G$2*9.806</f>
        <v>-1020.6292577452675</v>
      </c>
      <c r="I1782" s="4">
        <f t="shared" si="113"/>
        <v>48.499999999998884</v>
      </c>
    </row>
    <row r="1783" spans="1:9" x14ac:dyDescent="0.2">
      <c r="A1783" s="11">
        <v>174.69999999999601</v>
      </c>
      <c r="B1783" s="15">
        <v>3.133</v>
      </c>
      <c r="C1783" s="11">
        <f t="shared" si="110"/>
        <v>22639.362202757198</v>
      </c>
      <c r="D1783" s="11">
        <f t="shared" si="111"/>
        <v>-101218.04709774679</v>
      </c>
      <c r="E1783" s="11">
        <f t="shared" si="112"/>
        <v>-156433.15807894821</v>
      </c>
      <c r="F1783" s="11">
        <f>Speed_Calc!B$5*E1783</f>
        <v>-140789.84227105341</v>
      </c>
      <c r="G1783" s="15">
        <f>Speed_Calc!G$3+Speed_Calc!G$5*A1783^2</f>
        <v>142.3855608999944</v>
      </c>
      <c r="H1783" s="7">
        <f>(F1783-G1783)/Speed_Calc!G$2*9.806</f>
        <v>-1023.6899452741741</v>
      </c>
      <c r="I1783" s="4">
        <f t="shared" si="113"/>
        <v>48.52777777777667</v>
      </c>
    </row>
    <row r="1784" spans="1:9" x14ac:dyDescent="0.2">
      <c r="A1784" s="11">
        <v>174.799999999996</v>
      </c>
      <c r="B1784" s="15">
        <v>3.133</v>
      </c>
      <c r="C1784" s="11">
        <f t="shared" si="110"/>
        <v>22652.321196576748</v>
      </c>
      <c r="D1784" s="11">
        <f t="shared" si="111"/>
        <v>-101579.66347002125</v>
      </c>
      <c r="E1784" s="11">
        <f t="shared" si="112"/>
        <v>-156902.22618367488</v>
      </c>
      <c r="F1784" s="11">
        <f>Speed_Calc!B$5*E1784</f>
        <v>-141212.00356530739</v>
      </c>
      <c r="G1784" s="15">
        <f>Speed_Calc!G$3+Speed_Calc!G$5*A1784^2</f>
        <v>142.52571039999441</v>
      </c>
      <c r="H1784" s="7">
        <f>(F1784-G1784)/Speed_Calc!G$2*9.806</f>
        <v>-1026.7574178352493</v>
      </c>
      <c r="I1784" s="4">
        <f t="shared" si="113"/>
        <v>48.555555555554442</v>
      </c>
    </row>
    <row r="1785" spans="1:9" x14ac:dyDescent="0.2">
      <c r="A1785" s="11">
        <v>174.899999999996</v>
      </c>
      <c r="B1785" s="15">
        <v>3.133</v>
      </c>
      <c r="C1785" s="11">
        <f t="shared" si="110"/>
        <v>22665.280190396297</v>
      </c>
      <c r="D1785" s="11">
        <f t="shared" si="111"/>
        <v>-101942.30055077586</v>
      </c>
      <c r="E1785" s="11">
        <f t="shared" si="112"/>
        <v>-157372.33361183599</v>
      </c>
      <c r="F1785" s="11">
        <f>Speed_Calc!B$5*E1785</f>
        <v>-141635.10025065238</v>
      </c>
      <c r="G1785" s="15">
        <f>Speed_Calc!G$3+Speed_Calc!G$5*A1785^2</f>
        <v>142.66594009999437</v>
      </c>
      <c r="H1785" s="7">
        <f>(F1785-G1785)/Speed_Calc!G$2*9.806</f>
        <v>-1029.8316853826059</v>
      </c>
      <c r="I1785" s="4">
        <f t="shared" si="113"/>
        <v>48.58333333333222</v>
      </c>
    </row>
    <row r="1786" spans="1:9" x14ac:dyDescent="0.2">
      <c r="A1786" s="11">
        <v>174.99999999999599</v>
      </c>
      <c r="B1786" s="15">
        <v>3.133</v>
      </c>
      <c r="C1786" s="11">
        <f t="shared" si="110"/>
        <v>22678.239184215847</v>
      </c>
      <c r="D1786" s="11">
        <f t="shared" si="111"/>
        <v>-102305.96048244076</v>
      </c>
      <c r="E1786" s="11">
        <f t="shared" si="112"/>
        <v>-157843.48188719797</v>
      </c>
      <c r="F1786" s="11">
        <f>Speed_Calc!B$5*E1786</f>
        <v>-142059.13369847817</v>
      </c>
      <c r="G1786" s="15">
        <f>Speed_Calc!G$3+Speed_Calc!G$5*A1786^2</f>
        <v>142.80624999999435</v>
      </c>
      <c r="H1786" s="7">
        <f>(F1786-G1786)/Speed_Calc!G$2*9.806</f>
        <v>-1032.9127578776124</v>
      </c>
      <c r="I1786" s="4">
        <f t="shared" si="113"/>
        <v>48.611111111109999</v>
      </c>
    </row>
    <row r="1787" spans="1:9" x14ac:dyDescent="0.2">
      <c r="A1787" s="11">
        <v>175.09999999999599</v>
      </c>
      <c r="B1787" s="15">
        <v>3.133</v>
      </c>
      <c r="C1787" s="11">
        <f t="shared" si="110"/>
        <v>22691.198178035396</v>
      </c>
      <c r="D1787" s="11">
        <f t="shared" si="111"/>
        <v>-102670.64541042359</v>
      </c>
      <c r="E1787" s="11">
        <f t="shared" si="112"/>
        <v>-158315.67253463742</v>
      </c>
      <c r="F1787" s="11">
        <f>Speed_Calc!B$5*E1787</f>
        <v>-142484.10528117369</v>
      </c>
      <c r="G1787" s="15">
        <f>Speed_Calc!G$3+Speed_Calc!G$5*A1787^2</f>
        <v>142.94664009999434</v>
      </c>
      <c r="H1787" s="7">
        <f>(F1787-G1787)/Speed_Calc!G$2*9.806</f>
        <v>-1036.0006452888958</v>
      </c>
      <c r="I1787" s="4">
        <f t="shared" si="113"/>
        <v>48.63888888888777</v>
      </c>
    </row>
    <row r="1788" spans="1:9" x14ac:dyDescent="0.2">
      <c r="A1788" s="11">
        <v>175.19999999999601</v>
      </c>
      <c r="B1788" s="15">
        <v>3.133</v>
      </c>
      <c r="C1788" s="11">
        <f t="shared" si="110"/>
        <v>22704.157171854953</v>
      </c>
      <c r="D1788" s="11">
        <f t="shared" si="111"/>
        <v>-103036.3574831111</v>
      </c>
      <c r="E1788" s="11">
        <f t="shared" si="112"/>
        <v>-158788.90708014061</v>
      </c>
      <c r="F1788" s="11">
        <f>Speed_Calc!B$5*E1788</f>
        <v>-142910.01637212656</v>
      </c>
      <c r="G1788" s="15">
        <f>Speed_Calc!G$3+Speed_Calc!G$5*A1788^2</f>
        <v>143.08711039999437</v>
      </c>
      <c r="H1788" s="7">
        <f>(F1788-G1788)/Speed_Calc!G$2*9.806</f>
        <v>-1039.0953575923372</v>
      </c>
      <c r="I1788" s="4">
        <f t="shared" si="113"/>
        <v>48.666666666665556</v>
      </c>
    </row>
    <row r="1789" spans="1:9" x14ac:dyDescent="0.2">
      <c r="A1789" s="11">
        <v>175.299999999996</v>
      </c>
      <c r="B1789" s="15">
        <v>3.133</v>
      </c>
      <c r="C1789" s="11">
        <f t="shared" si="110"/>
        <v>22717.116165674503</v>
      </c>
      <c r="D1789" s="11">
        <f t="shared" si="111"/>
        <v>-103403.09885187118</v>
      </c>
      <c r="E1789" s="11">
        <f t="shared" si="112"/>
        <v>-159263.18705080359</v>
      </c>
      <c r="F1789" s="11">
        <f>Speed_Calc!B$5*E1789</f>
        <v>-143336.86834572323</v>
      </c>
      <c r="G1789" s="15">
        <f>Speed_Calc!G$3+Speed_Calc!G$5*A1789^2</f>
        <v>143.22766089999436</v>
      </c>
      <c r="H1789" s="7">
        <f>(F1789-G1789)/Speed_Calc!G$2*9.806</f>
        <v>-1042.196904771072</v>
      </c>
      <c r="I1789" s="4">
        <f t="shared" si="113"/>
        <v>48.694444444443334</v>
      </c>
    </row>
    <row r="1790" spans="1:9" x14ac:dyDescent="0.2">
      <c r="A1790" s="11">
        <v>175.399999999996</v>
      </c>
      <c r="B1790" s="15">
        <v>3.133</v>
      </c>
      <c r="C1790" s="11">
        <f t="shared" si="110"/>
        <v>22730.075159494052</v>
      </c>
      <c r="D1790" s="11">
        <f t="shared" si="111"/>
        <v>-103770.87167105565</v>
      </c>
      <c r="E1790" s="11">
        <f t="shared" si="112"/>
        <v>-159738.51397483281</v>
      </c>
      <c r="F1790" s="11">
        <f>Speed_Calc!B$5*E1790</f>
        <v>-143764.66257734952</v>
      </c>
      <c r="G1790" s="15">
        <f>Speed_Calc!G$3+Speed_Calc!G$5*A1790^2</f>
        <v>143.36829159999436</v>
      </c>
      <c r="H1790" s="7">
        <f>(F1790-G1790)/Speed_Calc!G$2*9.806</f>
        <v>-1045.3052968154955</v>
      </c>
      <c r="I1790" s="4">
        <f t="shared" si="113"/>
        <v>48.722222222221106</v>
      </c>
    </row>
    <row r="1791" spans="1:9" x14ac:dyDescent="0.2">
      <c r="A1791" s="11">
        <v>175.49999999999599</v>
      </c>
      <c r="B1791" s="15">
        <v>3.133</v>
      </c>
      <c r="C1791" s="11">
        <f t="shared" si="110"/>
        <v>22743.034153313609</v>
      </c>
      <c r="D1791" s="11">
        <f t="shared" si="111"/>
        <v>-104139.67809800197</v>
      </c>
      <c r="E1791" s="11">
        <f t="shared" si="112"/>
        <v>-160214.88938154522</v>
      </c>
      <c r="F1791" s="11">
        <f>Speed_Calc!B$5*E1791</f>
        <v>-144193.40044339071</v>
      </c>
      <c r="G1791" s="15">
        <f>Speed_Calc!G$3+Speed_Calc!G$5*A1791^2</f>
        <v>143.50900249999432</v>
      </c>
      <c r="H1791" s="7">
        <f>(F1791-G1791)/Speed_Calc!G$2*9.806</f>
        <v>-1048.4205437232622</v>
      </c>
      <c r="I1791" s="4">
        <f t="shared" si="113"/>
        <v>48.749999999998884</v>
      </c>
    </row>
    <row r="1792" spans="1:9" x14ac:dyDescent="0.2">
      <c r="A1792" s="11">
        <v>175.59999999999599</v>
      </c>
      <c r="B1792" s="15">
        <v>3.133</v>
      </c>
      <c r="C1792" s="11">
        <f t="shared" si="110"/>
        <v>22755.993147133166</v>
      </c>
      <c r="D1792" s="11">
        <f t="shared" si="111"/>
        <v>-104509.52029303454</v>
      </c>
      <c r="E1792" s="11">
        <f t="shared" si="112"/>
        <v>-160692.31480136656</v>
      </c>
      <c r="F1792" s="11">
        <f>Speed_Calc!B$5*E1792</f>
        <v>-144623.0833212299</v>
      </c>
      <c r="G1792" s="15">
        <f>Speed_Calc!G$3+Speed_Calc!G$5*A1792^2</f>
        <v>143.64979359999433</v>
      </c>
      <c r="H1792" s="7">
        <f>(F1792-G1792)/Speed_Calc!G$2*9.806</f>
        <v>-1051.5426554992755</v>
      </c>
      <c r="I1792" s="4">
        <f t="shared" si="113"/>
        <v>48.777777777776663</v>
      </c>
    </row>
    <row r="1793" spans="1:9" x14ac:dyDescent="0.2">
      <c r="A1793" s="11">
        <v>175.69999999999601</v>
      </c>
      <c r="B1793" s="15">
        <v>3.133</v>
      </c>
      <c r="C1793" s="11">
        <f t="shared" si="110"/>
        <v>22768.952140952722</v>
      </c>
      <c r="D1793" s="11">
        <f t="shared" si="111"/>
        <v>-104880.40041946783</v>
      </c>
      <c r="E1793" s="11">
        <f t="shared" si="112"/>
        <v>-161170.79176583351</v>
      </c>
      <c r="F1793" s="11">
        <f>Speed_Calc!B$5*E1793</f>
        <v>-145053.71258925015</v>
      </c>
      <c r="G1793" s="15">
        <f>Speed_Calc!G$3+Speed_Calc!G$5*A1793^2</f>
        <v>143.79066489999437</v>
      </c>
      <c r="H1793" s="7">
        <f>(F1793-G1793)/Speed_Calc!G$2*9.806</f>
        <v>-1054.671642155701</v>
      </c>
      <c r="I1793" s="4">
        <f t="shared" si="113"/>
        <v>48.805555555554449</v>
      </c>
    </row>
    <row r="1794" spans="1:9" x14ac:dyDescent="0.2">
      <c r="A1794" s="11">
        <v>175.799999999996</v>
      </c>
      <c r="B1794" s="15">
        <v>3.133</v>
      </c>
      <c r="C1794" s="11">
        <f t="shared" si="110"/>
        <v>22781.911134772268</v>
      </c>
      <c r="D1794" s="11">
        <f t="shared" si="111"/>
        <v>-105252.32064360751</v>
      </c>
      <c r="E1794" s="11">
        <f t="shared" si="112"/>
        <v>-161650.32180759206</v>
      </c>
      <c r="F1794" s="11">
        <f>Speed_Calc!B$5*E1794</f>
        <v>-145485.28962683285</v>
      </c>
      <c r="G1794" s="15">
        <f>Speed_Calc!G$3+Speed_Calc!G$5*A1794^2</f>
        <v>143.93161639999437</v>
      </c>
      <c r="H1794" s="7">
        <f>(F1794-G1794)/Speed_Calc!G$2*9.806</f>
        <v>-1057.8075137119563</v>
      </c>
      <c r="I1794" s="4">
        <f t="shared" si="113"/>
        <v>48.83333333333222</v>
      </c>
    </row>
    <row r="1795" spans="1:9" x14ac:dyDescent="0.2">
      <c r="A1795" s="11">
        <v>175.899999999996</v>
      </c>
      <c r="B1795" s="15">
        <v>3.133</v>
      </c>
      <c r="C1795" s="11">
        <f t="shared" si="110"/>
        <v>22794.870128591818</v>
      </c>
      <c r="D1795" s="11">
        <f t="shared" si="111"/>
        <v>-105625.2831347539</v>
      </c>
      <c r="E1795" s="11">
        <f t="shared" si="112"/>
        <v>-162130.90646039916</v>
      </c>
      <c r="F1795" s="11">
        <f>Speed_Calc!B$5*E1795</f>
        <v>-145917.81581435926</v>
      </c>
      <c r="G1795" s="15">
        <f>Speed_Calc!G$3+Speed_Calc!G$5*A1795^2</f>
        <v>144.07264809999435</v>
      </c>
      <c r="H1795" s="7">
        <f>(F1795-G1795)/Speed_Calc!G$2*9.806</f>
        <v>-1060.9502801947226</v>
      </c>
      <c r="I1795" s="4">
        <f t="shared" si="113"/>
        <v>48.861111111109999</v>
      </c>
    </row>
    <row r="1796" spans="1:9" x14ac:dyDescent="0.2">
      <c r="A1796" s="11">
        <v>175.99999999999599</v>
      </c>
      <c r="B1796" s="15">
        <v>3.133</v>
      </c>
      <c r="C1796" s="11">
        <f t="shared" si="110"/>
        <v>22807.829122411378</v>
      </c>
      <c r="D1796" s="11">
        <f t="shared" si="111"/>
        <v>-105999.29006520261</v>
      </c>
      <c r="E1796" s="11">
        <f t="shared" si="112"/>
        <v>-162612.54725912132</v>
      </c>
      <c r="F1796" s="11">
        <f>Speed_Calc!B$5*E1796</f>
        <v>-146351.2925332092</v>
      </c>
      <c r="G1796" s="15">
        <f>Speed_Calc!G$3+Speed_Calc!G$5*A1796^2</f>
        <v>144.21375999999432</v>
      </c>
      <c r="H1796" s="7">
        <f>(F1796-G1796)/Speed_Calc!G$2*9.806</f>
        <v>-1064.0999516379327</v>
      </c>
      <c r="I1796" s="4">
        <f t="shared" si="113"/>
        <v>48.888888888887777</v>
      </c>
    </row>
    <row r="1797" spans="1:9" x14ac:dyDescent="0.2">
      <c r="A1797" s="11">
        <v>176.09999999999599</v>
      </c>
      <c r="B1797" s="15">
        <v>3.133</v>
      </c>
      <c r="C1797" s="11">
        <f t="shared" si="110"/>
        <v>22820.78811623092</v>
      </c>
      <c r="D1797" s="11">
        <f t="shared" si="111"/>
        <v>-106374.34361024629</v>
      </c>
      <c r="E1797" s="11">
        <f t="shared" si="112"/>
        <v>-163095.245739734</v>
      </c>
      <c r="F1797" s="11">
        <f>Speed_Calc!B$5*E1797</f>
        <v>-146785.72116576059</v>
      </c>
      <c r="G1797" s="15">
        <f>Speed_Calc!G$3+Speed_Calc!G$5*A1797^2</f>
        <v>144.35495209999431</v>
      </c>
      <c r="H1797" s="7">
        <f>(F1797-G1797)/Speed_Calc!G$2*9.806</f>
        <v>-1067.2565380827709</v>
      </c>
      <c r="I1797" s="4">
        <f t="shared" si="113"/>
        <v>48.916666666665549</v>
      </c>
    </row>
    <row r="1798" spans="1:9" x14ac:dyDescent="0.2">
      <c r="A1798" s="11">
        <v>176.19999999999601</v>
      </c>
      <c r="B1798" s="15">
        <v>3.133</v>
      </c>
      <c r="C1798" s="11">
        <f t="shared" si="110"/>
        <v>22833.747110050477</v>
      </c>
      <c r="D1798" s="11">
        <f t="shared" si="111"/>
        <v>-106750.4459481793</v>
      </c>
      <c r="E1798" s="11">
        <f t="shared" si="112"/>
        <v>-163579.00343932502</v>
      </c>
      <c r="F1798" s="11">
        <f>Speed_Calc!B$5*E1798</f>
        <v>-147221.10309539252</v>
      </c>
      <c r="G1798" s="15">
        <f>Speed_Calc!G$3+Speed_Calc!G$5*A1798^2</f>
        <v>144.49622439999433</v>
      </c>
      <c r="H1798" s="7">
        <f>(F1798-G1798)/Speed_Calc!G$2*9.806</f>
        <v>-1070.4200495776929</v>
      </c>
      <c r="I1798" s="4">
        <f t="shared" si="113"/>
        <v>48.944444444443334</v>
      </c>
    </row>
    <row r="1799" spans="1:9" x14ac:dyDescent="0.2">
      <c r="A1799" s="11">
        <v>176.299999999996</v>
      </c>
      <c r="B1799" s="15">
        <v>3.133</v>
      </c>
      <c r="C1799" s="11">
        <f t="shared" si="110"/>
        <v>22846.706103870034</v>
      </c>
      <c r="D1799" s="11">
        <f t="shared" si="111"/>
        <v>-107127.5992602964</v>
      </c>
      <c r="E1799" s="11">
        <f t="shared" si="112"/>
        <v>-164063.82189609006</v>
      </c>
      <c r="F1799" s="11">
        <f>Speed_Calc!B$5*E1799</f>
        <v>-147657.43970648106</v>
      </c>
      <c r="G1799" s="15">
        <f>Speed_Calc!G$3+Speed_Calc!G$5*A1799^2</f>
        <v>144.63757689999434</v>
      </c>
      <c r="H1799" s="7">
        <f>(F1799-G1799)/Speed_Calc!G$2*9.806</f>
        <v>-1073.5904961783958</v>
      </c>
      <c r="I1799" s="4">
        <f t="shared" si="113"/>
        <v>48.972222222221113</v>
      </c>
    </row>
    <row r="1800" spans="1:9" x14ac:dyDescent="0.2">
      <c r="A1800" s="11">
        <v>176.399999999996</v>
      </c>
      <c r="B1800" s="15">
        <v>3.133</v>
      </c>
      <c r="C1800" s="11">
        <f t="shared" si="110"/>
        <v>22859.665097689576</v>
      </c>
      <c r="D1800" s="11">
        <f t="shared" si="111"/>
        <v>-107505.80573089646</v>
      </c>
      <c r="E1800" s="11">
        <f t="shared" si="112"/>
        <v>-164549.70264933509</v>
      </c>
      <c r="F1800" s="11">
        <f>Speed_Calc!B$5*E1800</f>
        <v>-148094.73238440158</v>
      </c>
      <c r="G1800" s="15">
        <f>Speed_Calc!G$3+Speed_Calc!G$5*A1800^2</f>
        <v>144.77900959999431</v>
      </c>
      <c r="H1800" s="7">
        <f>(F1800-G1800)/Speed_Calc!G$2*9.806</f>
        <v>-1076.7678879478365</v>
      </c>
      <c r="I1800" s="4">
        <f t="shared" si="113"/>
        <v>48.999999999998884</v>
      </c>
    </row>
    <row r="1801" spans="1:9" x14ac:dyDescent="0.2">
      <c r="A1801" s="11">
        <v>176.49999999999599</v>
      </c>
      <c r="B1801" s="15">
        <v>3.133</v>
      </c>
      <c r="C1801" s="11">
        <f t="shared" si="110"/>
        <v>22872.624091509133</v>
      </c>
      <c r="D1801" s="11">
        <f t="shared" si="111"/>
        <v>-107885.06754728583</v>
      </c>
      <c r="E1801" s="11">
        <f t="shared" si="112"/>
        <v>-165036.64723947784</v>
      </c>
      <c r="F1801" s="11">
        <f>Speed_Calc!B$5*E1801</f>
        <v>-148532.98251553005</v>
      </c>
      <c r="G1801" s="15">
        <f>Speed_Calc!G$3+Speed_Calc!G$5*A1801^2</f>
        <v>144.92052249999432</v>
      </c>
      <c r="H1801" s="7">
        <f>(F1801-G1801)/Speed_Calc!G$2*9.806</f>
        <v>-1079.952234956239</v>
      </c>
      <c r="I1801" s="4">
        <f t="shared" si="113"/>
        <v>49.027777777776663</v>
      </c>
    </row>
    <row r="1802" spans="1:9" x14ac:dyDescent="0.2">
      <c r="A1802" s="11">
        <v>176.59999999999599</v>
      </c>
      <c r="B1802" s="15">
        <v>3.133</v>
      </c>
      <c r="C1802" s="11">
        <f t="shared" si="110"/>
        <v>22885.583085328683</v>
      </c>
      <c r="D1802" s="11">
        <f t="shared" si="111"/>
        <v>-108265.38689977722</v>
      </c>
      <c r="E1802" s="11">
        <f t="shared" si="112"/>
        <v>-165524.6572080437</v>
      </c>
      <c r="F1802" s="11">
        <f>Speed_Calc!B$5*E1802</f>
        <v>-148972.19148723932</v>
      </c>
      <c r="G1802" s="15">
        <f>Speed_Calc!G$3+Speed_Calc!G$5*A1802^2</f>
        <v>145.06211559999429</v>
      </c>
      <c r="H1802" s="7">
        <f>(F1802-G1802)/Speed_Calc!G$2*9.806</f>
        <v>-1083.1435472810683</v>
      </c>
      <c r="I1802" s="4">
        <f t="shared" si="113"/>
        <v>49.055555555554442</v>
      </c>
    </row>
    <row r="1803" spans="1:9" x14ac:dyDescent="0.2">
      <c r="A1803" s="11">
        <v>176.69999999999601</v>
      </c>
      <c r="B1803" s="15">
        <v>3.133</v>
      </c>
      <c r="C1803" s="11">
        <f t="shared" si="110"/>
        <v>22898.542079148236</v>
      </c>
      <c r="D1803" s="11">
        <f t="shared" si="111"/>
        <v>-108646.76598169483</v>
      </c>
      <c r="E1803" s="11">
        <f t="shared" si="112"/>
        <v>-166013.73409766989</v>
      </c>
      <c r="F1803" s="11">
        <f>Speed_Calc!B$5*E1803</f>
        <v>-149412.3606879029</v>
      </c>
      <c r="G1803" s="15">
        <f>Speed_Calc!G$3+Speed_Calc!G$5*A1803^2</f>
        <v>145.20378889999432</v>
      </c>
      <c r="H1803" s="7">
        <f>(F1803-G1803)/Speed_Calc!G$2*9.806</f>
        <v>-1086.3418350070585</v>
      </c>
      <c r="I1803" s="4">
        <f t="shared" si="113"/>
        <v>49.08333333333222</v>
      </c>
    </row>
    <row r="1804" spans="1:9" x14ac:dyDescent="0.2">
      <c r="A1804" s="11">
        <v>176.799999999996</v>
      </c>
      <c r="B1804" s="15">
        <v>3.133</v>
      </c>
      <c r="C1804" s="11">
        <f t="shared" si="110"/>
        <v>22911.501072967789</v>
      </c>
      <c r="D1804" s="11">
        <f t="shared" si="111"/>
        <v>-109029.20698937424</v>
      </c>
      <c r="E1804" s="11">
        <f t="shared" si="112"/>
        <v>-166503.87945210247</v>
      </c>
      <c r="F1804" s="11">
        <f>Speed_Calc!B$5*E1804</f>
        <v>-149853.49150689223</v>
      </c>
      <c r="G1804" s="15">
        <f>Speed_Calc!G$3+Speed_Calc!G$5*A1804^2</f>
        <v>145.34554239999432</v>
      </c>
      <c r="H1804" s="7">
        <f>(F1804-G1804)/Speed_Calc!G$2*9.806</f>
        <v>-1089.5471082261922</v>
      </c>
      <c r="I1804" s="4">
        <f t="shared" si="113"/>
        <v>49.111111111109999</v>
      </c>
    </row>
    <row r="1805" spans="1:9" x14ac:dyDescent="0.2">
      <c r="A1805" s="11">
        <v>176.899999999996</v>
      </c>
      <c r="B1805" s="15">
        <v>3.133</v>
      </c>
      <c r="C1805" s="11">
        <f t="shared" si="110"/>
        <v>22924.460066787349</v>
      </c>
      <c r="D1805" s="11">
        <f t="shared" si="111"/>
        <v>-109412.71212216599</v>
      </c>
      <c r="E1805" s="11">
        <f t="shared" si="112"/>
        <v>-166995.09481619831</v>
      </c>
      <c r="F1805" s="11">
        <f>Speed_Calc!B$5*E1805</f>
        <v>-150295.58533457847</v>
      </c>
      <c r="G1805" s="15">
        <f>Speed_Calc!G$3+Speed_Calc!G$5*A1805^2</f>
        <v>145.48737609999432</v>
      </c>
      <c r="H1805" s="7">
        <f>(F1805-G1805)/Speed_Calc!G$2*9.806</f>
        <v>-1092.7593770377134</v>
      </c>
      <c r="I1805" s="4">
        <f t="shared" si="113"/>
        <v>49.138888888887777</v>
      </c>
    </row>
    <row r="1806" spans="1:9" x14ac:dyDescent="0.2">
      <c r="A1806" s="11">
        <v>176.99999999999599</v>
      </c>
      <c r="B1806" s="15">
        <v>3.133</v>
      </c>
      <c r="C1806" s="11">
        <f t="shared" si="110"/>
        <v>22937.419060606895</v>
      </c>
      <c r="D1806" s="11">
        <f t="shared" si="111"/>
        <v>-109797.28358243605</v>
      </c>
      <c r="E1806" s="11">
        <f t="shared" si="112"/>
        <v>-167487.38173592318</v>
      </c>
      <c r="F1806" s="11">
        <f>Speed_Calc!B$5*E1806</f>
        <v>-150738.64356233086</v>
      </c>
      <c r="G1806" s="15">
        <f>Speed_Calc!G$3+Speed_Calc!G$5*A1806^2</f>
        <v>145.62928999999428</v>
      </c>
      <c r="H1806" s="7">
        <f>(F1806-G1806)/Speed_Calc!G$2*9.806</f>
        <v>-1095.9786515481157</v>
      </c>
      <c r="I1806" s="4">
        <f t="shared" si="113"/>
        <v>49.166666666665549</v>
      </c>
    </row>
    <row r="1807" spans="1:9" x14ac:dyDescent="0.2">
      <c r="A1807" s="11">
        <v>177.09999999999599</v>
      </c>
      <c r="B1807" s="15">
        <v>3.133</v>
      </c>
      <c r="C1807" s="11">
        <f t="shared" ref="C1807:C1870" si="114">A1807/3.6/B$23/2/PI()*B$32*B$31*B1807*60</f>
        <v>22950.378054426448</v>
      </c>
      <c r="D1807" s="11">
        <f t="shared" ref="D1807:D1870" si="115">-4.687*10^(-17)*C1807^5+9.129*10^(-13)*C1807^4-6.175*10^(-9)*C1807^3+1.799*10^(-5)*C1807^2+6.502*10^(-3)*C1807</f>
        <v>-110182.92357556995</v>
      </c>
      <c r="E1807" s="11">
        <f t="shared" ref="E1807:E1870" si="116">D1807*75*B1807*B$31*B$32/B$23/C1807/2/PI()*60</f>
        <v>-167980.74175835439</v>
      </c>
      <c r="F1807" s="11">
        <f>Speed_Calc!B$5*E1807</f>
        <v>-151182.66758251894</v>
      </c>
      <c r="G1807" s="15">
        <f>Speed_Calc!G$3+Speed_Calc!G$5*A1807^2</f>
        <v>145.77128409999429</v>
      </c>
      <c r="H1807" s="7">
        <f>(F1807-G1807)/Speed_Calc!G$2*9.806</f>
        <v>-1099.2049418711592</v>
      </c>
      <c r="I1807" s="4">
        <f t="shared" ref="I1807:I1870" si="117">A1807/3.6</f>
        <v>49.194444444443327</v>
      </c>
    </row>
    <row r="1808" spans="1:9" x14ac:dyDescent="0.2">
      <c r="A1808" s="11">
        <v>177.19999999999601</v>
      </c>
      <c r="B1808" s="15">
        <v>3.133</v>
      </c>
      <c r="C1808" s="11">
        <f t="shared" si="114"/>
        <v>22963.337048246005</v>
      </c>
      <c r="D1808" s="11">
        <f t="shared" si="115"/>
        <v>-110569.63430997304</v>
      </c>
      <c r="E1808" s="11">
        <f t="shared" si="116"/>
        <v>-168475.17643167826</v>
      </c>
      <c r="F1808" s="11">
        <f>Speed_Calc!B$5*E1808</f>
        <v>-151627.65878851045</v>
      </c>
      <c r="G1808" s="15">
        <f>Speed_Calc!G$3+Speed_Calc!G$5*A1808^2</f>
        <v>145.91335839999431</v>
      </c>
      <c r="H1808" s="7">
        <f>(F1808-G1808)/Speed_Calc!G$2*9.806</f>
        <v>-1102.4382581278546</v>
      </c>
      <c r="I1808" s="4">
        <f t="shared" si="117"/>
        <v>49.222222222221113</v>
      </c>
    </row>
    <row r="1809" spans="1:9" x14ac:dyDescent="0.2">
      <c r="A1809" s="11">
        <v>177.299999999996</v>
      </c>
      <c r="B1809" s="15">
        <v>3.133</v>
      </c>
      <c r="C1809" s="11">
        <f t="shared" si="114"/>
        <v>22976.296042065555</v>
      </c>
      <c r="D1809" s="11">
        <f t="shared" si="115"/>
        <v>-110957.41799707293</v>
      </c>
      <c r="E1809" s="11">
        <f t="shared" si="116"/>
        <v>-168970.68730519101</v>
      </c>
      <c r="F1809" s="11">
        <f>Speed_Calc!B$5*E1809</f>
        <v>-152073.61857467191</v>
      </c>
      <c r="G1809" s="15">
        <f>Speed_Calc!G$3+Speed_Calc!G$5*A1809^2</f>
        <v>146.05551289999431</v>
      </c>
      <c r="H1809" s="7">
        <f>(F1809-G1809)/Speed_Calc!G$2*9.806</f>
        <v>-1105.6786104464666</v>
      </c>
      <c r="I1809" s="4">
        <f t="shared" si="117"/>
        <v>49.249999999998892</v>
      </c>
    </row>
    <row r="1810" spans="1:9" x14ac:dyDescent="0.2">
      <c r="A1810" s="11">
        <v>177.399999999996</v>
      </c>
      <c r="B1810" s="15">
        <v>3.133</v>
      </c>
      <c r="C1810" s="11">
        <f t="shared" si="114"/>
        <v>22989.255035885104</v>
      </c>
      <c r="D1810" s="11">
        <f t="shared" si="115"/>
        <v>-111346.27685132239</v>
      </c>
      <c r="E1810" s="11">
        <f t="shared" si="116"/>
        <v>-169467.27592929947</v>
      </c>
      <c r="F1810" s="11">
        <f>Speed_Calc!B$5*E1810</f>
        <v>-152520.54833636954</v>
      </c>
      <c r="G1810" s="15">
        <f>Speed_Calc!G$3+Speed_Calc!G$5*A1810^2</f>
        <v>146.1977475999943</v>
      </c>
      <c r="H1810" s="7">
        <f>(F1810-G1810)/Speed_Calc!G$2*9.806</f>
        <v>-1108.9260089625225</v>
      </c>
      <c r="I1810" s="4">
        <f t="shared" si="117"/>
        <v>49.277777777776663</v>
      </c>
    </row>
    <row r="1811" spans="1:9" x14ac:dyDescent="0.2">
      <c r="A1811" s="11">
        <v>177.49999999999599</v>
      </c>
      <c r="B1811" s="15">
        <v>3.133</v>
      </c>
      <c r="C1811" s="11">
        <f t="shared" si="114"/>
        <v>23002.214029704654</v>
      </c>
      <c r="D1811" s="11">
        <f t="shared" si="115"/>
        <v>-111736.21309020041</v>
      </c>
      <c r="E1811" s="11">
        <f t="shared" si="116"/>
        <v>-169964.94385551999</v>
      </c>
      <c r="F1811" s="11">
        <f>Speed_Calc!B$5*E1811</f>
        <v>-152968.44946996801</v>
      </c>
      <c r="G1811" s="15">
        <f>Speed_Calc!G$3+Speed_Calc!G$5*A1811^2</f>
        <v>146.3400624999943</v>
      </c>
      <c r="H1811" s="7">
        <f>(F1811-G1811)/Speed_Calc!G$2*9.806</f>
        <v>-1112.1804638188009</v>
      </c>
      <c r="I1811" s="4">
        <f t="shared" si="117"/>
        <v>49.305555555554442</v>
      </c>
    </row>
    <row r="1812" spans="1:9" x14ac:dyDescent="0.2">
      <c r="A1812" s="11">
        <v>177.59999999999599</v>
      </c>
      <c r="B1812" s="15">
        <v>3.133</v>
      </c>
      <c r="C1812" s="11">
        <f t="shared" si="114"/>
        <v>23015.173023524203</v>
      </c>
      <c r="D1812" s="11">
        <f t="shared" si="115"/>
        <v>-112127.22893421502</v>
      </c>
      <c r="E1812" s="11">
        <f t="shared" si="116"/>
        <v>-170463.69263647942</v>
      </c>
      <c r="F1812" s="11">
        <f>Speed_Calc!B$5*E1812</f>
        <v>-153417.32337283148</v>
      </c>
      <c r="G1812" s="15">
        <f>Speed_Calc!G$3+Speed_Calc!G$5*A1812^2</f>
        <v>146.48245759999429</v>
      </c>
      <c r="H1812" s="7">
        <f>(F1812-G1812)/Speed_Calc!G$2*9.806</f>
        <v>-1115.4419851653413</v>
      </c>
      <c r="I1812" s="4">
        <f t="shared" si="117"/>
        <v>49.33333333333222</v>
      </c>
    </row>
    <row r="1813" spans="1:9" x14ac:dyDescent="0.2">
      <c r="A1813" s="11">
        <v>177.69999999999601</v>
      </c>
      <c r="B1813" s="15">
        <v>3.133</v>
      </c>
      <c r="C1813" s="11">
        <f t="shared" si="114"/>
        <v>23028.132017343753</v>
      </c>
      <c r="D1813" s="11">
        <f t="shared" si="115"/>
        <v>-112519.32660690462</v>
      </c>
      <c r="E1813" s="11">
        <f t="shared" si="116"/>
        <v>-170963.5238259141</v>
      </c>
      <c r="F1813" s="11">
        <f>Speed_Calc!B$5*E1813</f>
        <v>-153867.1714433227</v>
      </c>
      <c r="G1813" s="15">
        <f>Speed_Calc!G$3+Speed_Calc!G$5*A1813^2</f>
        <v>146.62493289999429</v>
      </c>
      <c r="H1813" s="7">
        <f>(F1813-G1813)/Speed_Calc!G$2*9.806</f>
        <v>-1118.7105831594367</v>
      </c>
      <c r="I1813" s="4">
        <f t="shared" si="117"/>
        <v>49.361111111109999</v>
      </c>
    </row>
    <row r="1814" spans="1:9" x14ac:dyDescent="0.2">
      <c r="A1814" s="11">
        <v>177.799999999996</v>
      </c>
      <c r="B1814" s="15">
        <v>3.133</v>
      </c>
      <c r="C1814" s="11">
        <f t="shared" si="114"/>
        <v>23041.091011163313</v>
      </c>
      <c r="D1814" s="11">
        <f t="shared" si="115"/>
        <v>-112912.50833484103</v>
      </c>
      <c r="E1814" s="11">
        <f t="shared" si="116"/>
        <v>-171464.43897867133</v>
      </c>
      <c r="F1814" s="11">
        <f>Speed_Calc!B$5*E1814</f>
        <v>-154317.99508080419</v>
      </c>
      <c r="G1814" s="15">
        <f>Speed_Calc!G$3+Speed_Calc!G$5*A1814^2</f>
        <v>146.76748839999431</v>
      </c>
      <c r="H1814" s="7">
        <f>(F1814-G1814)/Speed_Calc!G$2*9.806</f>
        <v>-1121.9862679656414</v>
      </c>
      <c r="I1814" s="4">
        <f t="shared" si="117"/>
        <v>49.388888888887777</v>
      </c>
    </row>
    <row r="1815" spans="1:9" x14ac:dyDescent="0.2">
      <c r="A1815" s="11">
        <v>177.899999999996</v>
      </c>
      <c r="B1815" s="15">
        <v>3.133</v>
      </c>
      <c r="C1815" s="11">
        <f t="shared" si="114"/>
        <v>23054.050004982862</v>
      </c>
      <c r="D1815" s="11">
        <f t="shared" si="115"/>
        <v>-113306.77634762958</v>
      </c>
      <c r="E1815" s="11">
        <f t="shared" si="116"/>
        <v>-171966.43965070642</v>
      </c>
      <c r="F1815" s="11">
        <f>Speed_Calc!B$5*E1815</f>
        <v>-154769.79568563579</v>
      </c>
      <c r="G1815" s="15">
        <f>Speed_Calc!G$3+Speed_Calc!G$5*A1815^2</f>
        <v>146.91012409999428</v>
      </c>
      <c r="H1815" s="7">
        <f>(F1815-G1815)/Speed_Calc!G$2*9.806</f>
        <v>-1125.2690497557548</v>
      </c>
      <c r="I1815" s="4">
        <f t="shared" si="117"/>
        <v>49.416666666665556</v>
      </c>
    </row>
    <row r="1816" spans="1:9" x14ac:dyDescent="0.2">
      <c r="A1816" s="11">
        <v>177.99999999999599</v>
      </c>
      <c r="B1816" s="15">
        <v>3.133</v>
      </c>
      <c r="C1816" s="11">
        <f t="shared" si="114"/>
        <v>23067.008998802419</v>
      </c>
      <c r="D1816" s="11">
        <f t="shared" si="115"/>
        <v>-113702.13287791413</v>
      </c>
      <c r="E1816" s="11">
        <f t="shared" si="116"/>
        <v>-172469.52739908709</v>
      </c>
      <c r="F1816" s="11">
        <f>Speed_Calc!B$5*E1816</f>
        <v>-155222.57465917838</v>
      </c>
      <c r="G1816" s="15">
        <f>Speed_Calc!G$3+Speed_Calc!G$5*A1816^2</f>
        <v>147.05283999999426</v>
      </c>
      <c r="H1816" s="7">
        <f>(F1816-G1816)/Speed_Calc!G$2*9.806</f>
        <v>-1128.5589387088467</v>
      </c>
      <c r="I1816" s="4">
        <f t="shared" si="117"/>
        <v>49.444444444443327</v>
      </c>
    </row>
    <row r="1817" spans="1:9" x14ac:dyDescent="0.2">
      <c r="A1817" s="11">
        <v>178.09999999999599</v>
      </c>
      <c r="B1817" s="15">
        <v>3.133</v>
      </c>
      <c r="C1817" s="11">
        <f t="shared" si="114"/>
        <v>23079.967992621969</v>
      </c>
      <c r="D1817" s="11">
        <f t="shared" si="115"/>
        <v>-114098.5801613762</v>
      </c>
      <c r="E1817" s="11">
        <f t="shared" si="116"/>
        <v>-172973.70378198908</v>
      </c>
      <c r="F1817" s="11">
        <f>Speed_Calc!B$5*E1817</f>
        <v>-155676.33340379017</v>
      </c>
      <c r="G1817" s="15">
        <f>Speed_Calc!G$3+Speed_Calc!G$5*A1817^2</f>
        <v>147.19563609999426</v>
      </c>
      <c r="H1817" s="7">
        <f>(F1817-G1817)/Speed_Calc!G$2*9.806</f>
        <v>-1131.8559450112318</v>
      </c>
      <c r="I1817" s="4">
        <f t="shared" si="117"/>
        <v>49.472222222221106</v>
      </c>
    </row>
    <row r="1818" spans="1:9" x14ac:dyDescent="0.2">
      <c r="A1818" s="11">
        <v>178.19999999999601</v>
      </c>
      <c r="B1818" s="15">
        <v>3.133</v>
      </c>
      <c r="C1818" s="11">
        <f t="shared" si="114"/>
        <v>23092.926986441526</v>
      </c>
      <c r="D1818" s="11">
        <f t="shared" si="115"/>
        <v>-114496.12043673937</v>
      </c>
      <c r="E1818" s="11">
        <f t="shared" si="116"/>
        <v>-173478.97035869988</v>
      </c>
      <c r="F1818" s="11">
        <f>Speed_Calc!B$5*E1818</f>
        <v>-156131.07332282991</v>
      </c>
      <c r="G1818" s="15">
        <f>Speed_Calc!G$3+Speed_Calc!G$5*A1818^2</f>
        <v>147.33851239999427</v>
      </c>
      <c r="H1818" s="7">
        <f>(F1818-G1818)/Speed_Calc!G$2*9.806</f>
        <v>-1135.160078856492</v>
      </c>
      <c r="I1818" s="4">
        <f t="shared" si="117"/>
        <v>49.499999999998892</v>
      </c>
    </row>
    <row r="1819" spans="1:9" x14ac:dyDescent="0.2">
      <c r="A1819" s="11">
        <v>178.299999999996</v>
      </c>
      <c r="B1819" s="15">
        <v>3.133</v>
      </c>
      <c r="C1819" s="11">
        <f t="shared" si="114"/>
        <v>23105.885980261075</v>
      </c>
      <c r="D1819" s="11">
        <f t="shared" si="115"/>
        <v>-114894.75594576936</v>
      </c>
      <c r="E1819" s="11">
        <f t="shared" si="116"/>
        <v>-173985.32868961536</v>
      </c>
      <c r="F1819" s="11">
        <f>Speed_Calc!B$5*E1819</f>
        <v>-156586.79582065382</v>
      </c>
      <c r="G1819" s="15">
        <f>Speed_Calc!G$3+Speed_Calc!G$5*A1819^2</f>
        <v>147.48146889999427</v>
      </c>
      <c r="H1819" s="7">
        <f>(F1819-G1819)/Speed_Calc!G$2*9.806</f>
        <v>-1138.4713504454553</v>
      </c>
      <c r="I1819" s="4">
        <f t="shared" si="117"/>
        <v>49.527777777776663</v>
      </c>
    </row>
    <row r="1820" spans="1:9" x14ac:dyDescent="0.2">
      <c r="A1820" s="11">
        <v>178.399999999996</v>
      </c>
      <c r="B1820" s="15">
        <v>3.133</v>
      </c>
      <c r="C1820" s="11">
        <f t="shared" si="114"/>
        <v>23118.844974080625</v>
      </c>
      <c r="D1820" s="11">
        <f t="shared" si="115"/>
        <v>-115294.48893327752</v>
      </c>
      <c r="E1820" s="11">
        <f t="shared" si="116"/>
        <v>-174492.78033624234</v>
      </c>
      <c r="F1820" s="11">
        <f>Speed_Calc!B$5*E1820</f>
        <v>-157043.50230261812</v>
      </c>
      <c r="G1820" s="15">
        <f>Speed_Calc!G$3+Speed_Calc!G$5*A1820^2</f>
        <v>147.62450559999428</v>
      </c>
      <c r="H1820" s="7">
        <f>(F1820-G1820)/Speed_Calc!G$2*9.806</f>
        <v>-1141.7897699862124</v>
      </c>
      <c r="I1820" s="4">
        <f t="shared" si="117"/>
        <v>49.555555555554442</v>
      </c>
    </row>
    <row r="1821" spans="1:9" x14ac:dyDescent="0.2">
      <c r="A1821" s="11">
        <v>178.49999999999599</v>
      </c>
      <c r="B1821" s="15">
        <v>3.133</v>
      </c>
      <c r="C1821" s="11">
        <f t="shared" si="114"/>
        <v>23131.803967900174</v>
      </c>
      <c r="D1821" s="11">
        <f t="shared" si="115"/>
        <v>-115695.32164712252</v>
      </c>
      <c r="E1821" s="11">
        <f t="shared" si="116"/>
        <v>-175001.32686119768</v>
      </c>
      <c r="F1821" s="11">
        <f>Speed_Calc!B$5*E1821</f>
        <v>-157501.19417507792</v>
      </c>
      <c r="G1821" s="15">
        <f>Speed_Calc!G$3+Speed_Calc!G$5*A1821^2</f>
        <v>147.76762249999427</v>
      </c>
      <c r="H1821" s="7">
        <f>(F1821-G1821)/Speed_Calc!G$2*9.806</f>
        <v>-1145.1153476941104</v>
      </c>
      <c r="I1821" s="4">
        <f t="shared" si="117"/>
        <v>49.58333333333222</v>
      </c>
    </row>
    <row r="1822" spans="1:9" x14ac:dyDescent="0.2">
      <c r="A1822" s="11">
        <v>178.59999999999599</v>
      </c>
      <c r="B1822" s="15">
        <v>3.133</v>
      </c>
      <c r="C1822" s="11">
        <f t="shared" si="114"/>
        <v>23144.762961719724</v>
      </c>
      <c r="D1822" s="11">
        <f t="shared" si="115"/>
        <v>-116097.25633821193</v>
      </c>
      <c r="E1822" s="11">
        <f t="shared" si="116"/>
        <v>-175510.96982820786</v>
      </c>
      <c r="F1822" s="11">
        <f>Speed_Calc!B$5*E1822</f>
        <v>-157959.87284538709</v>
      </c>
      <c r="G1822" s="15">
        <f>Speed_Calc!G$3+Speed_Calc!G$5*A1822^2</f>
        <v>147.91081959999423</v>
      </c>
      <c r="H1822" s="7">
        <f>(F1822-G1822)/Speed_Calc!G$2*9.806</f>
        <v>-1148.4480937917504</v>
      </c>
      <c r="I1822" s="4">
        <f t="shared" si="117"/>
        <v>49.611111111109992</v>
      </c>
    </row>
    <row r="1823" spans="1:9" x14ac:dyDescent="0.2">
      <c r="A1823" s="11">
        <v>178.69999999999601</v>
      </c>
      <c r="B1823" s="15">
        <v>3.133</v>
      </c>
      <c r="C1823" s="11">
        <f t="shared" si="114"/>
        <v>23157.721955539284</v>
      </c>
      <c r="D1823" s="11">
        <f t="shared" si="115"/>
        <v>-116500.29526050505</v>
      </c>
      <c r="E1823" s="11">
        <f t="shared" si="116"/>
        <v>-176021.71080211009</v>
      </c>
      <c r="F1823" s="11">
        <f>Speed_Calc!B$5*E1823</f>
        <v>-158419.53972189908</v>
      </c>
      <c r="G1823" s="15">
        <f>Speed_Calc!G$3+Speed_Calc!G$5*A1823^2</f>
        <v>148.05409689999428</v>
      </c>
      <c r="H1823" s="7">
        <f>(F1823-G1823)/Speed_Calc!G$2*9.806</f>
        <v>-1151.7880185089953</v>
      </c>
      <c r="I1823" s="4">
        <f t="shared" si="117"/>
        <v>49.638888888887777</v>
      </c>
    </row>
    <row r="1824" spans="1:9" x14ac:dyDescent="0.2">
      <c r="A1824" s="11">
        <v>178.799999999996</v>
      </c>
      <c r="B1824" s="15">
        <v>3.133</v>
      </c>
      <c r="C1824" s="11">
        <f t="shared" si="114"/>
        <v>23170.680949358833</v>
      </c>
      <c r="D1824" s="11">
        <f t="shared" si="115"/>
        <v>-116904.44067101364</v>
      </c>
      <c r="E1824" s="11">
        <f t="shared" si="116"/>
        <v>-176533.55134885007</v>
      </c>
      <c r="F1824" s="11">
        <f>Speed_Calc!B$5*E1824</f>
        <v>-158880.19621396507</v>
      </c>
      <c r="G1824" s="15">
        <f>Speed_Calc!G$3+Speed_Calc!G$5*A1824^2</f>
        <v>148.19745439999426</v>
      </c>
      <c r="H1824" s="7">
        <f>(F1824-G1824)/Speed_Calc!G$2*9.806</f>
        <v>-1155.1351320829538</v>
      </c>
      <c r="I1824" s="4">
        <f t="shared" si="117"/>
        <v>49.666666666665556</v>
      </c>
    </row>
    <row r="1825" spans="1:9" x14ac:dyDescent="0.2">
      <c r="A1825" s="11">
        <v>178.899999999996</v>
      </c>
      <c r="B1825" s="15">
        <v>3.133</v>
      </c>
      <c r="C1825" s="11">
        <f t="shared" si="114"/>
        <v>23183.639943178383</v>
      </c>
      <c r="D1825" s="11">
        <f t="shared" si="115"/>
        <v>-117309.69482980581</v>
      </c>
      <c r="E1825" s="11">
        <f t="shared" si="116"/>
        <v>-177046.49303548512</v>
      </c>
      <c r="F1825" s="11">
        <f>Speed_Calc!B$5*E1825</f>
        <v>-159341.84373193662</v>
      </c>
      <c r="G1825" s="15">
        <f>Speed_Calc!G$3+Speed_Calc!G$5*A1825^2</f>
        <v>148.34089209999425</v>
      </c>
      <c r="H1825" s="7">
        <f>(F1825-G1825)/Speed_Calc!G$2*9.806</f>
        <v>-1158.4894447580023</v>
      </c>
      <c r="I1825" s="4">
        <f t="shared" si="117"/>
        <v>49.694444444443334</v>
      </c>
    </row>
    <row r="1826" spans="1:9" x14ac:dyDescent="0.2">
      <c r="A1826" s="11">
        <v>178.99999999999599</v>
      </c>
      <c r="B1826" s="15">
        <v>3.133</v>
      </c>
      <c r="C1826" s="11">
        <f t="shared" si="114"/>
        <v>23196.598936997936</v>
      </c>
      <c r="D1826" s="11">
        <f t="shared" si="115"/>
        <v>-117716.06000000668</v>
      </c>
      <c r="E1826" s="11">
        <f t="shared" si="116"/>
        <v>-177560.53743018166</v>
      </c>
      <c r="F1826" s="11">
        <f>Speed_Calc!B$5*E1826</f>
        <v>-159804.48368716351</v>
      </c>
      <c r="G1826" s="15">
        <f>Speed_Calc!G$3+Speed_Calc!G$5*A1826^2</f>
        <v>148.48440999999426</v>
      </c>
      <c r="H1826" s="7">
        <f>(F1826-G1826)/Speed_Calc!G$2*9.806</f>
        <v>-1161.8509667857668</v>
      </c>
      <c r="I1826" s="4">
        <f t="shared" si="117"/>
        <v>49.722222222221106</v>
      </c>
    </row>
    <row r="1827" spans="1:9" x14ac:dyDescent="0.2">
      <c r="A1827" s="11">
        <v>179.09999999999599</v>
      </c>
      <c r="B1827" s="15">
        <v>3.133</v>
      </c>
      <c r="C1827" s="11">
        <f t="shared" si="114"/>
        <v>23209.557930817489</v>
      </c>
      <c r="D1827" s="11">
        <f t="shared" si="115"/>
        <v>-118123.53844780105</v>
      </c>
      <c r="E1827" s="11">
        <f t="shared" si="116"/>
        <v>-178075.68610221666</v>
      </c>
      <c r="F1827" s="11">
        <f>Speed_Calc!B$5*E1827</f>
        <v>-160268.11749199498</v>
      </c>
      <c r="G1827" s="15">
        <f>Speed_Calc!G$3+Speed_Calc!G$5*A1827^2</f>
        <v>148.62800809999422</v>
      </c>
      <c r="H1827" s="7">
        <f>(F1827-G1827)/Speed_Calc!G$2*9.806</f>
        <v>-1165.2197084251343</v>
      </c>
      <c r="I1827" s="4">
        <f t="shared" si="117"/>
        <v>49.749999999998884</v>
      </c>
    </row>
    <row r="1828" spans="1:9" x14ac:dyDescent="0.2">
      <c r="A1828" s="11">
        <v>179.19999999999601</v>
      </c>
      <c r="B1828" s="15">
        <v>3.133</v>
      </c>
      <c r="C1828" s="11">
        <f t="shared" si="114"/>
        <v>23222.51692463705</v>
      </c>
      <c r="D1828" s="11">
        <f t="shared" si="115"/>
        <v>-118532.13244243534</v>
      </c>
      <c r="E1828" s="11">
        <f t="shared" si="116"/>
        <v>-178591.94062197683</v>
      </c>
      <c r="F1828" s="11">
        <f>Speed_Calc!B$5*E1828</f>
        <v>-160732.74655977916</v>
      </c>
      <c r="G1828" s="15">
        <f>Speed_Calc!G$3+Speed_Calc!G$5*A1828^2</f>
        <v>148.77168639999425</v>
      </c>
      <c r="H1828" s="7">
        <f>(F1828-G1828)/Speed_Calc!G$2*9.806</f>
        <v>-1168.5956799422463</v>
      </c>
      <c r="I1828" s="4">
        <f t="shared" si="117"/>
        <v>49.77777777777667</v>
      </c>
    </row>
    <row r="1829" spans="1:9" x14ac:dyDescent="0.2">
      <c r="A1829" s="11">
        <v>179.299999999996</v>
      </c>
      <c r="B1829" s="15">
        <v>3.133</v>
      </c>
      <c r="C1829" s="11">
        <f t="shared" si="114"/>
        <v>23235.475918456599</v>
      </c>
      <c r="D1829" s="11">
        <f t="shared" si="115"/>
        <v>-118941.84425621899</v>
      </c>
      <c r="E1829" s="11">
        <f t="shared" si="116"/>
        <v>-179109.3025609584</v>
      </c>
      <c r="F1829" s="11">
        <f>Speed_Calc!B$5*E1829</f>
        <v>-161198.37230486257</v>
      </c>
      <c r="G1829" s="15">
        <f>Speed_Calc!G$3+Speed_Calc!G$5*A1829^2</f>
        <v>148.91544489999424</v>
      </c>
      <c r="H1829" s="7">
        <f>(F1829-G1829)/Speed_Calc!G$2*9.806</f>
        <v>-1171.9788916104974</v>
      </c>
      <c r="I1829" s="4">
        <f t="shared" si="117"/>
        <v>49.805555555554442</v>
      </c>
    </row>
    <row r="1830" spans="1:9" x14ac:dyDescent="0.2">
      <c r="A1830" s="11">
        <v>179.399999999996</v>
      </c>
      <c r="B1830" s="15">
        <v>3.133</v>
      </c>
      <c r="C1830" s="11">
        <f t="shared" si="114"/>
        <v>23248.434912276149</v>
      </c>
      <c r="D1830" s="11">
        <f t="shared" si="115"/>
        <v>-119352.67616452789</v>
      </c>
      <c r="E1830" s="11">
        <f t="shared" si="116"/>
        <v>-179627.7734917684</v>
      </c>
      <c r="F1830" s="11">
        <f>Speed_Calc!B$5*E1830</f>
        <v>-161664.99614259155</v>
      </c>
      <c r="G1830" s="15">
        <f>Speed_Calc!G$3+Speed_Calc!G$5*A1830^2</f>
        <v>149.05928359999422</v>
      </c>
      <c r="H1830" s="7">
        <f>(F1830-G1830)/Speed_Calc!G$2*9.806</f>
        <v>-1175.3693537105437</v>
      </c>
      <c r="I1830" s="4">
        <f t="shared" si="117"/>
        <v>49.83333333333222</v>
      </c>
    </row>
    <row r="1831" spans="1:9" x14ac:dyDescent="0.2">
      <c r="A1831" s="11">
        <v>179.49999999999599</v>
      </c>
      <c r="B1831" s="15">
        <v>3.133</v>
      </c>
      <c r="C1831" s="11">
        <f t="shared" si="114"/>
        <v>23261.393906095698</v>
      </c>
      <c r="D1831" s="11">
        <f t="shared" si="115"/>
        <v>-119764.63044580533</v>
      </c>
      <c r="E1831" s="11">
        <f t="shared" si="116"/>
        <v>-180147.35498812349</v>
      </c>
      <c r="F1831" s="11">
        <f>Speed_Calc!B$5*E1831</f>
        <v>-162132.61948931115</v>
      </c>
      <c r="G1831" s="15">
        <f>Speed_Calc!G$3+Speed_Calc!G$5*A1831^2</f>
        <v>149.20320249999423</v>
      </c>
      <c r="H1831" s="7">
        <f>(F1831-G1831)/Speed_Calc!G$2*9.806</f>
        <v>-1178.7670765302964</v>
      </c>
      <c r="I1831" s="4">
        <f t="shared" si="117"/>
        <v>49.861111111109999</v>
      </c>
    </row>
    <row r="1832" spans="1:9" x14ac:dyDescent="0.2">
      <c r="A1832" s="11">
        <v>179.59999999999599</v>
      </c>
      <c r="B1832" s="15">
        <v>3.133</v>
      </c>
      <c r="C1832" s="11">
        <f t="shared" si="114"/>
        <v>23274.352899915251</v>
      </c>
      <c r="D1832" s="11">
        <f t="shared" si="115"/>
        <v>-120177.70938156469</v>
      </c>
      <c r="E1832" s="11">
        <f t="shared" si="116"/>
        <v>-180668.04862485075</v>
      </c>
      <c r="F1832" s="11">
        <f>Speed_Calc!B$5*E1832</f>
        <v>-162601.24376236569</v>
      </c>
      <c r="G1832" s="15">
        <f>Speed_Calc!G$3+Speed_Calc!G$5*A1832^2</f>
        <v>149.34720159999421</v>
      </c>
      <c r="H1832" s="7">
        <f>(F1832-G1832)/Speed_Calc!G$2*9.806</f>
        <v>-1182.1720703649241</v>
      </c>
      <c r="I1832" s="4">
        <f t="shared" si="117"/>
        <v>49.88888888888777</v>
      </c>
    </row>
    <row r="1833" spans="1:9" x14ac:dyDescent="0.2">
      <c r="A1833" s="11">
        <v>179.69999999999601</v>
      </c>
      <c r="B1833" s="15">
        <v>3.133</v>
      </c>
      <c r="C1833" s="11">
        <f t="shared" si="114"/>
        <v>23287.311893734804</v>
      </c>
      <c r="D1833" s="11">
        <f t="shared" si="115"/>
        <v>-120591.91525639065</v>
      </c>
      <c r="E1833" s="11">
        <f t="shared" si="116"/>
        <v>-181189.85597788644</v>
      </c>
      <c r="F1833" s="11">
        <f>Speed_Calc!B$5*E1833</f>
        <v>-163070.8703800978</v>
      </c>
      <c r="G1833" s="15">
        <f>Speed_Calc!G$3+Speed_Calc!G$5*A1833^2</f>
        <v>149.49128089999425</v>
      </c>
      <c r="H1833" s="7">
        <f>(F1833-G1833)/Speed_Calc!G$2*9.806</f>
        <v>-1185.5843455168474</v>
      </c>
      <c r="I1833" s="4">
        <f t="shared" si="117"/>
        <v>49.916666666665556</v>
      </c>
    </row>
    <row r="1834" spans="1:9" x14ac:dyDescent="0.2">
      <c r="A1834" s="11">
        <v>179.799999999996</v>
      </c>
      <c r="B1834" s="15">
        <v>3.133</v>
      </c>
      <c r="C1834" s="11">
        <f t="shared" si="114"/>
        <v>23300.270887554354</v>
      </c>
      <c r="D1834" s="11">
        <f t="shared" si="115"/>
        <v>-121007.25035794212</v>
      </c>
      <c r="E1834" s="11">
        <f t="shared" si="116"/>
        <v>-181712.7786242775</v>
      </c>
      <c r="F1834" s="11">
        <f>Speed_Calc!B$5*E1834</f>
        <v>-163541.50076184975</v>
      </c>
      <c r="G1834" s="15">
        <f>Speed_Calc!G$3+Speed_Calc!G$5*A1834^2</f>
        <v>149.63544039999422</v>
      </c>
      <c r="H1834" s="7">
        <f>(F1834-G1834)/Speed_Calc!G$2*9.806</f>
        <v>-1189.0039122957487</v>
      </c>
      <c r="I1834" s="4">
        <f t="shared" si="117"/>
        <v>49.944444444443334</v>
      </c>
    </row>
    <row r="1835" spans="1:9" x14ac:dyDescent="0.2">
      <c r="A1835" s="11">
        <v>179.899999999996</v>
      </c>
      <c r="B1835" s="15">
        <v>3.133</v>
      </c>
      <c r="C1835" s="11">
        <f t="shared" si="114"/>
        <v>23313.229881373903</v>
      </c>
      <c r="D1835" s="11">
        <f t="shared" si="115"/>
        <v>-121423.71697695409</v>
      </c>
      <c r="E1835" s="11">
        <f t="shared" si="116"/>
        <v>-182236.81814218091</v>
      </c>
      <c r="F1835" s="11">
        <f>Speed_Calc!B$5*E1835</f>
        <v>-164013.13632796283</v>
      </c>
      <c r="G1835" s="15">
        <f>Speed_Calc!G$3+Speed_Calc!G$5*A1835^2</f>
        <v>149.77968009999421</v>
      </c>
      <c r="H1835" s="7">
        <f>(F1835-G1835)/Speed_Calc!G$2*9.806</f>
        <v>-1192.430781018566</v>
      </c>
      <c r="I1835" s="4">
        <f t="shared" si="117"/>
        <v>49.972222222221106</v>
      </c>
    </row>
    <row r="1836" spans="1:9" x14ac:dyDescent="0.2">
      <c r="A1836" s="11">
        <v>179.99999999999599</v>
      </c>
      <c r="B1836" s="15">
        <v>3.133</v>
      </c>
      <c r="C1836" s="11">
        <f t="shared" si="114"/>
        <v>23326.188875193457</v>
      </c>
      <c r="D1836" s="11">
        <f t="shared" si="115"/>
        <v>-121841.31740723949</v>
      </c>
      <c r="E1836" s="11">
        <f t="shared" si="116"/>
        <v>-182761.97611086338</v>
      </c>
      <c r="F1836" s="11">
        <f>Speed_Calc!B$5*E1836</f>
        <v>-164485.77849977705</v>
      </c>
      <c r="G1836" s="15">
        <f>Speed_Calc!G$3+Speed_Calc!G$5*A1836^2</f>
        <v>149.92399999999421</v>
      </c>
      <c r="H1836" s="7">
        <f>(F1836-G1836)/Speed_Calc!G$2*9.806</f>
        <v>-1195.8649620094916</v>
      </c>
      <c r="I1836" s="4">
        <f t="shared" si="117"/>
        <v>49.999999999998884</v>
      </c>
    </row>
    <row r="1837" spans="1:9" x14ac:dyDescent="0.2">
      <c r="A1837" s="11">
        <v>180.09999999999599</v>
      </c>
      <c r="B1837" s="15">
        <v>3.133</v>
      </c>
      <c r="C1837" s="11">
        <f t="shared" si="114"/>
        <v>23339.147869013006</v>
      </c>
      <c r="D1837" s="11">
        <f t="shared" si="115"/>
        <v>-122260.05394569089</v>
      </c>
      <c r="E1837" s="11">
        <f t="shared" si="116"/>
        <v>-183288.25411070121</v>
      </c>
      <c r="F1837" s="11">
        <f>Speed_Calc!B$5*E1837</f>
        <v>-164959.4286996311</v>
      </c>
      <c r="G1837" s="15">
        <f>Speed_Calc!G$3+Speed_Calc!G$5*A1837^2</f>
        <v>150.06840009999419</v>
      </c>
      <c r="H1837" s="7">
        <f>(F1837-G1837)/Speed_Calc!G$2*9.806</f>
        <v>-1199.3064655999726</v>
      </c>
      <c r="I1837" s="4">
        <f t="shared" si="117"/>
        <v>50.027777777776663</v>
      </c>
    </row>
    <row r="1838" spans="1:9" x14ac:dyDescent="0.2">
      <c r="A1838" s="11">
        <v>180.19999999999601</v>
      </c>
      <c r="B1838" s="15">
        <v>3.133</v>
      </c>
      <c r="C1838" s="11">
        <f t="shared" si="114"/>
        <v>23352.106862832567</v>
      </c>
      <c r="D1838" s="11">
        <f t="shared" si="115"/>
        <v>-122679.92889228401</v>
      </c>
      <c r="E1838" s="11">
        <f t="shared" si="116"/>
        <v>-183815.65372318213</v>
      </c>
      <c r="F1838" s="11">
        <f>Speed_Calc!B$5*E1838</f>
        <v>-165434.08835086392</v>
      </c>
      <c r="G1838" s="15">
        <f>Speed_Calc!G$3+Speed_Calc!G$5*A1838^2</f>
        <v>150.21288039999422</v>
      </c>
      <c r="H1838" s="7">
        <f>(F1838-G1838)/Speed_Calc!G$2*9.806</f>
        <v>-1202.7553021287213</v>
      </c>
      <c r="I1838" s="4">
        <f t="shared" si="117"/>
        <v>50.055555555554449</v>
      </c>
    </row>
    <row r="1839" spans="1:9" x14ac:dyDescent="0.2">
      <c r="A1839" s="11">
        <v>180.299999999996</v>
      </c>
      <c r="B1839" s="15">
        <v>3.133</v>
      </c>
      <c r="C1839" s="11">
        <f t="shared" si="114"/>
        <v>23365.065856652116</v>
      </c>
      <c r="D1839" s="11">
        <f t="shared" si="115"/>
        <v>-123100.94455007727</v>
      </c>
      <c r="E1839" s="11">
        <f t="shared" si="116"/>
        <v>-184344.17653090187</v>
      </c>
      <c r="F1839" s="11">
        <f>Speed_Calc!B$5*E1839</f>
        <v>-165909.75887781169</v>
      </c>
      <c r="G1839" s="15">
        <f>Speed_Calc!G$3+Speed_Calc!G$5*A1839^2</f>
        <v>150.3574408999942</v>
      </c>
      <c r="H1839" s="7">
        <f>(F1839-G1839)/Speed_Calc!G$2*9.806</f>
        <v>-1206.2114819416938</v>
      </c>
      <c r="I1839" s="4">
        <f t="shared" si="117"/>
        <v>50.08333333333222</v>
      </c>
    </row>
    <row r="1840" spans="1:9" x14ac:dyDescent="0.2">
      <c r="A1840" s="11">
        <v>180.399999999996</v>
      </c>
      <c r="B1840" s="15">
        <v>3.133</v>
      </c>
      <c r="C1840" s="11">
        <f t="shared" si="114"/>
        <v>23378.024850471669</v>
      </c>
      <c r="D1840" s="11">
        <f t="shared" si="115"/>
        <v>-123523.10322521671</v>
      </c>
      <c r="E1840" s="11">
        <f t="shared" si="116"/>
        <v>-184873.82411756791</v>
      </c>
      <c r="F1840" s="11">
        <f>Speed_Calc!B$5*E1840</f>
        <v>-166386.44170581113</v>
      </c>
      <c r="G1840" s="15">
        <f>Speed_Calc!G$3+Speed_Calc!G$5*A1840^2</f>
        <v>150.5020815999942</v>
      </c>
      <c r="H1840" s="7">
        <f>(F1840-G1840)/Speed_Calc!G$2*9.806</f>
        <v>-1209.6750153921134</v>
      </c>
      <c r="I1840" s="4">
        <f t="shared" si="117"/>
        <v>50.111111111109999</v>
      </c>
    </row>
    <row r="1841" spans="1:9" x14ac:dyDescent="0.2">
      <c r="A1841" s="11">
        <v>180.49999999999599</v>
      </c>
      <c r="B1841" s="15">
        <v>3.133</v>
      </c>
      <c r="C1841" s="11">
        <f t="shared" si="114"/>
        <v>23390.983844291226</v>
      </c>
      <c r="D1841" s="11">
        <f t="shared" si="115"/>
        <v>-123946.40722693602</v>
      </c>
      <c r="E1841" s="11">
        <f t="shared" si="116"/>
        <v>-185404.59806799699</v>
      </c>
      <c r="F1841" s="11">
        <f>Speed_Calc!B$5*E1841</f>
        <v>-166864.13826119731</v>
      </c>
      <c r="G1841" s="15">
        <f>Speed_Calc!G$3+Speed_Calc!G$5*A1841^2</f>
        <v>150.64680249999418</v>
      </c>
      <c r="H1841" s="7">
        <f>(F1841-G1841)/Speed_Calc!G$2*9.806</f>
        <v>-1213.1459128404563</v>
      </c>
      <c r="I1841" s="4">
        <f t="shared" si="117"/>
        <v>50.138888888887777</v>
      </c>
    </row>
    <row r="1842" spans="1:9" x14ac:dyDescent="0.2">
      <c r="A1842" s="11">
        <v>180.59999999999599</v>
      </c>
      <c r="B1842" s="15">
        <v>3.133</v>
      </c>
      <c r="C1842" s="11">
        <f t="shared" si="114"/>
        <v>23403.942838110772</v>
      </c>
      <c r="D1842" s="11">
        <f t="shared" si="115"/>
        <v>-124370.85886755884</v>
      </c>
      <c r="E1842" s="11">
        <f t="shared" si="116"/>
        <v>-185936.49996811533</v>
      </c>
      <c r="F1842" s="11">
        <f>Speed_Calc!B$5*E1842</f>
        <v>-167342.8499713038</v>
      </c>
      <c r="G1842" s="15">
        <f>Speed_Calc!G$3+Speed_Calc!G$5*A1842^2</f>
        <v>150.79160359999418</v>
      </c>
      <c r="H1842" s="7">
        <f>(F1842-G1842)/Speed_Calc!G$2*9.806</f>
        <v>-1216.6241846544492</v>
      </c>
      <c r="I1842" s="4">
        <f t="shared" si="117"/>
        <v>50.166666666665549</v>
      </c>
    </row>
    <row r="1843" spans="1:9" x14ac:dyDescent="0.2">
      <c r="A1843" s="11">
        <v>180.69999999999601</v>
      </c>
      <c r="B1843" s="15">
        <v>3.133</v>
      </c>
      <c r="C1843" s="11">
        <f t="shared" si="114"/>
        <v>23416.901831930325</v>
      </c>
      <c r="D1843" s="11">
        <f t="shared" si="115"/>
        <v>-124796.46046250248</v>
      </c>
      <c r="E1843" s="11">
        <f t="shared" si="116"/>
        <v>-186469.53140496078</v>
      </c>
      <c r="F1843" s="11">
        <f>Speed_Calc!B$5*E1843</f>
        <v>-167822.57826446471</v>
      </c>
      <c r="G1843" s="15">
        <f>Speed_Calc!G$3+Speed_Calc!G$5*A1843^2</f>
        <v>150.93648489999421</v>
      </c>
      <c r="H1843" s="7">
        <f>(F1843-G1843)/Speed_Calc!G$2*9.806</f>
        <v>-1220.1098412090889</v>
      </c>
      <c r="I1843" s="4">
        <f t="shared" si="117"/>
        <v>50.194444444443334</v>
      </c>
    </row>
    <row r="1844" spans="1:9" x14ac:dyDescent="0.2">
      <c r="A1844" s="11">
        <v>180.799999999996</v>
      </c>
      <c r="B1844" s="15">
        <v>3.133</v>
      </c>
      <c r="C1844" s="11">
        <f t="shared" si="114"/>
        <v>23429.860825749885</v>
      </c>
      <c r="D1844" s="11">
        <f t="shared" si="115"/>
        <v>-125223.21433027765</v>
      </c>
      <c r="E1844" s="11">
        <f t="shared" si="116"/>
        <v>-187003.69396667977</v>
      </c>
      <c r="F1844" s="11">
        <f>Speed_Calc!B$5*E1844</f>
        <v>-168303.32457001178</v>
      </c>
      <c r="G1844" s="15">
        <f>Speed_Calc!G$3+Speed_Calc!G$5*A1844^2</f>
        <v>151.08144639999421</v>
      </c>
      <c r="H1844" s="7">
        <f>(F1844-G1844)/Speed_Calc!G$2*9.806</f>
        <v>-1223.6028928866176</v>
      </c>
      <c r="I1844" s="4">
        <f t="shared" si="117"/>
        <v>50.222222222221113</v>
      </c>
    </row>
    <row r="1845" spans="1:9" x14ac:dyDescent="0.2">
      <c r="A1845" s="11">
        <v>180.899999999996</v>
      </c>
      <c r="B1845" s="15">
        <v>3.133</v>
      </c>
      <c r="C1845" s="11">
        <f t="shared" si="114"/>
        <v>23442.819819569428</v>
      </c>
      <c r="D1845" s="11">
        <f t="shared" si="115"/>
        <v>-125651.12279249127</v>
      </c>
      <c r="E1845" s="11">
        <f t="shared" si="116"/>
        <v>-187538.98924252851</v>
      </c>
      <c r="F1845" s="11">
        <f>Speed_Calc!B$5*E1845</f>
        <v>-168785.09031827567</v>
      </c>
      <c r="G1845" s="15">
        <f>Speed_Calc!G$3+Speed_Calc!G$5*A1845^2</f>
        <v>151.22648809999419</v>
      </c>
      <c r="H1845" s="7">
        <f>(F1845-G1845)/Speed_Calc!G$2*9.806</f>
        <v>-1227.1033500765329</v>
      </c>
      <c r="I1845" s="4">
        <f t="shared" si="117"/>
        <v>50.249999999998884</v>
      </c>
    </row>
    <row r="1846" spans="1:9" x14ac:dyDescent="0.2">
      <c r="A1846" s="11">
        <v>180.99999999999599</v>
      </c>
      <c r="B1846" s="15">
        <v>3.133</v>
      </c>
      <c r="C1846" s="11">
        <f t="shared" si="114"/>
        <v>23455.778813388981</v>
      </c>
      <c r="D1846" s="11">
        <f t="shared" si="115"/>
        <v>-126080.18817385024</v>
      </c>
      <c r="E1846" s="11">
        <f t="shared" si="116"/>
        <v>-188075.41882287475</v>
      </c>
      <c r="F1846" s="11">
        <f>Speed_Calc!B$5*E1846</f>
        <v>-169267.87694058727</v>
      </c>
      <c r="G1846" s="15">
        <f>Speed_Calc!G$3+Speed_Calc!G$5*A1846^2</f>
        <v>151.37160999999418</v>
      </c>
      <c r="H1846" s="7">
        <f>(F1846-G1846)/Speed_Calc!G$2*9.806</f>
        <v>-1230.611223175599</v>
      </c>
      <c r="I1846" s="4">
        <f t="shared" si="117"/>
        <v>50.277777777776663</v>
      </c>
    </row>
    <row r="1847" spans="1:9" x14ac:dyDescent="0.2">
      <c r="A1847" s="11">
        <v>181.09999999999599</v>
      </c>
      <c r="B1847" s="15">
        <v>3.133</v>
      </c>
      <c r="C1847" s="11">
        <f t="shared" si="114"/>
        <v>23468.737807208534</v>
      </c>
      <c r="D1847" s="11">
        <f t="shared" si="115"/>
        <v>-126510.41280216092</v>
      </c>
      <c r="E1847" s="11">
        <f t="shared" si="116"/>
        <v>-188612.98429919497</v>
      </c>
      <c r="F1847" s="11">
        <f>Speed_Calc!B$5*E1847</f>
        <v>-169751.68586927548</v>
      </c>
      <c r="G1847" s="15">
        <f>Speed_Calc!G$3+Speed_Calc!G$5*A1847^2</f>
        <v>151.51681209999416</v>
      </c>
      <c r="H1847" s="7">
        <f>(F1847-G1847)/Speed_Calc!G$2*9.806</f>
        <v>-1234.126522587828</v>
      </c>
      <c r="I1847" s="4">
        <f t="shared" si="117"/>
        <v>50.305555555554442</v>
      </c>
    </row>
    <row r="1848" spans="1:9" x14ac:dyDescent="0.2">
      <c r="A1848" s="11">
        <v>181.19999999999601</v>
      </c>
      <c r="B1848" s="15">
        <v>3.133</v>
      </c>
      <c r="C1848" s="11">
        <f t="shared" si="114"/>
        <v>23481.696801028083</v>
      </c>
      <c r="D1848" s="11">
        <f t="shared" si="115"/>
        <v>-126941.79900833259</v>
      </c>
      <c r="E1848" s="11">
        <f t="shared" si="116"/>
        <v>-189151.68726407597</v>
      </c>
      <c r="F1848" s="11">
        <f>Speed_Calc!B$5*E1848</f>
        <v>-170236.51853766837</v>
      </c>
      <c r="G1848" s="15">
        <f>Speed_Calc!G$3+Speed_Calc!G$5*A1848^2</f>
        <v>151.6620943999942</v>
      </c>
      <c r="H1848" s="7">
        <f>(F1848-G1848)/Speed_Calc!G$2*9.806</f>
        <v>-1237.6492587244904</v>
      </c>
      <c r="I1848" s="4">
        <f t="shared" si="117"/>
        <v>50.33333333333222</v>
      </c>
    </row>
    <row r="1849" spans="1:9" x14ac:dyDescent="0.2">
      <c r="A1849" s="11">
        <v>181.299999999996</v>
      </c>
      <c r="B1849" s="15">
        <v>3.133</v>
      </c>
      <c r="C1849" s="11">
        <f t="shared" si="114"/>
        <v>23494.655794847637</v>
      </c>
      <c r="D1849" s="11">
        <f t="shared" si="115"/>
        <v>-127374.34912637957</v>
      </c>
      <c r="E1849" s="11">
        <f t="shared" si="116"/>
        <v>-189691.52931121478</v>
      </c>
      <c r="F1849" s="11">
        <f>Speed_Calc!B$5*E1849</f>
        <v>-170722.37638009331</v>
      </c>
      <c r="G1849" s="15">
        <f>Speed_Calc!G$3+Speed_Calc!G$5*A1849^2</f>
        <v>151.80745689999418</v>
      </c>
      <c r="H1849" s="7">
        <f>(F1849-G1849)/Speed_Calc!G$2*9.806</f>
        <v>-1241.1794420041156</v>
      </c>
      <c r="I1849" s="4">
        <f t="shared" si="117"/>
        <v>50.361111111109999</v>
      </c>
    </row>
    <row r="1850" spans="1:9" x14ac:dyDescent="0.2">
      <c r="A1850" s="11">
        <v>181.399999999996</v>
      </c>
      <c r="B1850" s="15">
        <v>3.133</v>
      </c>
      <c r="C1850" s="11">
        <f t="shared" si="114"/>
        <v>23507.61478866719</v>
      </c>
      <c r="D1850" s="11">
        <f t="shared" si="115"/>
        <v>-127808.06549342269</v>
      </c>
      <c r="E1850" s="11">
        <f t="shared" si="116"/>
        <v>-190232.51203541839</v>
      </c>
      <c r="F1850" s="11">
        <f>Speed_Calc!B$5*E1850</f>
        <v>-171209.26083187654</v>
      </c>
      <c r="G1850" s="15">
        <f>Speed_Calc!G$3+Speed_Calc!G$5*A1850^2</f>
        <v>151.95289959999417</v>
      </c>
      <c r="H1850" s="7">
        <f>(F1850-G1850)/Speed_Calc!G$2*9.806</f>
        <v>-1244.7170828524881</v>
      </c>
      <c r="I1850" s="4">
        <f t="shared" si="117"/>
        <v>50.388888888887777</v>
      </c>
    </row>
    <row r="1851" spans="1:9" x14ac:dyDescent="0.2">
      <c r="A1851" s="11">
        <v>181.49999999999599</v>
      </c>
      <c r="B1851" s="15">
        <v>3.133</v>
      </c>
      <c r="C1851" s="11">
        <f t="shared" si="114"/>
        <v>23520.573782486743</v>
      </c>
      <c r="D1851" s="11">
        <f t="shared" si="115"/>
        <v>-128242.95044969174</v>
      </c>
      <c r="E1851" s="11">
        <f t="shared" si="116"/>
        <v>-190774.63703260355</v>
      </c>
      <c r="F1851" s="11">
        <f>Speed_Calc!B$5*E1851</f>
        <v>-171697.1733293432</v>
      </c>
      <c r="G1851" s="15">
        <f>Speed_Calc!G$3+Speed_Calc!G$5*A1851^2</f>
        <v>152.09842249999414</v>
      </c>
      <c r="H1851" s="7">
        <f>(F1851-G1851)/Speed_Calc!G$2*9.806</f>
        <v>-1248.2621917026474</v>
      </c>
      <c r="I1851" s="4">
        <f t="shared" si="117"/>
        <v>50.416666666665549</v>
      </c>
    </row>
    <row r="1852" spans="1:9" x14ac:dyDescent="0.2">
      <c r="A1852" s="11">
        <v>181.59999999999599</v>
      </c>
      <c r="B1852" s="15">
        <v>3.133</v>
      </c>
      <c r="C1852" s="11">
        <f t="shared" si="114"/>
        <v>23533.532776306296</v>
      </c>
      <c r="D1852" s="11">
        <f t="shared" si="115"/>
        <v>-128679.00633852741</v>
      </c>
      <c r="E1852" s="11">
        <f t="shared" si="116"/>
        <v>-191317.90589979716</v>
      </c>
      <c r="F1852" s="11">
        <f>Speed_Calc!B$5*E1852</f>
        <v>-172186.11530981745</v>
      </c>
      <c r="G1852" s="15">
        <f>Speed_Calc!G$3+Speed_Calc!G$5*A1852^2</f>
        <v>152.24402559999413</v>
      </c>
      <c r="H1852" s="7">
        <f>(F1852-G1852)/Speed_Calc!G$2*9.806</f>
        <v>-1251.8147789948914</v>
      </c>
      <c r="I1852" s="4">
        <f t="shared" si="117"/>
        <v>50.444444444443327</v>
      </c>
    </row>
    <row r="1853" spans="1:9" x14ac:dyDescent="0.2">
      <c r="A1853" s="11">
        <v>181.69999999999601</v>
      </c>
      <c r="B1853" s="15">
        <v>3.133</v>
      </c>
      <c r="C1853" s="11">
        <f t="shared" si="114"/>
        <v>23546.491770125856</v>
      </c>
      <c r="D1853" s="11">
        <f t="shared" si="115"/>
        <v>-129116.2355063836</v>
      </c>
      <c r="E1853" s="11">
        <f t="shared" si="116"/>
        <v>-191862.32023513663</v>
      </c>
      <c r="F1853" s="11">
        <f>Speed_Calc!B$5*E1853</f>
        <v>-172676.08821162296</v>
      </c>
      <c r="G1853" s="15">
        <f>Speed_Calc!G$3+Speed_Calc!G$5*A1853^2</f>
        <v>152.38970889999419</v>
      </c>
      <c r="H1853" s="7">
        <f>(F1853-G1853)/Speed_Calc!G$2*9.806</f>
        <v>-1255.3748551767762</v>
      </c>
      <c r="I1853" s="4">
        <f t="shared" si="117"/>
        <v>50.472222222221113</v>
      </c>
    </row>
    <row r="1854" spans="1:9" x14ac:dyDescent="0.2">
      <c r="A1854" s="11">
        <v>181.799999999996</v>
      </c>
      <c r="B1854" s="15">
        <v>3.133</v>
      </c>
      <c r="C1854" s="11">
        <f t="shared" si="114"/>
        <v>23559.450763945406</v>
      </c>
      <c r="D1854" s="11">
        <f t="shared" si="115"/>
        <v>-129554.64030282816</v>
      </c>
      <c r="E1854" s="11">
        <f t="shared" si="116"/>
        <v>-192407.88163786777</v>
      </c>
      <c r="F1854" s="11">
        <f>Speed_Calc!B$5*E1854</f>
        <v>-173167.09347408099</v>
      </c>
      <c r="G1854" s="15">
        <f>Speed_Calc!G$3+Speed_Calc!G$5*A1854^2</f>
        <v>152.53547239999418</v>
      </c>
      <c r="H1854" s="7">
        <f>(F1854-G1854)/Speed_Calc!G$2*9.806</f>
        <v>-1258.9424307031054</v>
      </c>
      <c r="I1854" s="4">
        <f t="shared" si="117"/>
        <v>50.499999999998892</v>
      </c>
    </row>
    <row r="1855" spans="1:9" x14ac:dyDescent="0.2">
      <c r="A1855" s="11">
        <v>181.899999999996</v>
      </c>
      <c r="B1855" s="15">
        <v>3.133</v>
      </c>
      <c r="C1855" s="11">
        <f t="shared" si="114"/>
        <v>23572.409757764952</v>
      </c>
      <c r="D1855" s="11">
        <f t="shared" si="115"/>
        <v>-129994.22308054731</v>
      </c>
      <c r="E1855" s="11">
        <f t="shared" si="116"/>
        <v>-192954.59170834822</v>
      </c>
      <c r="F1855" s="11">
        <f>Speed_Calc!B$5*E1855</f>
        <v>-173659.13253751339</v>
      </c>
      <c r="G1855" s="15">
        <f>Speed_Calc!G$3+Speed_Calc!G$5*A1855^2</f>
        <v>152.68131609999415</v>
      </c>
      <c r="H1855" s="7">
        <f>(F1855-G1855)/Speed_Calc!G$2*9.806</f>
        <v>-1262.5175160359504</v>
      </c>
      <c r="I1855" s="4">
        <f t="shared" si="117"/>
        <v>50.527777777776663</v>
      </c>
    </row>
    <row r="1856" spans="1:9" x14ac:dyDescent="0.2">
      <c r="A1856" s="11">
        <v>181.99999999999599</v>
      </c>
      <c r="B1856" s="15">
        <v>3.133</v>
      </c>
      <c r="C1856" s="11">
        <f t="shared" si="114"/>
        <v>23585.368751584505</v>
      </c>
      <c r="D1856" s="11">
        <f t="shared" si="115"/>
        <v>-130434.98619534608</v>
      </c>
      <c r="E1856" s="11">
        <f t="shared" si="116"/>
        <v>-193502.45204804518</v>
      </c>
      <c r="F1856" s="11">
        <f>Speed_Calc!B$5*E1856</f>
        <v>-174152.20684324065</v>
      </c>
      <c r="G1856" s="15">
        <f>Speed_Calc!G$3+Speed_Calc!G$5*A1856^2</f>
        <v>152.82723999999416</v>
      </c>
      <c r="H1856" s="7">
        <f>(F1856-G1856)/Speed_Calc!G$2*9.806</f>
        <v>-1266.100121644635</v>
      </c>
      <c r="I1856" s="4">
        <f t="shared" si="117"/>
        <v>50.555555555554442</v>
      </c>
    </row>
    <row r="1857" spans="1:9" x14ac:dyDescent="0.2">
      <c r="A1857" s="11">
        <v>182.09999999999599</v>
      </c>
      <c r="B1857" s="15">
        <v>3.133</v>
      </c>
      <c r="C1857" s="11">
        <f t="shared" si="114"/>
        <v>23598.327745404054</v>
      </c>
      <c r="D1857" s="11">
        <f t="shared" si="115"/>
        <v>-130876.93200615025</v>
      </c>
      <c r="E1857" s="11">
        <f t="shared" si="116"/>
        <v>-194051.46425953516</v>
      </c>
      <c r="F1857" s="11">
        <f>Speed_Calc!B$5*E1857</f>
        <v>-174646.31783358165</v>
      </c>
      <c r="G1857" s="15">
        <f>Speed_Calc!G$3+Speed_Calc!G$5*A1857^2</f>
        <v>152.97324409999413</v>
      </c>
      <c r="H1857" s="7">
        <f>(F1857-G1857)/Speed_Calc!G$2*9.806</f>
        <v>-1269.6902580057379</v>
      </c>
      <c r="I1857" s="4">
        <f t="shared" si="117"/>
        <v>50.58333333333222</v>
      </c>
    </row>
    <row r="1858" spans="1:9" x14ac:dyDescent="0.2">
      <c r="A1858" s="11">
        <v>182.19999999999601</v>
      </c>
      <c r="B1858" s="15">
        <v>3.133</v>
      </c>
      <c r="C1858" s="11">
        <f t="shared" si="114"/>
        <v>23611.286739223608</v>
      </c>
      <c r="D1858" s="11">
        <f t="shared" si="115"/>
        <v>-131320.06287500926</v>
      </c>
      <c r="E1858" s="11">
        <f t="shared" si="116"/>
        <v>-194601.62994650539</v>
      </c>
      <c r="F1858" s="11">
        <f>Speed_Calc!B$5*E1858</f>
        <v>-175141.46695185485</v>
      </c>
      <c r="G1858" s="15">
        <f>Speed_Calc!G$3+Speed_Calc!G$5*A1858^2</f>
        <v>153.11932839999417</v>
      </c>
      <c r="H1858" s="7">
        <f>(F1858-G1858)/Speed_Calc!G$2*9.806</f>
        <v>-1273.2879356030953</v>
      </c>
      <c r="I1858" s="4">
        <f t="shared" si="117"/>
        <v>50.611111111109999</v>
      </c>
    </row>
    <row r="1859" spans="1:9" x14ac:dyDescent="0.2">
      <c r="A1859" s="11">
        <v>182.299999999996</v>
      </c>
      <c r="B1859" s="15">
        <v>3.133</v>
      </c>
      <c r="C1859" s="11">
        <f t="shared" si="114"/>
        <v>23624.245733043161</v>
      </c>
      <c r="D1859" s="11">
        <f t="shared" si="115"/>
        <v>-131764.38116709754</v>
      </c>
      <c r="E1859" s="11">
        <f t="shared" si="116"/>
        <v>-195152.95071375271</v>
      </c>
      <c r="F1859" s="11">
        <f>Speed_Calc!B$5*E1859</f>
        <v>-175637.65564237745</v>
      </c>
      <c r="G1859" s="15">
        <f>Speed_Calc!G$3+Speed_Calc!G$5*A1859^2</f>
        <v>153.26549289999414</v>
      </c>
      <c r="H1859" s="7">
        <f>(F1859-G1859)/Speed_Calc!G$2*9.806</f>
        <v>-1276.8931649278004</v>
      </c>
      <c r="I1859" s="4">
        <f t="shared" si="117"/>
        <v>50.638888888887777</v>
      </c>
    </row>
    <row r="1860" spans="1:9" x14ac:dyDescent="0.2">
      <c r="A1860" s="11">
        <v>182.399999999996</v>
      </c>
      <c r="B1860" s="15">
        <v>3.133</v>
      </c>
      <c r="C1860" s="11">
        <f t="shared" si="114"/>
        <v>23637.20472686271</v>
      </c>
      <c r="D1860" s="11">
        <f t="shared" si="115"/>
        <v>-132209.88925071704</v>
      </c>
      <c r="E1860" s="11">
        <f t="shared" si="116"/>
        <v>-195705.4281671842</v>
      </c>
      <c r="F1860" s="11">
        <f>Speed_Calc!B$5*E1860</f>
        <v>-176134.88535046577</v>
      </c>
      <c r="G1860" s="15">
        <f>Speed_Calc!G$3+Speed_Calc!G$5*A1860^2</f>
        <v>153.41173759999413</v>
      </c>
      <c r="H1860" s="7">
        <f>(F1860-G1860)/Speed_Calc!G$2*9.806</f>
        <v>-1280.5059564782021</v>
      </c>
      <c r="I1860" s="4">
        <f t="shared" si="117"/>
        <v>50.666666666665556</v>
      </c>
    </row>
    <row r="1861" spans="1:9" x14ac:dyDescent="0.2">
      <c r="A1861" s="11">
        <v>182.49999999999599</v>
      </c>
      <c r="B1861" s="15">
        <v>3.133</v>
      </c>
      <c r="C1861" s="11">
        <f t="shared" si="114"/>
        <v>23650.16372068226</v>
      </c>
      <c r="D1861" s="11">
        <f t="shared" si="115"/>
        <v>-132656.58949729896</v>
      </c>
      <c r="E1861" s="11">
        <f t="shared" si="116"/>
        <v>-196259.0639138165</v>
      </c>
      <c r="F1861" s="11">
        <f>Speed_Calc!B$5*E1861</f>
        <v>-176633.15752243486</v>
      </c>
      <c r="G1861" s="15">
        <f>Speed_Calc!G$3+Speed_Calc!G$5*A1861^2</f>
        <v>153.55806249999412</v>
      </c>
      <c r="H1861" s="7">
        <f>(F1861-G1861)/Speed_Calc!G$2*9.806</f>
        <v>-1284.1263207599047</v>
      </c>
      <c r="I1861" s="4">
        <f t="shared" si="117"/>
        <v>50.694444444443327</v>
      </c>
    </row>
    <row r="1862" spans="1:9" x14ac:dyDescent="0.2">
      <c r="A1862" s="11">
        <v>182.59999999999599</v>
      </c>
      <c r="B1862" s="15">
        <v>3.133</v>
      </c>
      <c r="C1862" s="11">
        <f t="shared" si="114"/>
        <v>23663.122714501813</v>
      </c>
      <c r="D1862" s="11">
        <f t="shared" si="115"/>
        <v>-133104.48428140633</v>
      </c>
      <c r="E1862" s="11">
        <f t="shared" si="116"/>
        <v>-196813.85956177715</v>
      </c>
      <c r="F1862" s="11">
        <f>Speed_Calc!B$5*E1862</f>
        <v>-177132.47360559943</v>
      </c>
      <c r="G1862" s="15">
        <f>Speed_Calc!G$3+Speed_Calc!G$5*A1862^2</f>
        <v>153.7044675999941</v>
      </c>
      <c r="H1862" s="7">
        <f>(F1862-G1862)/Speed_Calc!G$2*9.806</f>
        <v>-1287.7542682857729</v>
      </c>
      <c r="I1862" s="4">
        <f t="shared" si="117"/>
        <v>50.722222222221106</v>
      </c>
    </row>
    <row r="1863" spans="1:9" x14ac:dyDescent="0.2">
      <c r="A1863" s="11">
        <v>182.69999999999601</v>
      </c>
      <c r="B1863" s="15">
        <v>3.133</v>
      </c>
      <c r="C1863" s="11">
        <f t="shared" si="114"/>
        <v>23676.081708321373</v>
      </c>
      <c r="D1863" s="11">
        <f t="shared" si="115"/>
        <v>-133553.57598073565</v>
      </c>
      <c r="E1863" s="11">
        <f t="shared" si="116"/>
        <v>-197369.81672030326</v>
      </c>
      <c r="F1863" s="11">
        <f>Speed_Calc!B$5*E1863</f>
        <v>-177632.83504827294</v>
      </c>
      <c r="G1863" s="15">
        <f>Speed_Calc!G$3+Speed_Calc!G$5*A1863^2</f>
        <v>153.85095289999413</v>
      </c>
      <c r="H1863" s="7">
        <f>(F1863-G1863)/Speed_Calc!G$2*9.806</f>
        <v>-1291.3898095759271</v>
      </c>
      <c r="I1863" s="4">
        <f t="shared" si="117"/>
        <v>50.749999999998892</v>
      </c>
    </row>
    <row r="1864" spans="1:9" x14ac:dyDescent="0.2">
      <c r="A1864" s="11">
        <v>182.799999999996</v>
      </c>
      <c r="B1864" s="15">
        <v>3.133</v>
      </c>
      <c r="C1864" s="11">
        <f t="shared" si="114"/>
        <v>23689.040702140923</v>
      </c>
      <c r="D1864" s="11">
        <f t="shared" si="115"/>
        <v>-134003.86697611798</v>
      </c>
      <c r="E1864" s="11">
        <f t="shared" si="116"/>
        <v>-197926.93699974095</v>
      </c>
      <c r="F1864" s="11">
        <f>Speed_Calc!B$5*E1864</f>
        <v>-178134.24329976685</v>
      </c>
      <c r="G1864" s="15">
        <f>Speed_Calc!G$3+Speed_Calc!G$5*A1864^2</f>
        <v>153.99751839999414</v>
      </c>
      <c r="H1864" s="7">
        <f>(F1864-G1864)/Speed_Calc!G$2*9.806</f>
        <v>-1295.0329551577363</v>
      </c>
      <c r="I1864" s="4">
        <f t="shared" si="117"/>
        <v>50.777777777776663</v>
      </c>
    </row>
    <row r="1865" spans="1:9" x14ac:dyDescent="0.2">
      <c r="A1865" s="11">
        <v>182.899999999996</v>
      </c>
      <c r="B1865" s="15">
        <v>3.133</v>
      </c>
      <c r="C1865" s="11">
        <f t="shared" si="114"/>
        <v>23701.999695960476</v>
      </c>
      <c r="D1865" s="11">
        <f t="shared" si="115"/>
        <v>-134455.35965152344</v>
      </c>
      <c r="E1865" s="11">
        <f t="shared" si="116"/>
        <v>-198485.22201154794</v>
      </c>
      <c r="F1865" s="11">
        <f>Speed_Calc!B$5*E1865</f>
        <v>-178636.69981039315</v>
      </c>
      <c r="G1865" s="15">
        <f>Speed_Calc!G$3+Speed_Calc!G$5*A1865^2</f>
        <v>154.1441640999941</v>
      </c>
      <c r="H1865" s="7">
        <f>(F1865-G1865)/Speed_Calc!G$2*9.806</f>
        <v>-1298.683715565837</v>
      </c>
      <c r="I1865" s="4">
        <f t="shared" si="117"/>
        <v>50.805555555554442</v>
      </c>
    </row>
    <row r="1866" spans="1:9" x14ac:dyDescent="0.2">
      <c r="A1866" s="11">
        <v>182.99999999999599</v>
      </c>
      <c r="B1866" s="15">
        <v>3.133</v>
      </c>
      <c r="C1866" s="11">
        <f t="shared" si="114"/>
        <v>23714.958689780025</v>
      </c>
      <c r="D1866" s="11">
        <f t="shared" si="115"/>
        <v>-134908.05639406093</v>
      </c>
      <c r="E1866" s="11">
        <f t="shared" si="116"/>
        <v>-199044.67336829097</v>
      </c>
      <c r="F1866" s="11">
        <f>Speed_Calc!B$5*E1866</f>
        <v>-179140.20603146189</v>
      </c>
      <c r="G1866" s="15">
        <f>Speed_Calc!G$3+Speed_Calc!G$5*A1866^2</f>
        <v>154.29088999999411</v>
      </c>
      <c r="H1866" s="7">
        <f>(F1866-G1866)/Speed_Calc!G$2*9.806</f>
        <v>-1302.342101342115</v>
      </c>
      <c r="I1866" s="4">
        <f t="shared" si="117"/>
        <v>50.83333333333222</v>
      </c>
    </row>
    <row r="1867" spans="1:9" x14ac:dyDescent="0.2">
      <c r="A1867" s="11">
        <v>183.09999999999599</v>
      </c>
      <c r="B1867" s="15">
        <v>3.133</v>
      </c>
      <c r="C1867" s="11">
        <f t="shared" si="114"/>
        <v>23727.917683599579</v>
      </c>
      <c r="D1867" s="11">
        <f t="shared" si="115"/>
        <v>-135361.9595939815</v>
      </c>
      <c r="E1867" s="11">
        <f t="shared" si="116"/>
        <v>-199605.29268364722</v>
      </c>
      <c r="F1867" s="11">
        <f>Speed_Calc!B$5*E1867</f>
        <v>-179644.7634152825</v>
      </c>
      <c r="G1867" s="15">
        <f>Speed_Calc!G$3+Speed_Calc!G$5*A1867^2</f>
        <v>154.4376960999941</v>
      </c>
      <c r="H1867" s="7">
        <f>(F1867-G1867)/Speed_Calc!G$2*9.806</f>
        <v>-1306.0081230357162</v>
      </c>
      <c r="I1867" s="4">
        <f t="shared" si="117"/>
        <v>50.861111111109992</v>
      </c>
    </row>
    <row r="1868" spans="1:9" x14ac:dyDescent="0.2">
      <c r="A1868" s="11">
        <v>183.19999999999601</v>
      </c>
      <c r="B1868" s="15">
        <v>3.133</v>
      </c>
      <c r="C1868" s="11">
        <f t="shared" si="114"/>
        <v>23740.876677419132</v>
      </c>
      <c r="D1868" s="11">
        <f t="shared" si="115"/>
        <v>-135817.07164468002</v>
      </c>
      <c r="E1868" s="11">
        <f t="shared" si="116"/>
        <v>-200167.08157240396</v>
      </c>
      <c r="F1868" s="11">
        <f>Speed_Calc!B$5*E1868</f>
        <v>-180150.37341516357</v>
      </c>
      <c r="G1868" s="15">
        <f>Speed_Calc!G$3+Speed_Calc!G$5*A1868^2</f>
        <v>154.5845823999941</v>
      </c>
      <c r="H1868" s="7">
        <f>(F1868-G1868)/Speed_Calc!G$2*9.806</f>
        <v>-1309.6817912030431</v>
      </c>
      <c r="I1868" s="4">
        <f t="shared" si="117"/>
        <v>50.888888888887777</v>
      </c>
    </row>
    <row r="1869" spans="1:9" x14ac:dyDescent="0.2">
      <c r="A1869" s="11">
        <v>183.299999999996</v>
      </c>
      <c r="B1869" s="15">
        <v>3.133</v>
      </c>
      <c r="C1869" s="11">
        <f t="shared" si="114"/>
        <v>23753.835671238685</v>
      </c>
      <c r="D1869" s="11">
        <f t="shared" si="115"/>
        <v>-136273.39494269676</v>
      </c>
      <c r="E1869" s="11">
        <f t="shared" si="116"/>
        <v>-200730.04165045792</v>
      </c>
      <c r="F1869" s="11">
        <f>Speed_Calc!B$5*E1869</f>
        <v>-180657.03748541212</v>
      </c>
      <c r="G1869" s="15">
        <f>Speed_Calc!G$3+Speed_Calc!G$5*A1869^2</f>
        <v>154.73154889999412</v>
      </c>
      <c r="H1869" s="7">
        <f>(F1869-G1869)/Speed_Calc!G$2*9.806</f>
        <v>-1313.3631164077512</v>
      </c>
      <c r="I1869" s="4">
        <f t="shared" si="117"/>
        <v>50.916666666665556</v>
      </c>
    </row>
    <row r="1870" spans="1:9" x14ac:dyDescent="0.2">
      <c r="A1870" s="11">
        <v>183.399999999996</v>
      </c>
      <c r="B1870" s="15">
        <v>3.133</v>
      </c>
      <c r="C1870" s="11">
        <f t="shared" si="114"/>
        <v>23766.794665058234</v>
      </c>
      <c r="D1870" s="11">
        <f t="shared" si="115"/>
        <v>-136730.93188772025</v>
      </c>
      <c r="E1870" s="11">
        <f t="shared" si="116"/>
        <v>-201294.17453481615</v>
      </c>
      <c r="F1870" s="11">
        <f>Speed_Calc!B$5*E1870</f>
        <v>-181164.75708133454</v>
      </c>
      <c r="G1870" s="15">
        <f>Speed_Calc!G$3+Speed_Calc!G$5*A1870^2</f>
        <v>154.87859559999413</v>
      </c>
      <c r="H1870" s="7">
        <f>(F1870-G1870)/Speed_Calc!G$2*9.806</f>
        <v>-1317.0521092207555</v>
      </c>
      <c r="I1870" s="4">
        <f t="shared" si="117"/>
        <v>50.944444444443334</v>
      </c>
    </row>
    <row r="1871" spans="1:9" x14ac:dyDescent="0.2">
      <c r="A1871" s="11">
        <v>183.49999999999599</v>
      </c>
      <c r="B1871" s="15">
        <v>3.133</v>
      </c>
      <c r="C1871" s="11">
        <f t="shared" ref="C1871:C1934" si="118">A1871/3.6/B$23/2/PI()*B$32*B$31*B1871*60</f>
        <v>23779.753658877784</v>
      </c>
      <c r="D1871" s="11">
        <f t="shared" ref="D1871:D1934" si="119">-4.687*10^(-17)*C1871^5+9.129*10^(-13)*C1871^4-6.175*10^(-9)*C1871^3+1.799*10^(-5)*C1871^2+6.502*10^(-3)*C1871</f>
        <v>-137189.68488258889</v>
      </c>
      <c r="E1871" s="11">
        <f t="shared" ref="E1871:E1934" si="120">D1871*75*B1871*B$31*B$32/B$23/C1871/2/PI()*60</f>
        <v>-201859.48184359577</v>
      </c>
      <c r="F1871" s="11">
        <f>Speed_Calc!B$5*E1871</f>
        <v>-181673.53365923619</v>
      </c>
      <c r="G1871" s="15">
        <f>Speed_Calc!G$3+Speed_Calc!G$5*A1871^2</f>
        <v>155.02572249999409</v>
      </c>
      <c r="H1871" s="7">
        <f>(F1871-G1871)/Speed_Calc!G$2*9.806</f>
        <v>-1320.7487802202256</v>
      </c>
      <c r="I1871" s="4">
        <f t="shared" ref="I1871:I1934" si="121">A1871/3.6</f>
        <v>50.972222222221106</v>
      </c>
    </row>
    <row r="1872" spans="1:9" x14ac:dyDescent="0.2">
      <c r="A1872" s="11">
        <v>183.59999999999599</v>
      </c>
      <c r="B1872" s="15">
        <v>3.133</v>
      </c>
      <c r="C1872" s="11">
        <f t="shared" si="118"/>
        <v>23792.712652697337</v>
      </c>
      <c r="D1872" s="11">
        <f t="shared" si="119"/>
        <v>-137649.65633329342</v>
      </c>
      <c r="E1872" s="11">
        <f t="shared" si="120"/>
        <v>-202425.96519602419</v>
      </c>
      <c r="F1872" s="11">
        <f>Speed_Calc!B$5*E1872</f>
        <v>-182183.36867642179</v>
      </c>
      <c r="G1872" s="15">
        <f>Speed_Calc!G$3+Speed_Calc!G$5*A1872^2</f>
        <v>155.17292959999409</v>
      </c>
      <c r="H1872" s="7">
        <f>(F1872-G1872)/Speed_Calc!G$2*9.806</f>
        <v>-1324.4531399915923</v>
      </c>
      <c r="I1872" s="4">
        <f t="shared" si="121"/>
        <v>50.999999999998884</v>
      </c>
    </row>
    <row r="1873" spans="1:9" x14ac:dyDescent="0.2">
      <c r="A1873" s="11">
        <v>183.69999999999601</v>
      </c>
      <c r="B1873" s="15">
        <v>3.133</v>
      </c>
      <c r="C1873" s="11">
        <f t="shared" si="118"/>
        <v>23805.67164651689</v>
      </c>
      <c r="D1873" s="11">
        <f t="shared" si="119"/>
        <v>-138110.84864897814</v>
      </c>
      <c r="E1873" s="11">
        <f t="shared" si="120"/>
        <v>-202993.62621243825</v>
      </c>
      <c r="F1873" s="11">
        <f>Speed_Calc!B$5*E1873</f>
        <v>-182694.26359119444</v>
      </c>
      <c r="G1873" s="15">
        <f>Speed_Calc!G$3+Speed_Calc!G$5*A1873^2</f>
        <v>155.32021689999411</v>
      </c>
      <c r="H1873" s="7">
        <f>(F1873-G1873)/Speed_Calc!G$2*9.806</f>
        <v>-1328.1651991275362</v>
      </c>
      <c r="I1873" s="4">
        <f t="shared" si="121"/>
        <v>51.02777777777667</v>
      </c>
    </row>
    <row r="1874" spans="1:9" x14ac:dyDescent="0.2">
      <c r="A1874" s="11">
        <v>183.799999999996</v>
      </c>
      <c r="B1874" s="15">
        <v>3.133</v>
      </c>
      <c r="C1874" s="11">
        <f t="shared" si="118"/>
        <v>23818.630640336443</v>
      </c>
      <c r="D1874" s="11">
        <f t="shared" si="119"/>
        <v>-138573.26424194354</v>
      </c>
      <c r="E1874" s="11">
        <f t="shared" si="120"/>
        <v>-203562.46651428498</v>
      </c>
      <c r="F1874" s="11">
        <f>Speed_Calc!B$5*E1874</f>
        <v>-183206.21986285649</v>
      </c>
      <c r="G1874" s="15">
        <f>Speed_Calc!G$3+Speed_Calc!G$5*A1874^2</f>
        <v>155.46758439999411</v>
      </c>
      <c r="H1874" s="7">
        <f>(F1874-G1874)/Speed_Calc!G$2*9.806</f>
        <v>-1331.8849682279979</v>
      </c>
      <c r="I1874" s="4">
        <f t="shared" si="121"/>
        <v>51.055555555554442</v>
      </c>
    </row>
    <row r="1875" spans="1:9" x14ac:dyDescent="0.2">
      <c r="A1875" s="11">
        <v>183.899999999996</v>
      </c>
      <c r="B1875" s="15">
        <v>3.133</v>
      </c>
      <c r="C1875" s="11">
        <f t="shared" si="118"/>
        <v>23831.589634155996</v>
      </c>
      <c r="D1875" s="11">
        <f t="shared" si="119"/>
        <v>-139036.90552764866</v>
      </c>
      <c r="E1875" s="11">
        <f t="shared" si="120"/>
        <v>-204132.48772412157</v>
      </c>
      <c r="F1875" s="11">
        <f>Speed_Calc!B$5*E1875</f>
        <v>-183719.23895170941</v>
      </c>
      <c r="G1875" s="15">
        <f>Speed_Calc!G$3+Speed_Calc!G$5*A1875^2</f>
        <v>155.6150320999941</v>
      </c>
      <c r="H1875" s="7">
        <f>(F1875-G1875)/Speed_Calc!G$2*9.806</f>
        <v>-1335.6124579001741</v>
      </c>
      <c r="I1875" s="4">
        <f t="shared" si="121"/>
        <v>51.08333333333222</v>
      </c>
    </row>
    <row r="1876" spans="1:9" x14ac:dyDescent="0.2">
      <c r="A1876" s="11">
        <v>183.99999999999599</v>
      </c>
      <c r="B1876" s="15">
        <v>3.133</v>
      </c>
      <c r="C1876" s="11">
        <f t="shared" si="118"/>
        <v>23844.54862797555</v>
      </c>
      <c r="D1876" s="11">
        <f t="shared" si="119"/>
        <v>-139501.77492471246</v>
      </c>
      <c r="E1876" s="11">
        <f t="shared" si="120"/>
        <v>-204703.69146561515</v>
      </c>
      <c r="F1876" s="11">
        <f>Speed_Calc!B$5*E1876</f>
        <v>-184233.32231905364</v>
      </c>
      <c r="G1876" s="15">
        <f>Speed_Calc!G$3+Speed_Calc!G$5*A1876^2</f>
        <v>155.76255999999407</v>
      </c>
      <c r="H1876" s="7">
        <f>(F1876-G1876)/Speed_Calc!G$2*9.806</f>
        <v>-1339.3476787585182</v>
      </c>
      <c r="I1876" s="4">
        <f t="shared" si="121"/>
        <v>51.111111111109999</v>
      </c>
    </row>
    <row r="1877" spans="1:9" x14ac:dyDescent="0.2">
      <c r="A1877" s="11">
        <v>184.09999999999599</v>
      </c>
      <c r="B1877" s="15">
        <v>3.133</v>
      </c>
      <c r="C1877" s="11">
        <f t="shared" si="118"/>
        <v>23857.507621795103</v>
      </c>
      <c r="D1877" s="11">
        <f t="shared" si="119"/>
        <v>-139967.87485491642</v>
      </c>
      <c r="E1877" s="11">
        <f t="shared" si="120"/>
        <v>-205276.0793635429</v>
      </c>
      <c r="F1877" s="11">
        <f>Speed_Calc!B$5*E1877</f>
        <v>-184748.4714271886</v>
      </c>
      <c r="G1877" s="15">
        <f>Speed_Calc!G$3+Speed_Calc!G$5*A1877^2</f>
        <v>155.91016809999405</v>
      </c>
      <c r="H1877" s="7">
        <f>(F1877-G1877)/Speed_Calc!G$2*9.806</f>
        <v>-1343.0906414247409</v>
      </c>
      <c r="I1877" s="4">
        <f t="shared" si="121"/>
        <v>51.13888888888777</v>
      </c>
    </row>
    <row r="1878" spans="1:9" x14ac:dyDescent="0.2">
      <c r="A1878" s="11">
        <v>184.19999999999601</v>
      </c>
      <c r="B1878" s="15">
        <v>3.133</v>
      </c>
      <c r="C1878" s="11">
        <f t="shared" si="118"/>
        <v>23870.466615614656</v>
      </c>
      <c r="D1878" s="11">
        <f t="shared" si="119"/>
        <v>-140435.20774320606</v>
      </c>
      <c r="E1878" s="11">
        <f t="shared" si="120"/>
        <v>-205849.65304379186</v>
      </c>
      <c r="F1878" s="11">
        <f>Speed_Calc!B$5*E1878</f>
        <v>-185264.68773941268</v>
      </c>
      <c r="G1878" s="15">
        <f>Speed_Calc!G$3+Speed_Calc!G$5*A1878^2</f>
        <v>156.05785639999408</v>
      </c>
      <c r="H1878" s="7">
        <f>(F1878-G1878)/Speed_Calc!G$2*9.806</f>
        <v>-1346.8413565278065</v>
      </c>
      <c r="I1878" s="4">
        <f t="shared" si="121"/>
        <v>51.166666666665556</v>
      </c>
    </row>
    <row r="1879" spans="1:9" x14ac:dyDescent="0.2">
      <c r="A1879" s="11">
        <v>184.299999999996</v>
      </c>
      <c r="B1879" s="15">
        <v>3.133</v>
      </c>
      <c r="C1879" s="11">
        <f t="shared" si="118"/>
        <v>23883.425609434205</v>
      </c>
      <c r="D1879" s="11">
        <f t="shared" si="119"/>
        <v>-140903.77601769348</v>
      </c>
      <c r="E1879" s="11">
        <f t="shared" si="120"/>
        <v>-206424.41413335901</v>
      </c>
      <c r="F1879" s="11">
        <f>Speed_Calc!B$5*E1879</f>
        <v>-185781.9727200231</v>
      </c>
      <c r="G1879" s="15">
        <f>Speed_Calc!G$3+Speed_Calc!G$5*A1879^2</f>
        <v>156.20562489999409</v>
      </c>
      <c r="H1879" s="7">
        <f>(F1879-G1879)/Speed_Calc!G$2*9.806</f>
        <v>-1350.5998347039376</v>
      </c>
      <c r="I1879" s="4">
        <f t="shared" si="121"/>
        <v>51.194444444443334</v>
      </c>
    </row>
    <row r="1880" spans="1:9" x14ac:dyDescent="0.2">
      <c r="A1880" s="11">
        <v>184.399999999996</v>
      </c>
      <c r="B1880" s="15">
        <v>3.133</v>
      </c>
      <c r="C1880" s="11">
        <f t="shared" si="118"/>
        <v>23896.384603253759</v>
      </c>
      <c r="D1880" s="11">
        <f t="shared" si="119"/>
        <v>-141373.58210965953</v>
      </c>
      <c r="E1880" s="11">
        <f t="shared" si="120"/>
        <v>-207000.36426035198</v>
      </c>
      <c r="F1880" s="11">
        <f>Speed_Calc!B$5*E1880</f>
        <v>-186300.32783431679</v>
      </c>
      <c r="G1880" s="15">
        <f>Speed_Calc!G$3+Speed_Calc!G$5*A1880^2</f>
        <v>156.35347359999406</v>
      </c>
      <c r="H1880" s="7">
        <f>(F1880-G1880)/Speed_Calc!G$2*9.806</f>
        <v>-1354.3660865966162</v>
      </c>
      <c r="I1880" s="4">
        <f t="shared" si="121"/>
        <v>51.222222222221106</v>
      </c>
    </row>
    <row r="1881" spans="1:9" x14ac:dyDescent="0.2">
      <c r="A1881" s="11">
        <v>184.49999999999599</v>
      </c>
      <c r="B1881" s="15">
        <v>3.133</v>
      </c>
      <c r="C1881" s="11">
        <f t="shared" si="118"/>
        <v>23909.343597073308</v>
      </c>
      <c r="D1881" s="11">
        <f t="shared" si="119"/>
        <v>-141844.62845355499</v>
      </c>
      <c r="E1881" s="11">
        <f t="shared" si="120"/>
        <v>-207577.50505398744</v>
      </c>
      <c r="F1881" s="11">
        <f>Speed_Calc!B$5*E1881</f>
        <v>-186819.75454858871</v>
      </c>
      <c r="G1881" s="15">
        <f>Speed_Calc!G$3+Speed_Calc!G$5*A1881^2</f>
        <v>156.50140249999407</v>
      </c>
      <c r="H1881" s="7">
        <f>(F1881-G1881)/Speed_Calc!G$2*9.806</f>
        <v>-1358.1401228565746</v>
      </c>
      <c r="I1881" s="4">
        <f t="shared" si="121"/>
        <v>51.249999999998884</v>
      </c>
    </row>
    <row r="1882" spans="1:9" x14ac:dyDescent="0.2">
      <c r="A1882" s="11">
        <v>184.59999999999599</v>
      </c>
      <c r="B1882" s="15">
        <v>3.133</v>
      </c>
      <c r="C1882" s="11">
        <f t="shared" si="118"/>
        <v>23922.302590892861</v>
      </c>
      <c r="D1882" s="11">
        <f t="shared" si="119"/>
        <v>-142316.91748700381</v>
      </c>
      <c r="E1882" s="11">
        <f t="shared" si="120"/>
        <v>-208155.83814459297</v>
      </c>
      <c r="F1882" s="11">
        <f>Speed_Calc!B$5*E1882</f>
        <v>-187340.25433013367</v>
      </c>
      <c r="G1882" s="15">
        <f>Speed_Calc!G$3+Speed_Calc!G$5*A1882^2</f>
        <v>156.64941159999404</v>
      </c>
      <c r="H1882" s="7">
        <f>(F1882-G1882)/Speed_Calc!G$2*9.806</f>
        <v>-1361.9219541418076</v>
      </c>
      <c r="I1882" s="4">
        <f t="shared" si="121"/>
        <v>51.277777777776663</v>
      </c>
    </row>
    <row r="1883" spans="1:9" x14ac:dyDescent="0.2">
      <c r="A1883" s="11">
        <v>184.69999999999601</v>
      </c>
      <c r="B1883" s="15">
        <v>3.133</v>
      </c>
      <c r="C1883" s="11">
        <f t="shared" si="118"/>
        <v>23935.261584712414</v>
      </c>
      <c r="D1883" s="11">
        <f t="shared" si="119"/>
        <v>-142790.45165080411</v>
      </c>
      <c r="E1883" s="11">
        <f t="shared" si="120"/>
        <v>-208735.3651636056</v>
      </c>
      <c r="F1883" s="11">
        <f>Speed_Calc!B$5*E1883</f>
        <v>-187861.82864724504</v>
      </c>
      <c r="G1883" s="15">
        <f>Speed_Calc!G$3+Speed_Calc!G$5*A1883^2</f>
        <v>156.79750089999408</v>
      </c>
      <c r="H1883" s="7">
        <f>(F1883-G1883)/Speed_Calc!G$2*9.806</f>
        <v>-1365.7115911175631</v>
      </c>
      <c r="I1883" s="4">
        <f t="shared" si="121"/>
        <v>51.305555555554449</v>
      </c>
    </row>
    <row r="1884" spans="1:9" x14ac:dyDescent="0.2">
      <c r="A1884" s="11">
        <v>184.799999999996</v>
      </c>
      <c r="B1884" s="15">
        <v>3.133</v>
      </c>
      <c r="C1884" s="11">
        <f t="shared" si="118"/>
        <v>23948.220578531964</v>
      </c>
      <c r="D1884" s="11">
        <f t="shared" si="119"/>
        <v>-143265.23338893076</v>
      </c>
      <c r="E1884" s="11">
        <f t="shared" si="120"/>
        <v>-209316.08774357219</v>
      </c>
      <c r="F1884" s="11">
        <f>Speed_Calc!B$5*E1884</f>
        <v>-188384.47896921498</v>
      </c>
      <c r="G1884" s="15">
        <f>Speed_Calc!G$3+Speed_Calc!G$5*A1884^2</f>
        <v>156.94567039999407</v>
      </c>
      <c r="H1884" s="7">
        <f>(F1884-G1884)/Speed_Calc!G$2*9.806</f>
        <v>-1369.5090444563441</v>
      </c>
      <c r="I1884" s="4">
        <f t="shared" si="121"/>
        <v>51.33333333333222</v>
      </c>
    </row>
    <row r="1885" spans="1:9" x14ac:dyDescent="0.2">
      <c r="A1885" s="11">
        <v>184.899999999995</v>
      </c>
      <c r="B1885" s="15">
        <v>3.133</v>
      </c>
      <c r="C1885" s="11">
        <f t="shared" si="118"/>
        <v>23961.17957235139</v>
      </c>
      <c r="D1885" s="11">
        <f t="shared" si="119"/>
        <v>-143741.26514853304</v>
      </c>
      <c r="E1885" s="11">
        <f t="shared" si="120"/>
        <v>-209898.00751814479</v>
      </c>
      <c r="F1885" s="11">
        <f>Speed_Calc!B$5*E1885</f>
        <v>-188908.20676633032</v>
      </c>
      <c r="G1885" s="15">
        <f>Speed_Calc!G$3+Speed_Calc!G$5*A1885^2</f>
        <v>157.09392009999257</v>
      </c>
      <c r="H1885" s="7">
        <f>(F1885-G1885)/Speed_Calc!G$2*9.806</f>
        <v>-1373.3143248378781</v>
      </c>
      <c r="I1885" s="4">
        <f t="shared" si="121"/>
        <v>51.361111111109722</v>
      </c>
    </row>
    <row r="1886" spans="1:9" x14ac:dyDescent="0.2">
      <c r="A1886" s="11">
        <v>184.99999999999599</v>
      </c>
      <c r="B1886" s="15">
        <v>3.133</v>
      </c>
      <c r="C1886" s="11">
        <f t="shared" si="118"/>
        <v>23974.138566171074</v>
      </c>
      <c r="D1886" s="11">
        <f t="shared" si="119"/>
        <v>-144218.54937995959</v>
      </c>
      <c r="E1886" s="11">
        <f t="shared" si="120"/>
        <v>-210481.12612210767</v>
      </c>
      <c r="F1886" s="11">
        <f>Speed_Calc!B$5*E1886</f>
        <v>-189433.0135098969</v>
      </c>
      <c r="G1886" s="15">
        <f>Speed_Calc!G$3+Speed_Calc!G$5*A1886^2</f>
        <v>157.24224999999404</v>
      </c>
      <c r="H1886" s="7">
        <f>(F1886-G1886)/Speed_Calc!G$2*9.806</f>
        <v>-1377.1274429492953</v>
      </c>
      <c r="I1886" s="4">
        <f t="shared" si="121"/>
        <v>51.388888888887777</v>
      </c>
    </row>
    <row r="1887" spans="1:9" x14ac:dyDescent="0.2">
      <c r="A1887" s="11">
        <v>185.09999999999599</v>
      </c>
      <c r="B1887" s="15">
        <v>3.133</v>
      </c>
      <c r="C1887" s="11">
        <f t="shared" si="118"/>
        <v>23987.097559990623</v>
      </c>
      <c r="D1887" s="11">
        <f t="shared" si="119"/>
        <v>-144697.0885367131</v>
      </c>
      <c r="E1887" s="11">
        <f t="shared" si="120"/>
        <v>-211065.44519132029</v>
      </c>
      <c r="F1887" s="11">
        <f>Speed_Calc!B$5*E1887</f>
        <v>-189958.90067218826</v>
      </c>
      <c r="G1887" s="15">
        <f>Speed_Calc!G$3+Speed_Calc!G$5*A1887^2</f>
        <v>157.39066009999405</v>
      </c>
      <c r="H1887" s="7">
        <f>(F1887-G1887)/Speed_Calc!G$2*9.806</f>
        <v>-1380.9484094847544</v>
      </c>
      <c r="I1887" s="4">
        <f t="shared" si="121"/>
        <v>51.416666666665549</v>
      </c>
    </row>
    <row r="1888" spans="1:9" x14ac:dyDescent="0.2">
      <c r="A1888" s="11">
        <v>185.19999999999499</v>
      </c>
      <c r="B1888" s="15">
        <v>3.133</v>
      </c>
      <c r="C1888" s="11">
        <f t="shared" si="118"/>
        <v>24000.056553810042</v>
      </c>
      <c r="D1888" s="11">
        <f t="shared" si="119"/>
        <v>-145176.88507549601</v>
      </c>
      <c r="E1888" s="11">
        <f t="shared" si="120"/>
        <v>-211650.96636276992</v>
      </c>
      <c r="F1888" s="11">
        <f>Speed_Calc!B$5*E1888</f>
        <v>-190485.86972649294</v>
      </c>
      <c r="G1888" s="15">
        <f>Speed_Calc!G$3+Speed_Calc!G$5*A1888^2</f>
        <v>157.53915039999256</v>
      </c>
      <c r="H1888" s="7">
        <f>(F1888-G1888)/Speed_Calc!G$2*9.806</f>
        <v>-1384.7772351457866</v>
      </c>
      <c r="I1888" s="4">
        <f t="shared" si="121"/>
        <v>51.44444444444305</v>
      </c>
    </row>
    <row r="1889" spans="1:9" x14ac:dyDescent="0.2">
      <c r="A1889" s="11">
        <v>185.299999999996</v>
      </c>
      <c r="B1889" s="15">
        <v>3.133</v>
      </c>
      <c r="C1889" s="11">
        <f t="shared" si="118"/>
        <v>24013.015547629733</v>
      </c>
      <c r="D1889" s="11">
        <f t="shared" si="119"/>
        <v>-145657.94145621275</v>
      </c>
      <c r="E1889" s="11">
        <f t="shared" si="120"/>
        <v>-212237.69127457251</v>
      </c>
      <c r="F1889" s="11">
        <f>Speed_Calc!B$5*E1889</f>
        <v>-191013.92214711526</v>
      </c>
      <c r="G1889" s="15">
        <f>Speed_Calc!G$3+Speed_Calc!G$5*A1889^2</f>
        <v>157.68772089999405</v>
      </c>
      <c r="H1889" s="7">
        <f>(F1889-G1889)/Speed_Calc!G$2*9.806</f>
        <v>-1388.6139306413017</v>
      </c>
      <c r="I1889" s="4">
        <f t="shared" si="121"/>
        <v>51.472222222221113</v>
      </c>
    </row>
    <row r="1890" spans="1:9" x14ac:dyDescent="0.2">
      <c r="A1890" s="11">
        <v>185.399999999995</v>
      </c>
      <c r="B1890" s="15">
        <v>3.133</v>
      </c>
      <c r="C1890" s="11">
        <f t="shared" si="118"/>
        <v>24025.974541449148</v>
      </c>
      <c r="D1890" s="11">
        <f t="shared" si="119"/>
        <v>-146140.26014192097</v>
      </c>
      <c r="E1890" s="11">
        <f t="shared" si="120"/>
        <v>-212825.62156591009</v>
      </c>
      <c r="F1890" s="11">
        <f>Speed_Calc!B$5*E1890</f>
        <v>-191543.05940931907</v>
      </c>
      <c r="G1890" s="15">
        <f>Speed_Calc!G$3+Speed_Calc!G$5*A1890^2</f>
        <v>157.83637159999256</v>
      </c>
      <c r="H1890" s="7">
        <f>(F1890-G1890)/Speed_Calc!G$2*9.806</f>
        <v>-1392.4585066871794</v>
      </c>
      <c r="I1890" s="4">
        <f t="shared" si="121"/>
        <v>51.499999999998607</v>
      </c>
    </row>
    <row r="1891" spans="1:9" x14ac:dyDescent="0.2">
      <c r="A1891" s="11">
        <v>185.49999999999599</v>
      </c>
      <c r="B1891" s="15">
        <v>3.133</v>
      </c>
      <c r="C1891" s="11">
        <f t="shared" si="118"/>
        <v>24038.933535268832</v>
      </c>
      <c r="D1891" s="11">
        <f t="shared" si="119"/>
        <v>-146623.84359891026</v>
      </c>
      <c r="E1891" s="11">
        <f t="shared" si="120"/>
        <v>-213414.75887712464</v>
      </c>
      <c r="F1891" s="11">
        <f>Speed_Calc!B$5*E1891</f>
        <v>-192073.28298941217</v>
      </c>
      <c r="G1891" s="15">
        <f>Speed_Calc!G$3+Speed_Calc!G$5*A1891^2</f>
        <v>157.98510249999404</v>
      </c>
      <c r="H1891" s="7">
        <f>(F1891-G1891)/Speed_Calc!G$2*9.806</f>
        <v>-1396.3109740068819</v>
      </c>
      <c r="I1891" s="4">
        <f t="shared" si="121"/>
        <v>51.527777777776663</v>
      </c>
    </row>
    <row r="1892" spans="1:9" x14ac:dyDescent="0.2">
      <c r="A1892" s="11">
        <v>185.59999999999599</v>
      </c>
      <c r="B1892" s="15">
        <v>3.133</v>
      </c>
      <c r="C1892" s="11">
        <f t="shared" si="118"/>
        <v>24051.892529088385</v>
      </c>
      <c r="D1892" s="11">
        <f t="shared" si="119"/>
        <v>-147108.69429662821</v>
      </c>
      <c r="E1892" s="11">
        <f t="shared" si="120"/>
        <v>-214005.10484962541</v>
      </c>
      <c r="F1892" s="11">
        <f>Speed_Calc!B$5*E1892</f>
        <v>-192604.59436466286</v>
      </c>
      <c r="G1892" s="15">
        <f>Speed_Calc!G$3+Speed_Calc!G$5*A1892^2</f>
        <v>158.133913599994</v>
      </c>
      <c r="H1892" s="7">
        <f>(F1892-G1892)/Speed_Calc!G$2*9.806</f>
        <v>-1400.1713433308487</v>
      </c>
      <c r="I1892" s="4">
        <f t="shared" si="121"/>
        <v>51.555555555554442</v>
      </c>
    </row>
    <row r="1893" spans="1:9" x14ac:dyDescent="0.2">
      <c r="A1893" s="11">
        <v>185.69999999999499</v>
      </c>
      <c r="B1893" s="15">
        <v>3.133</v>
      </c>
      <c r="C1893" s="11">
        <f t="shared" si="118"/>
        <v>24064.851522907804</v>
      </c>
      <c r="D1893" s="11">
        <f t="shared" si="119"/>
        <v>-147594.81470773224</v>
      </c>
      <c r="E1893" s="11">
        <f t="shared" si="120"/>
        <v>-214596.66112594926</v>
      </c>
      <c r="F1893" s="11">
        <f>Speed_Calc!B$5*E1893</f>
        <v>-193136.99501335435</v>
      </c>
      <c r="G1893" s="15">
        <f>Speed_Calc!G$3+Speed_Calc!G$5*A1893^2</f>
        <v>158.2828048999925</v>
      </c>
      <c r="H1893" s="7">
        <f>(F1893-G1893)/Speed_Calc!G$2*9.806</f>
        <v>-1404.0396253968904</v>
      </c>
      <c r="I1893" s="4">
        <f t="shared" si="121"/>
        <v>51.583333333331936</v>
      </c>
    </row>
    <row r="1894" spans="1:9" x14ac:dyDescent="0.2">
      <c r="A1894" s="11">
        <v>185.799999999996</v>
      </c>
      <c r="B1894" s="15">
        <v>3.133</v>
      </c>
      <c r="C1894" s="11">
        <f t="shared" si="118"/>
        <v>24077.810516727488</v>
      </c>
      <c r="D1894" s="11">
        <f t="shared" si="119"/>
        <v>-148082.2073080923</v>
      </c>
      <c r="E1894" s="11">
        <f t="shared" si="120"/>
        <v>-215189.42934976207</v>
      </c>
      <c r="F1894" s="11">
        <f>Speed_Calc!B$5*E1894</f>
        <v>-193670.48641478588</v>
      </c>
      <c r="G1894" s="15">
        <f>Speed_Calc!G$3+Speed_Calc!G$5*A1894^2</f>
        <v>158.43177639999402</v>
      </c>
      <c r="H1894" s="7">
        <f>(F1894-G1894)/Speed_Calc!G$2*9.806</f>
        <v>-1407.9158309501988</v>
      </c>
      <c r="I1894" s="4">
        <f t="shared" si="121"/>
        <v>51.611111111109999</v>
      </c>
    </row>
    <row r="1895" spans="1:9" x14ac:dyDescent="0.2">
      <c r="A1895" s="11">
        <v>185.899999999995</v>
      </c>
      <c r="B1895" s="15">
        <v>3.133</v>
      </c>
      <c r="C1895" s="11">
        <f t="shared" si="118"/>
        <v>24090.769510546917</v>
      </c>
      <c r="D1895" s="11">
        <f t="shared" si="119"/>
        <v>-148570.87457674288</v>
      </c>
      <c r="E1895" s="11">
        <f t="shared" si="120"/>
        <v>-215783.41116579692</v>
      </c>
      <c r="F1895" s="11">
        <f>Speed_Calc!B$5*E1895</f>
        <v>-194205.07004921723</v>
      </c>
      <c r="G1895" s="15">
        <f>Speed_Calc!G$3+Speed_Calc!G$5*A1895^2</f>
        <v>158.58082809999254</v>
      </c>
      <c r="H1895" s="7">
        <f>(F1895-G1895)/Speed_Calc!G$2*9.806</f>
        <v>-1411.7999707429428</v>
      </c>
      <c r="I1895" s="4">
        <f t="shared" si="121"/>
        <v>51.6388888888875</v>
      </c>
    </row>
    <row r="1896" spans="1:9" x14ac:dyDescent="0.2">
      <c r="A1896" s="11">
        <v>185.99999999999599</v>
      </c>
      <c r="B1896" s="15">
        <v>3.133</v>
      </c>
      <c r="C1896" s="11">
        <f t="shared" si="118"/>
        <v>24103.728504366587</v>
      </c>
      <c r="D1896" s="11">
        <f t="shared" si="119"/>
        <v>-149060.81899595825</v>
      </c>
      <c r="E1896" s="11">
        <f t="shared" si="120"/>
        <v>-216378.60821994409</v>
      </c>
      <c r="F1896" s="11">
        <f>Speed_Calc!B$5*E1896</f>
        <v>-194740.74739794969</v>
      </c>
      <c r="G1896" s="15">
        <f>Speed_Calc!G$3+Speed_Calc!G$5*A1896^2</f>
        <v>158.72995999999401</v>
      </c>
      <c r="H1896" s="7">
        <f>(F1896-G1896)/Speed_Calc!G$2*9.806</f>
        <v>-1415.6920555348549</v>
      </c>
      <c r="I1896" s="4">
        <f t="shared" si="121"/>
        <v>51.666666666665549</v>
      </c>
    </row>
    <row r="1897" spans="1:9" x14ac:dyDescent="0.2">
      <c r="A1897" s="11">
        <v>186.09999999999599</v>
      </c>
      <c r="B1897" s="15">
        <v>3.133</v>
      </c>
      <c r="C1897" s="11">
        <f t="shared" si="118"/>
        <v>24116.68749818614</v>
      </c>
      <c r="D1897" s="11">
        <f t="shared" si="119"/>
        <v>-149552.04305118381</v>
      </c>
      <c r="E1897" s="11">
        <f t="shared" si="120"/>
        <v>-216975.02215916448</v>
      </c>
      <c r="F1897" s="11">
        <f>Speed_Calc!B$5*E1897</f>
        <v>-195277.51994324804</v>
      </c>
      <c r="G1897" s="15">
        <f>Speed_Calc!G$3+Speed_Calc!G$5*A1897^2</f>
        <v>158.87917209999401</v>
      </c>
      <c r="H1897" s="7">
        <f>(F1897-G1897)/Speed_Calc!G$2*9.806</f>
        <v>-1419.5920960926687</v>
      </c>
      <c r="I1897" s="4">
        <f t="shared" si="121"/>
        <v>51.694444444443327</v>
      </c>
    </row>
    <row r="1898" spans="1:9" x14ac:dyDescent="0.2">
      <c r="A1898" s="11">
        <v>186.19999999999499</v>
      </c>
      <c r="B1898" s="15">
        <v>3.133</v>
      </c>
      <c r="C1898" s="11">
        <f t="shared" si="118"/>
        <v>24129.646492005573</v>
      </c>
      <c r="D1898" s="11">
        <f t="shared" si="119"/>
        <v>-150044.54923108369</v>
      </c>
      <c r="E1898" s="11">
        <f t="shared" si="120"/>
        <v>-217572.65463154507</v>
      </c>
      <c r="F1898" s="11">
        <f>Speed_Calc!B$5*E1898</f>
        <v>-195815.38916839057</v>
      </c>
      <c r="G1898" s="15">
        <f>Speed_Calc!G$3+Speed_Calc!G$5*A1898^2</f>
        <v>159.02846439999249</v>
      </c>
      <c r="H1898" s="7">
        <f>(F1898-G1898)/Speed_Calc!G$2*9.806</f>
        <v>-1423.5001031904771</v>
      </c>
      <c r="I1898" s="4">
        <f t="shared" si="121"/>
        <v>51.722222222220829</v>
      </c>
    </row>
    <row r="1899" spans="1:9" x14ac:dyDescent="0.2">
      <c r="A1899" s="11">
        <v>186.299999999996</v>
      </c>
      <c r="B1899" s="15">
        <v>3.133</v>
      </c>
      <c r="C1899" s="11">
        <f t="shared" si="118"/>
        <v>24142.605485825254</v>
      </c>
      <c r="D1899" s="11">
        <f t="shared" si="119"/>
        <v>-150538.34002754392</v>
      </c>
      <c r="E1899" s="11">
        <f t="shared" si="120"/>
        <v>-218171.50728630021</v>
      </c>
      <c r="F1899" s="11">
        <f>Speed_Calc!B$5*E1899</f>
        <v>-196354.35655767019</v>
      </c>
      <c r="G1899" s="15">
        <f>Speed_Calc!G$3+Speed_Calc!G$5*A1899^2</f>
        <v>159.17783689999402</v>
      </c>
      <c r="H1899" s="7">
        <f>(F1899-G1899)/Speed_Calc!G$2*9.806</f>
        <v>-1427.4160876097444</v>
      </c>
      <c r="I1899" s="4">
        <f t="shared" si="121"/>
        <v>51.749999999998892</v>
      </c>
    </row>
    <row r="1900" spans="1:9" x14ac:dyDescent="0.2">
      <c r="A1900" s="11">
        <v>186.399999999995</v>
      </c>
      <c r="B1900" s="15">
        <v>3.133</v>
      </c>
      <c r="C1900" s="11">
        <f t="shared" si="118"/>
        <v>24155.564479644672</v>
      </c>
      <c r="D1900" s="11">
        <f t="shared" si="119"/>
        <v>-151033.41793562638</v>
      </c>
      <c r="E1900" s="11">
        <f t="shared" si="120"/>
        <v>-218771.58177371364</v>
      </c>
      <c r="F1900" s="11">
        <f>Speed_Calc!B$5*E1900</f>
        <v>-196894.42359634227</v>
      </c>
      <c r="G1900" s="15">
        <f>Speed_Calc!G$3+Speed_Calc!G$5*A1900^2</f>
        <v>159.32728959999253</v>
      </c>
      <c r="H1900" s="7">
        <f>(F1900-G1900)/Speed_Calc!G$2*9.806</f>
        <v>-1431.3400601389258</v>
      </c>
      <c r="I1900" s="4">
        <f t="shared" si="121"/>
        <v>51.777777777776386</v>
      </c>
    </row>
    <row r="1901" spans="1:9" x14ac:dyDescent="0.2">
      <c r="A1901" s="11">
        <v>186.49999999999599</v>
      </c>
      <c r="B1901" s="15">
        <v>3.133</v>
      </c>
      <c r="C1901" s="11">
        <f t="shared" si="118"/>
        <v>24168.523473464356</v>
      </c>
      <c r="D1901" s="11">
        <f t="shared" si="119"/>
        <v>-151529.78545364449</v>
      </c>
      <c r="E1901" s="11">
        <f t="shared" si="120"/>
        <v>-219372.87974522731</v>
      </c>
      <c r="F1901" s="11">
        <f>Speed_Calc!B$5*E1901</f>
        <v>-197435.59177070457</v>
      </c>
      <c r="G1901" s="15">
        <f>Speed_Calc!G$3+Speed_Calc!G$5*A1901^2</f>
        <v>159.476822499994</v>
      </c>
      <c r="H1901" s="7">
        <f>(F1901-G1901)/Speed_Calc!G$2*9.806</f>
        <v>-1435.2720315740473</v>
      </c>
      <c r="I1901" s="4">
        <f t="shared" si="121"/>
        <v>51.805555555554442</v>
      </c>
    </row>
    <row r="1902" spans="1:9" x14ac:dyDescent="0.2">
      <c r="A1902" s="11">
        <v>186.59999999999499</v>
      </c>
      <c r="B1902" s="15">
        <v>3.133</v>
      </c>
      <c r="C1902" s="11">
        <f t="shared" si="118"/>
        <v>24181.482467283779</v>
      </c>
      <c r="D1902" s="11">
        <f t="shared" si="119"/>
        <v>-152027.44508308475</v>
      </c>
      <c r="E1902" s="11">
        <f t="shared" si="120"/>
        <v>-219975.40285334399</v>
      </c>
      <c r="F1902" s="11">
        <f>Speed_Calc!B$5*E1902</f>
        <v>-197977.86256800959</v>
      </c>
      <c r="G1902" s="15">
        <f>Speed_Calc!G$3+Speed_Calc!G$5*A1902^2</f>
        <v>159.62643559999248</v>
      </c>
      <c r="H1902" s="7">
        <f>(F1902-G1902)/Speed_Calc!G$2*9.806</f>
        <v>-1439.2120127180706</v>
      </c>
      <c r="I1902" s="4">
        <f t="shared" si="121"/>
        <v>51.833333333331943</v>
      </c>
    </row>
    <row r="1903" spans="1:9" x14ac:dyDescent="0.2">
      <c r="A1903" s="11">
        <v>186.69999999999499</v>
      </c>
      <c r="B1903" s="15">
        <v>3.133</v>
      </c>
      <c r="C1903" s="11">
        <f t="shared" si="118"/>
        <v>24194.441461103328</v>
      </c>
      <c r="D1903" s="11">
        <f t="shared" si="119"/>
        <v>-152526.39932868452</v>
      </c>
      <c r="E1903" s="11">
        <f t="shared" si="120"/>
        <v>-220579.15275171891</v>
      </c>
      <c r="F1903" s="11">
        <f>Speed_Calc!B$5*E1903</f>
        <v>-198521.23747654702</v>
      </c>
      <c r="G1903" s="15">
        <f>Speed_Calc!G$3+Speed_Calc!G$5*A1903^2</f>
        <v>159.7761288999925</v>
      </c>
      <c r="H1903" s="7">
        <f>(F1903-G1903)/Speed_Calc!G$2*9.806</f>
        <v>-1443.1600143814912</v>
      </c>
      <c r="I1903" s="4">
        <f t="shared" si="121"/>
        <v>51.861111111109714</v>
      </c>
    </row>
    <row r="1904" spans="1:9" x14ac:dyDescent="0.2">
      <c r="A1904" s="11">
        <v>186.79999999999501</v>
      </c>
      <c r="B1904" s="15">
        <v>3.133</v>
      </c>
      <c r="C1904" s="11">
        <f t="shared" si="118"/>
        <v>24207.400454922885</v>
      </c>
      <c r="D1904" s="11">
        <f t="shared" si="119"/>
        <v>-153026.65069837956</v>
      </c>
      <c r="E1904" s="11">
        <f t="shared" si="120"/>
        <v>-221184.13109509414</v>
      </c>
      <c r="F1904" s="11">
        <f>Speed_Calc!B$5*E1904</f>
        <v>-199065.71798558472</v>
      </c>
      <c r="G1904" s="15">
        <f>Speed_Calc!G$3+Speed_Calc!G$5*A1904^2</f>
        <v>159.92590239999251</v>
      </c>
      <c r="H1904" s="7">
        <f>(F1904-G1904)/Speed_Calc!G$2*9.806</f>
        <v>-1447.1160473819095</v>
      </c>
      <c r="I1904" s="4">
        <f t="shared" si="121"/>
        <v>51.8888888888875</v>
      </c>
    </row>
    <row r="1905" spans="1:9" x14ac:dyDescent="0.2">
      <c r="A1905" s="11">
        <v>186.899999999995</v>
      </c>
      <c r="B1905" s="15">
        <v>3.133</v>
      </c>
      <c r="C1905" s="11">
        <f t="shared" si="118"/>
        <v>24220.359448742434</v>
      </c>
      <c r="D1905" s="11">
        <f t="shared" si="119"/>
        <v>-153528.20170332945</v>
      </c>
      <c r="E1905" s="11">
        <f t="shared" si="120"/>
        <v>-221790.33953932623</v>
      </c>
      <c r="F1905" s="11">
        <f>Speed_Calc!B$5*E1905</f>
        <v>-199611.30558539362</v>
      </c>
      <c r="G1905" s="15">
        <f>Speed_Calc!G$3+Speed_Calc!G$5*A1905^2</f>
        <v>160.0757560999925</v>
      </c>
      <c r="H1905" s="7">
        <f>(F1905-G1905)/Speed_Calc!G$2*9.806</f>
        <v>-1451.0801225442121</v>
      </c>
      <c r="I1905" s="4">
        <f t="shared" si="121"/>
        <v>51.916666666665279</v>
      </c>
    </row>
    <row r="1906" spans="1:9" x14ac:dyDescent="0.2">
      <c r="A1906" s="11">
        <v>186.999999999995</v>
      </c>
      <c r="B1906" s="15">
        <v>3.133</v>
      </c>
      <c r="C1906" s="11">
        <f t="shared" si="118"/>
        <v>24233.31844256198</v>
      </c>
      <c r="D1906" s="11">
        <f t="shared" si="119"/>
        <v>-154031.05485791655</v>
      </c>
      <c r="E1906" s="11">
        <f t="shared" si="120"/>
        <v>-222397.7797413829</v>
      </c>
      <c r="F1906" s="11">
        <f>Speed_Calc!B$5*E1906</f>
        <v>-200158.0017672446</v>
      </c>
      <c r="G1906" s="15">
        <f>Speed_Calc!G$3+Speed_Calc!G$5*A1906^2</f>
        <v>160.22568999999248</v>
      </c>
      <c r="H1906" s="7">
        <f>(F1906-G1906)/Speed_Calc!G$2*9.806</f>
        <v>-1455.0522507005485</v>
      </c>
      <c r="I1906" s="4">
        <f t="shared" si="121"/>
        <v>51.94444444444305</v>
      </c>
    </row>
    <row r="1907" spans="1:9" x14ac:dyDescent="0.2">
      <c r="A1907" s="11">
        <v>187.09999999999499</v>
      </c>
      <c r="B1907" s="15">
        <v>3.133</v>
      </c>
      <c r="C1907" s="11">
        <f t="shared" si="118"/>
        <v>24246.277436381537</v>
      </c>
      <c r="D1907" s="11">
        <f t="shared" si="119"/>
        <v>-154535.2126797472</v>
      </c>
      <c r="E1907" s="11">
        <f t="shared" si="120"/>
        <v>-223006.45335934186</v>
      </c>
      <c r="F1907" s="11">
        <f>Speed_Calc!B$5*E1907</f>
        <v>-200705.80802340768</v>
      </c>
      <c r="G1907" s="15">
        <f>Speed_Calc!G$3+Speed_Calc!G$5*A1907^2</f>
        <v>160.37570409999248</v>
      </c>
      <c r="H1907" s="7">
        <f>(F1907-G1907)/Speed_Calc!G$2*9.806</f>
        <v>-1459.032442690326</v>
      </c>
      <c r="I1907" s="4">
        <f t="shared" si="121"/>
        <v>51.972222222220829</v>
      </c>
    </row>
    <row r="1908" spans="1:9" x14ac:dyDescent="0.2">
      <c r="A1908" s="11">
        <v>187.19999999999499</v>
      </c>
      <c r="B1908" s="15">
        <v>3.133</v>
      </c>
      <c r="C1908" s="11">
        <f t="shared" si="118"/>
        <v>24259.236430201086</v>
      </c>
      <c r="D1908" s="11">
        <f t="shared" si="119"/>
        <v>-155040.67768965292</v>
      </c>
      <c r="E1908" s="11">
        <f t="shared" si="120"/>
        <v>-223616.36205239006</v>
      </c>
      <c r="F1908" s="11">
        <f>Speed_Calc!B$5*E1908</f>
        <v>-201254.72584715107</v>
      </c>
      <c r="G1908" s="15">
        <f>Speed_Calc!G$3+Speed_Calc!G$5*A1908^2</f>
        <v>160.52579839999245</v>
      </c>
      <c r="H1908" s="7">
        <f>(F1908-G1908)/Speed_Calc!G$2*9.806</f>
        <v>-1463.0207093602025</v>
      </c>
      <c r="I1908" s="4">
        <f t="shared" si="121"/>
        <v>51.999999999998607</v>
      </c>
    </row>
    <row r="1909" spans="1:9" x14ac:dyDescent="0.2">
      <c r="A1909" s="11">
        <v>187.29999999999501</v>
      </c>
      <c r="B1909" s="15">
        <v>3.133</v>
      </c>
      <c r="C1909" s="11">
        <f t="shared" si="118"/>
        <v>24272.195424020643</v>
      </c>
      <c r="D1909" s="11">
        <f t="shared" si="119"/>
        <v>-155547.45241169428</v>
      </c>
      <c r="E1909" s="11">
        <f t="shared" si="120"/>
        <v>-224227.50748082524</v>
      </c>
      <c r="F1909" s="11">
        <f>Speed_Calc!B$5*E1909</f>
        <v>-201804.75673274271</v>
      </c>
      <c r="G1909" s="15">
        <f>Speed_Calc!G$3+Speed_Calc!G$5*A1909^2</f>
        <v>160.6759728999925</v>
      </c>
      <c r="H1909" s="7">
        <f>(F1909-G1909)/Speed_Calc!G$2*9.806</f>
        <v>-1467.017061564098</v>
      </c>
      <c r="I1909" s="4">
        <f t="shared" si="121"/>
        <v>52.027777777776393</v>
      </c>
    </row>
    <row r="1910" spans="1:9" x14ac:dyDescent="0.2">
      <c r="A1910" s="11">
        <v>187.399999999995</v>
      </c>
      <c r="B1910" s="15">
        <v>3.133</v>
      </c>
      <c r="C1910" s="11">
        <f t="shared" si="118"/>
        <v>24285.1544178402</v>
      </c>
      <c r="D1910" s="11">
        <f t="shared" si="119"/>
        <v>-156055.53937316139</v>
      </c>
      <c r="E1910" s="11">
        <f t="shared" si="120"/>
        <v>-224839.89130605495</v>
      </c>
      <c r="F1910" s="11">
        <f>Speed_Calc!B$5*E1910</f>
        <v>-202355.90217544948</v>
      </c>
      <c r="G1910" s="15">
        <f>Speed_Calc!G$3+Speed_Calc!G$5*A1910^2</f>
        <v>160.82622759999248</v>
      </c>
      <c r="H1910" s="7">
        <f>(F1910-G1910)/Speed_Calc!G$2*9.806</f>
        <v>-1471.0215101631873</v>
      </c>
      <c r="I1910" s="4">
        <f t="shared" si="121"/>
        <v>52.055555555554164</v>
      </c>
    </row>
    <row r="1911" spans="1:9" x14ac:dyDescent="0.2">
      <c r="A1911" s="11">
        <v>187.499999999995</v>
      </c>
      <c r="B1911" s="15">
        <v>3.133</v>
      </c>
      <c r="C1911" s="11">
        <f t="shared" si="118"/>
        <v>24298.11341165975</v>
      </c>
      <c r="D1911" s="11">
        <f t="shared" si="119"/>
        <v>-156564.9411045762</v>
      </c>
      <c r="E1911" s="11">
        <f t="shared" si="120"/>
        <v>-225453.51519059573</v>
      </c>
      <c r="F1911" s="11">
        <f>Speed_Calc!B$5*E1911</f>
        <v>-202908.16367153617</v>
      </c>
      <c r="G1911" s="15">
        <f>Speed_Calc!G$3+Speed_Calc!G$5*A1911^2</f>
        <v>160.97656249999247</v>
      </c>
      <c r="H1911" s="7">
        <f>(F1911-G1911)/Speed_Calc!G$2*9.806</f>
        <v>-1475.0340660258953</v>
      </c>
      <c r="I1911" s="4">
        <f t="shared" si="121"/>
        <v>52.083333333331943</v>
      </c>
    </row>
    <row r="1912" spans="1:9" x14ac:dyDescent="0.2">
      <c r="A1912" s="11">
        <v>187.59999999999499</v>
      </c>
      <c r="B1912" s="15">
        <v>3.133</v>
      </c>
      <c r="C1912" s="11">
        <f t="shared" si="118"/>
        <v>24311.072405479299</v>
      </c>
      <c r="D1912" s="11">
        <f t="shared" si="119"/>
        <v>-157075.66013969574</v>
      </c>
      <c r="E1912" s="11">
        <f t="shared" si="120"/>
        <v>-226068.38079807561</v>
      </c>
      <c r="F1912" s="11">
        <f>Speed_Calc!B$5*E1912</f>
        <v>-203461.54271826806</v>
      </c>
      <c r="G1912" s="15">
        <f>Speed_Calc!G$3+Speed_Calc!G$5*A1912^2</f>
        <v>161.12697759999244</v>
      </c>
      <c r="H1912" s="7">
        <f>(F1912-G1912)/Speed_Calc!G$2*9.806</f>
        <v>-1479.0547400279127</v>
      </c>
      <c r="I1912" s="4">
        <f t="shared" si="121"/>
        <v>52.111111111109722</v>
      </c>
    </row>
    <row r="1913" spans="1:9" x14ac:dyDescent="0.2">
      <c r="A1913" s="11">
        <v>187.69999999999499</v>
      </c>
      <c r="B1913" s="15">
        <v>3.133</v>
      </c>
      <c r="C1913" s="11">
        <f t="shared" si="118"/>
        <v>24324.031399298849</v>
      </c>
      <c r="D1913" s="11">
        <f t="shared" si="119"/>
        <v>-157587.69901551309</v>
      </c>
      <c r="E1913" s="11">
        <f t="shared" si="120"/>
        <v>-226684.48979323218</v>
      </c>
      <c r="F1913" s="11">
        <f>Speed_Calc!B$5*E1913</f>
        <v>-204016.04081390897</v>
      </c>
      <c r="G1913" s="15">
        <f>Speed_Calc!G$3+Speed_Calc!G$5*A1913^2</f>
        <v>161.27747289999243</v>
      </c>
      <c r="H1913" s="7">
        <f>(F1913-G1913)/Speed_Calc!G$2*9.806</f>
        <v>-1483.0835430521843</v>
      </c>
      <c r="I1913" s="4">
        <f t="shared" si="121"/>
        <v>52.138888888887493</v>
      </c>
    </row>
    <row r="1914" spans="1:9" x14ac:dyDescent="0.2">
      <c r="A1914" s="11">
        <v>187.79999999999501</v>
      </c>
      <c r="B1914" s="15">
        <v>3.133</v>
      </c>
      <c r="C1914" s="11">
        <f t="shared" si="118"/>
        <v>24336.990393118405</v>
      </c>
      <c r="D1914" s="11">
        <f t="shared" si="119"/>
        <v>-158101.06027225967</v>
      </c>
      <c r="E1914" s="11">
        <f t="shared" si="120"/>
        <v>-227301.84384191292</v>
      </c>
      <c r="F1914" s="11">
        <f>Speed_Calc!B$5*E1914</f>
        <v>-204571.65945772163</v>
      </c>
      <c r="G1914" s="15">
        <f>Speed_Calc!G$3+Speed_Calc!G$5*A1914^2</f>
        <v>161.42804839999246</v>
      </c>
      <c r="H1914" s="7">
        <f>(F1914-G1914)/Speed_Calc!G$2*9.806</f>
        <v>-1487.1204859889101</v>
      </c>
      <c r="I1914" s="4">
        <f t="shared" si="121"/>
        <v>52.166666666665279</v>
      </c>
    </row>
    <row r="1915" spans="1:9" x14ac:dyDescent="0.2">
      <c r="A1915" s="11">
        <v>187.899999999995</v>
      </c>
      <c r="B1915" s="15">
        <v>3.133</v>
      </c>
      <c r="C1915" s="11">
        <f t="shared" si="118"/>
        <v>24349.949386937955</v>
      </c>
      <c r="D1915" s="11">
        <f t="shared" si="119"/>
        <v>-158615.74645340664</v>
      </c>
      <c r="E1915" s="11">
        <f t="shared" si="120"/>
        <v>-227920.44461107469</v>
      </c>
      <c r="F1915" s="11">
        <f>Speed_Calc!B$5*E1915</f>
        <v>-205128.40014996723</v>
      </c>
      <c r="G1915" s="15">
        <f>Speed_Calc!G$3+Speed_Calc!G$5*A1915^2</f>
        <v>161.57870409999245</v>
      </c>
      <c r="H1915" s="7">
        <f>(F1915-G1915)/Speed_Calc!G$2*9.806</f>
        <v>-1491.1655797355431</v>
      </c>
      <c r="I1915" s="4">
        <f t="shared" si="121"/>
        <v>52.194444444443057</v>
      </c>
    </row>
    <row r="1916" spans="1:9" x14ac:dyDescent="0.2">
      <c r="A1916" s="11">
        <v>187.999999999995</v>
      </c>
      <c r="B1916" s="15">
        <v>3.133</v>
      </c>
      <c r="C1916" s="11">
        <f t="shared" si="118"/>
        <v>24362.908380757504</v>
      </c>
      <c r="D1916" s="11">
        <f t="shared" si="119"/>
        <v>-159131.76010566857</v>
      </c>
      <c r="E1916" s="11">
        <f t="shared" si="120"/>
        <v>-228540.29376878543</v>
      </c>
      <c r="F1916" s="11">
        <f>Speed_Calc!B$5*E1916</f>
        <v>-205686.26439190688</v>
      </c>
      <c r="G1916" s="15">
        <f>Speed_Calc!G$3+Speed_Calc!G$5*A1916^2</f>
        <v>161.72943999999245</v>
      </c>
      <c r="H1916" s="7">
        <f>(F1916-G1916)/Speed_Calc!G$2*9.806</f>
        <v>-1495.2188351967991</v>
      </c>
      <c r="I1916" s="4">
        <f t="shared" si="121"/>
        <v>52.222222222220829</v>
      </c>
    </row>
    <row r="1917" spans="1:9" x14ac:dyDescent="0.2">
      <c r="A1917" s="11">
        <v>188.09999999999499</v>
      </c>
      <c r="B1917" s="15">
        <v>3.133</v>
      </c>
      <c r="C1917" s="11">
        <f t="shared" si="118"/>
        <v>24375.867374577057</v>
      </c>
      <c r="D1917" s="11">
        <f t="shared" si="119"/>
        <v>-159649.10377900422</v>
      </c>
      <c r="E1917" s="11">
        <f t="shared" si="120"/>
        <v>-229161.39298422268</v>
      </c>
      <c r="F1917" s="11">
        <f>Speed_Calc!B$5*E1917</f>
        <v>-206245.25368580042</v>
      </c>
      <c r="G1917" s="15">
        <f>Speed_Calc!G$3+Speed_Calc!G$5*A1917^2</f>
        <v>161.88025609999244</v>
      </c>
      <c r="H1917" s="7">
        <f>(F1917-G1917)/Speed_Calc!G$2*9.806</f>
        <v>-1499.2802632846483</v>
      </c>
      <c r="I1917" s="4">
        <f t="shared" si="121"/>
        <v>52.249999999998607</v>
      </c>
    </row>
    <row r="1918" spans="1:9" x14ac:dyDescent="0.2">
      <c r="A1918" s="11">
        <v>188.19999999999499</v>
      </c>
      <c r="B1918" s="15">
        <v>3.133</v>
      </c>
      <c r="C1918" s="11">
        <f t="shared" si="118"/>
        <v>24388.826368396611</v>
      </c>
      <c r="D1918" s="11">
        <f t="shared" si="119"/>
        <v>-160167.78002661883</v>
      </c>
      <c r="E1918" s="11">
        <f t="shared" si="120"/>
        <v>-229783.74392767396</v>
      </c>
      <c r="F1918" s="11">
        <f>Speed_Calc!B$5*E1918</f>
        <v>-206805.36953490658</v>
      </c>
      <c r="G1918" s="15">
        <f>Speed_Calc!G$3+Speed_Calc!G$5*A1918^2</f>
        <v>162.03115239999244</v>
      </c>
      <c r="H1918" s="7">
        <f>(F1918-G1918)/Speed_Calc!G$2*9.806</f>
        <v>-1503.349874918317</v>
      </c>
      <c r="I1918" s="4">
        <f t="shared" si="121"/>
        <v>52.277777777776386</v>
      </c>
    </row>
    <row r="1919" spans="1:9" x14ac:dyDescent="0.2">
      <c r="A1919" s="11">
        <v>188.29999999999501</v>
      </c>
      <c r="B1919" s="15">
        <v>3.133</v>
      </c>
      <c r="C1919" s="11">
        <f t="shared" si="118"/>
        <v>24401.785362216171</v>
      </c>
      <c r="D1919" s="11">
        <f t="shared" si="119"/>
        <v>-160687.79140496647</v>
      </c>
      <c r="E1919" s="11">
        <f t="shared" si="120"/>
        <v>-230407.34827053684</v>
      </c>
      <c r="F1919" s="11">
        <f>Speed_Calc!B$5*E1919</f>
        <v>-207366.61344348316</v>
      </c>
      <c r="G1919" s="15">
        <f>Speed_Calc!G$3+Speed_Calc!G$5*A1919^2</f>
        <v>162.18212889999245</v>
      </c>
      <c r="H1919" s="7">
        <f>(F1919-G1919)/Speed_Calc!G$2*9.806</f>
        <v>-1507.4276810242882</v>
      </c>
      <c r="I1919" s="4">
        <f t="shared" si="121"/>
        <v>52.305555555554164</v>
      </c>
    </row>
    <row r="1920" spans="1:9" x14ac:dyDescent="0.2">
      <c r="A1920" s="11">
        <v>188.399999999995</v>
      </c>
      <c r="B1920" s="15">
        <v>3.133</v>
      </c>
      <c r="C1920" s="11">
        <f t="shared" si="118"/>
        <v>24414.744356035721</v>
      </c>
      <c r="D1920" s="11">
        <f t="shared" si="119"/>
        <v>-161209.14047375094</v>
      </c>
      <c r="E1920" s="11">
        <f t="shared" si="120"/>
        <v>-231032.20768531793</v>
      </c>
      <c r="F1920" s="11">
        <f>Speed_Calc!B$5*E1920</f>
        <v>-207928.98691678615</v>
      </c>
      <c r="G1920" s="15">
        <f>Speed_Calc!G$3+Speed_Calc!G$5*A1920^2</f>
        <v>162.33318559999245</v>
      </c>
      <c r="H1920" s="7">
        <f>(F1920-G1920)/Speed_Calc!G$2*9.806</f>
        <v>-1511.5136925362949</v>
      </c>
      <c r="I1920" s="4">
        <f t="shared" si="121"/>
        <v>52.333333333331943</v>
      </c>
    </row>
    <row r="1921" spans="1:9" x14ac:dyDescent="0.2">
      <c r="A1921" s="11">
        <v>188.499999999995</v>
      </c>
      <c r="B1921" s="15">
        <v>3.133</v>
      </c>
      <c r="C1921" s="11">
        <f t="shared" si="118"/>
        <v>24427.70334985527</v>
      </c>
      <c r="D1921" s="11">
        <f t="shared" si="119"/>
        <v>-161731.82979593013</v>
      </c>
      <c r="E1921" s="11">
        <f t="shared" si="120"/>
        <v>-231658.32384563555</v>
      </c>
      <c r="F1921" s="11">
        <f>Speed_Calc!B$5*E1921</f>
        <v>-208492.491461072</v>
      </c>
      <c r="G1921" s="15">
        <f>Speed_Calc!G$3+Speed_Calc!G$5*A1921^2</f>
        <v>162.48432249999243</v>
      </c>
      <c r="H1921" s="7">
        <f>(F1921-G1921)/Speed_Calc!G$2*9.806</f>
        <v>-1515.6079203953382</v>
      </c>
      <c r="I1921" s="4">
        <f t="shared" si="121"/>
        <v>52.361111111109722</v>
      </c>
    </row>
    <row r="1922" spans="1:9" x14ac:dyDescent="0.2">
      <c r="A1922" s="11">
        <v>188.59999999999499</v>
      </c>
      <c r="B1922" s="15">
        <v>3.133</v>
      </c>
      <c r="C1922" s="11">
        <f t="shared" si="118"/>
        <v>24440.66234367482</v>
      </c>
      <c r="D1922" s="11">
        <f t="shared" si="119"/>
        <v>-162255.86193771611</v>
      </c>
      <c r="E1922" s="11">
        <f t="shared" si="120"/>
        <v>-232285.69842621696</v>
      </c>
      <c r="F1922" s="11">
        <f>Speed_Calc!B$5*E1922</f>
        <v>-209057.12858359527</v>
      </c>
      <c r="G1922" s="15">
        <f>Speed_Calc!G$3+Speed_Calc!G$5*A1922^2</f>
        <v>162.63553959999243</v>
      </c>
      <c r="H1922" s="7">
        <f>(F1922-G1922)/Speed_Calc!G$2*9.806</f>
        <v>-1519.7103755496687</v>
      </c>
      <c r="I1922" s="4">
        <f t="shared" si="121"/>
        <v>52.388888888887493</v>
      </c>
    </row>
    <row r="1923" spans="1:9" x14ac:dyDescent="0.2">
      <c r="A1923" s="11">
        <v>188.69999999999499</v>
      </c>
      <c r="B1923" s="15">
        <v>3.133</v>
      </c>
      <c r="C1923" s="11">
        <f t="shared" si="118"/>
        <v>24453.621337494369</v>
      </c>
      <c r="D1923" s="11">
        <f t="shared" si="119"/>
        <v>-162781.23946857778</v>
      </c>
      <c r="E1923" s="11">
        <f t="shared" si="120"/>
        <v>-232914.33310289972</v>
      </c>
      <c r="F1923" s="11">
        <f>Speed_Calc!B$5*E1923</f>
        <v>-209622.89979260977</v>
      </c>
      <c r="G1923" s="15">
        <f>Speed_Calc!G$3+Speed_Calc!G$5*A1923^2</f>
        <v>162.78683689999241</v>
      </c>
      <c r="H1923" s="7">
        <f>(F1923-G1923)/Speed_Calc!G$2*9.806</f>
        <v>-1523.8210689547943</v>
      </c>
      <c r="I1923" s="4">
        <f t="shared" si="121"/>
        <v>52.416666666665272</v>
      </c>
    </row>
    <row r="1924" spans="1:9" x14ac:dyDescent="0.2">
      <c r="A1924" s="11">
        <v>188.79999999999501</v>
      </c>
      <c r="B1924" s="15">
        <v>3.133</v>
      </c>
      <c r="C1924" s="11">
        <f t="shared" si="118"/>
        <v>24466.580331313926</v>
      </c>
      <c r="D1924" s="11">
        <f t="shared" si="119"/>
        <v>-163307.96496124347</v>
      </c>
      <c r="E1924" s="11">
        <f t="shared" si="120"/>
        <v>-233544.22955263191</v>
      </c>
      <c r="F1924" s="11">
        <f>Speed_Calc!B$5*E1924</f>
        <v>-210189.80659736873</v>
      </c>
      <c r="G1924" s="15">
        <f>Speed_Calc!G$3+Speed_Calc!G$5*A1924^2</f>
        <v>162.93821439999243</v>
      </c>
      <c r="H1924" s="7">
        <f>(F1924-G1924)/Speed_Calc!G$2*9.806</f>
        <v>-1527.9400115734845</v>
      </c>
      <c r="I1924" s="4">
        <f t="shared" si="121"/>
        <v>52.444444444443057</v>
      </c>
    </row>
    <row r="1925" spans="1:9" x14ac:dyDescent="0.2">
      <c r="A1925" s="11">
        <v>188.899999999995</v>
      </c>
      <c r="B1925" s="15">
        <v>3.133</v>
      </c>
      <c r="C1925" s="11">
        <f t="shared" si="118"/>
        <v>24479.539325133483</v>
      </c>
      <c r="D1925" s="11">
        <f t="shared" si="119"/>
        <v>-163836.04099170165</v>
      </c>
      <c r="E1925" s="11">
        <f t="shared" si="120"/>
        <v>-234175.38945347065</v>
      </c>
      <c r="F1925" s="11">
        <f>Speed_Calc!B$5*E1925</f>
        <v>-210757.85050812358</v>
      </c>
      <c r="G1925" s="15">
        <f>Speed_Calc!G$3+Speed_Calc!G$5*A1925^2</f>
        <v>163.08967209999244</v>
      </c>
      <c r="H1925" s="7">
        <f>(F1925-G1925)/Speed_Calc!G$2*9.806</f>
        <v>-1532.0672143757572</v>
      </c>
      <c r="I1925" s="4">
        <f t="shared" si="121"/>
        <v>52.472222222220836</v>
      </c>
    </row>
    <row r="1926" spans="1:9" x14ac:dyDescent="0.2">
      <c r="A1926" s="11">
        <v>188.999999999995</v>
      </c>
      <c r="B1926" s="15">
        <v>3.133</v>
      </c>
      <c r="C1926" s="11">
        <f t="shared" si="118"/>
        <v>24492.498318953025</v>
      </c>
      <c r="D1926" s="11">
        <f t="shared" si="119"/>
        <v>-164365.47013920345</v>
      </c>
      <c r="E1926" s="11">
        <f t="shared" si="120"/>
        <v>-234807.8144845826</v>
      </c>
      <c r="F1926" s="11">
        <f>Speed_Calc!B$5*E1926</f>
        <v>-211327.03303612434</v>
      </c>
      <c r="G1926" s="15">
        <f>Speed_Calc!G$3+Speed_Calc!G$5*A1926^2</f>
        <v>163.24120999999241</v>
      </c>
      <c r="H1926" s="7">
        <f>(F1926-G1926)/Speed_Calc!G$2*9.806</f>
        <v>-1536.2026883388851</v>
      </c>
      <c r="I1926" s="4">
        <f t="shared" si="121"/>
        <v>52.499999999998607</v>
      </c>
    </row>
    <row r="1927" spans="1:9" x14ac:dyDescent="0.2">
      <c r="A1927" s="11">
        <v>189.09999999999499</v>
      </c>
      <c r="B1927" s="15">
        <v>3.133</v>
      </c>
      <c r="C1927" s="11">
        <f t="shared" si="118"/>
        <v>24505.457312772578</v>
      </c>
      <c r="D1927" s="11">
        <f t="shared" si="119"/>
        <v>-164896.25498626687</v>
      </c>
      <c r="E1927" s="11">
        <f t="shared" si="120"/>
        <v>-235441.50632624663</v>
      </c>
      <c r="F1927" s="11">
        <f>Speed_Calc!B$5*E1927</f>
        <v>-211897.35569362197</v>
      </c>
      <c r="G1927" s="15">
        <f>Speed_Calc!G$3+Speed_Calc!G$5*A1927^2</f>
        <v>163.39282809999239</v>
      </c>
      <c r="H1927" s="7">
        <f>(F1927-G1927)/Speed_Calc!G$2*9.806</f>
        <v>-1540.3464444474114</v>
      </c>
      <c r="I1927" s="4">
        <f t="shared" si="121"/>
        <v>52.527777777776386</v>
      </c>
    </row>
    <row r="1928" spans="1:9" x14ac:dyDescent="0.2">
      <c r="A1928" s="11">
        <v>189.19999999999499</v>
      </c>
      <c r="B1928" s="15">
        <v>3.133</v>
      </c>
      <c r="C1928" s="11">
        <f t="shared" si="118"/>
        <v>24518.416306592138</v>
      </c>
      <c r="D1928" s="11">
        <f t="shared" si="119"/>
        <v>-165428.39811867604</v>
      </c>
      <c r="E1928" s="11">
        <f t="shared" si="120"/>
        <v>-236076.46665985044</v>
      </c>
      <c r="F1928" s="11">
        <f>Speed_Calc!B$5*E1928</f>
        <v>-212468.81999386541</v>
      </c>
      <c r="G1928" s="15">
        <f>Speed_Calc!G$3+Speed_Calc!G$5*A1928^2</f>
        <v>163.54452639999238</v>
      </c>
      <c r="H1928" s="7">
        <f>(F1928-G1928)/Speed_Calc!G$2*9.806</f>
        <v>-1544.4984936931276</v>
      </c>
      <c r="I1928" s="4">
        <f t="shared" si="121"/>
        <v>52.555555555554164</v>
      </c>
    </row>
    <row r="1929" spans="1:9" x14ac:dyDescent="0.2">
      <c r="A1929" s="11">
        <v>189.29999999999501</v>
      </c>
      <c r="B1929" s="15">
        <v>3.133</v>
      </c>
      <c r="C1929" s="11">
        <f t="shared" si="118"/>
        <v>24531.375300411688</v>
      </c>
      <c r="D1929" s="11">
        <f t="shared" si="119"/>
        <v>-165961.90212548315</v>
      </c>
      <c r="E1929" s="11">
        <f t="shared" si="120"/>
        <v>-236712.69716789032</v>
      </c>
      <c r="F1929" s="11">
        <f>Speed_Calc!B$5*E1929</f>
        <v>-213041.42745110131</v>
      </c>
      <c r="G1929" s="15">
        <f>Speed_Calc!G$3+Speed_Calc!G$5*A1929^2</f>
        <v>163.69630489999241</v>
      </c>
      <c r="H1929" s="7">
        <f>(F1929-G1929)/Speed_Calc!G$2*9.806</f>
        <v>-1548.658847075073</v>
      </c>
      <c r="I1929" s="4">
        <f t="shared" si="121"/>
        <v>52.583333333331943</v>
      </c>
    </row>
    <row r="1930" spans="1:9" x14ac:dyDescent="0.2">
      <c r="A1930" s="11">
        <v>189.399999999995</v>
      </c>
      <c r="B1930" s="15">
        <v>3.133</v>
      </c>
      <c r="C1930" s="11">
        <f t="shared" si="118"/>
        <v>24544.334294231237</v>
      </c>
      <c r="D1930" s="11">
        <f t="shared" si="119"/>
        <v>-166496.76959901321</v>
      </c>
      <c r="E1930" s="11">
        <f t="shared" si="120"/>
        <v>-237350.19953397446</v>
      </c>
      <c r="F1930" s="11">
        <f>Speed_Calc!B$5*E1930</f>
        <v>-213615.17958057701</v>
      </c>
      <c r="G1930" s="15">
        <f>Speed_Calc!G$3+Speed_Calc!G$5*A1930^2</f>
        <v>163.8481635999924</v>
      </c>
      <c r="H1930" s="7">
        <f>(F1930-G1930)/Speed_Calc!G$2*9.806</f>
        <v>-1552.8275155995552</v>
      </c>
      <c r="I1930" s="4">
        <f t="shared" si="121"/>
        <v>52.611111111109722</v>
      </c>
    </row>
    <row r="1931" spans="1:9" x14ac:dyDescent="0.2">
      <c r="A1931" s="11">
        <v>189.499999999995</v>
      </c>
      <c r="B1931" s="15">
        <v>3.133</v>
      </c>
      <c r="C1931" s="11">
        <f t="shared" si="118"/>
        <v>24557.293288050791</v>
      </c>
      <c r="D1931" s="11">
        <f t="shared" si="119"/>
        <v>-167033.00313486427</v>
      </c>
      <c r="E1931" s="11">
        <f t="shared" si="120"/>
        <v>-237988.97544282081</v>
      </c>
      <c r="F1931" s="11">
        <f>Speed_Calc!B$5*E1931</f>
        <v>-214190.07789853873</v>
      </c>
      <c r="G1931" s="15">
        <f>Speed_Calc!G$3+Speed_Calc!G$5*A1931^2</f>
        <v>164.00010249999238</v>
      </c>
      <c r="H1931" s="7">
        <f>(F1931-G1931)/Speed_Calc!G$2*9.806</f>
        <v>-1557.0045102801373</v>
      </c>
      <c r="I1931" s="4">
        <f t="shared" si="121"/>
        <v>52.6388888888875</v>
      </c>
    </row>
    <row r="1932" spans="1:9" x14ac:dyDescent="0.2">
      <c r="A1932" s="11">
        <v>189.59999999999499</v>
      </c>
      <c r="B1932" s="15">
        <v>3.133</v>
      </c>
      <c r="C1932" s="11">
        <f t="shared" si="118"/>
        <v>24570.25228187034</v>
      </c>
      <c r="D1932" s="11">
        <f t="shared" si="119"/>
        <v>-167570.60533190903</v>
      </c>
      <c r="E1932" s="11">
        <f t="shared" si="120"/>
        <v>-238629.02658025658</v>
      </c>
      <c r="F1932" s="11">
        <f>Speed_Calc!B$5*E1932</f>
        <v>-214766.12392223094</v>
      </c>
      <c r="G1932" s="15">
        <f>Speed_Calc!G$3+Speed_Calc!G$5*A1932^2</f>
        <v>164.1521215999924</v>
      </c>
      <c r="H1932" s="7">
        <f>(F1932-G1932)/Speed_Calc!G$2*9.806</f>
        <v>-1561.1898421376341</v>
      </c>
      <c r="I1932" s="4">
        <f t="shared" si="121"/>
        <v>52.666666666665272</v>
      </c>
    </row>
    <row r="1933" spans="1:9" x14ac:dyDescent="0.2">
      <c r="A1933" s="11">
        <v>189.69999999999499</v>
      </c>
      <c r="B1933" s="15">
        <v>3.133</v>
      </c>
      <c r="C1933" s="11">
        <f t="shared" si="118"/>
        <v>24583.211275689893</v>
      </c>
      <c r="D1933" s="11">
        <f t="shared" si="119"/>
        <v>-168109.57879229842</v>
      </c>
      <c r="E1933" s="11">
        <f t="shared" si="120"/>
        <v>-239270.35463321969</v>
      </c>
      <c r="F1933" s="11">
        <f>Speed_Calc!B$5*E1933</f>
        <v>-215343.31916989773</v>
      </c>
      <c r="G1933" s="15">
        <f>Speed_Calc!G$3+Speed_Calc!G$5*A1933^2</f>
        <v>164.30422089999237</v>
      </c>
      <c r="H1933" s="7">
        <f>(F1933-G1933)/Speed_Calc!G$2*9.806</f>
        <v>-1565.3835222001203</v>
      </c>
      <c r="I1933" s="4">
        <f t="shared" si="121"/>
        <v>52.69444444444305</v>
      </c>
    </row>
    <row r="1934" spans="1:9" x14ac:dyDescent="0.2">
      <c r="A1934" s="11">
        <v>189.79999999999501</v>
      </c>
      <c r="B1934" s="15">
        <v>3.133</v>
      </c>
      <c r="C1934" s="11">
        <f t="shared" si="118"/>
        <v>24596.170269509454</v>
      </c>
      <c r="D1934" s="11">
        <f t="shared" si="119"/>
        <v>-168649.92612146249</v>
      </c>
      <c r="E1934" s="11">
        <f t="shared" si="120"/>
        <v>-239912.96128975795</v>
      </c>
      <c r="F1934" s="11">
        <f>Speed_Calc!B$5*E1934</f>
        <v>-215921.66516078217</v>
      </c>
      <c r="G1934" s="15">
        <f>Speed_Calc!G$3+Speed_Calc!G$5*A1934^2</f>
        <v>164.45640039999239</v>
      </c>
      <c r="H1934" s="7">
        <f>(F1934-G1934)/Speed_Calc!G$2*9.806</f>
        <v>-1569.5855615029275</v>
      </c>
      <c r="I1934" s="4">
        <f t="shared" si="121"/>
        <v>52.722222222220836</v>
      </c>
    </row>
    <row r="1935" spans="1:9" x14ac:dyDescent="0.2">
      <c r="A1935" s="11">
        <v>189.899999999995</v>
      </c>
      <c r="B1935" s="15">
        <v>3.133</v>
      </c>
      <c r="C1935" s="11">
        <f t="shared" ref="C1935:C1998" si="122">A1935/3.6/B$23/2/PI()*B$32*B$31*B1935*60</f>
        <v>24609.129263329003</v>
      </c>
      <c r="D1935" s="11">
        <f t="shared" ref="D1935:D1998" si="123">-4.687*10^(-17)*C1935^5+9.129*10^(-13)*C1935^4-6.175*10^(-9)*C1935^3+1.799*10^(-5)*C1935^2+6.502*10^(-3)*C1935</f>
        <v>-169191.6499281119</v>
      </c>
      <c r="E1935" s="11">
        <f t="shared" ref="E1935:E1998" si="124">D1935*75*B1935*B$31*B$32/B$23/C1935/2/PI()*60</f>
        <v>-240556.84823902801</v>
      </c>
      <c r="F1935" s="11">
        <f>Speed_Calc!B$5*E1935</f>
        <v>-216501.16341512522</v>
      </c>
      <c r="G1935" s="15">
        <f>Speed_Calc!G$3+Speed_Calc!G$5*A1935^2</f>
        <v>164.60866009999239</v>
      </c>
      <c r="H1935" s="7">
        <f>(F1935-G1935)/Speed_Calc!G$2*9.806</f>
        <v>-1573.795971088636</v>
      </c>
      <c r="I1935" s="4">
        <f t="shared" ref="I1935:I1998" si="125">A1935/3.6</f>
        <v>52.749999999998607</v>
      </c>
    </row>
    <row r="1936" spans="1:9" x14ac:dyDescent="0.2">
      <c r="A1936" s="11">
        <v>189.999999999995</v>
      </c>
      <c r="B1936" s="15">
        <v>3.133</v>
      </c>
      <c r="C1936" s="11">
        <f t="shared" si="122"/>
        <v>24622.088257148553</v>
      </c>
      <c r="D1936" s="11">
        <f t="shared" si="123"/>
        <v>-169734.75282424243</v>
      </c>
      <c r="E1936" s="11">
        <f t="shared" si="124"/>
        <v>-241202.01717129827</v>
      </c>
      <c r="F1936" s="11">
        <f>Speed_Calc!B$5*E1936</f>
        <v>-217081.81545416845</v>
      </c>
      <c r="G1936" s="15">
        <f>Speed_Calc!G$3+Speed_Calc!G$5*A1936^2</f>
        <v>164.76099999999238</v>
      </c>
      <c r="H1936" s="7">
        <f>(F1936-G1936)/Speed_Calc!G$2*9.806</f>
        <v>-1578.0147620070932</v>
      </c>
      <c r="I1936" s="4">
        <f t="shared" si="125"/>
        <v>52.777777777776386</v>
      </c>
    </row>
    <row r="1937" spans="1:9" x14ac:dyDescent="0.2">
      <c r="A1937" s="11">
        <v>190.09999999999499</v>
      </c>
      <c r="B1937" s="15">
        <v>3.133</v>
      </c>
      <c r="C1937" s="11">
        <f t="shared" si="122"/>
        <v>24635.047250968109</v>
      </c>
      <c r="D1937" s="11">
        <f t="shared" si="123"/>
        <v>-170279.23742513492</v>
      </c>
      <c r="E1937" s="11">
        <f t="shared" si="124"/>
        <v>-241848.46977794654</v>
      </c>
      <c r="F1937" s="11">
        <f>Speed_Calc!B$5*E1937</f>
        <v>-217663.62280015188</v>
      </c>
      <c r="G1937" s="15">
        <f>Speed_Calc!G$3+Speed_Calc!G$5*A1937^2</f>
        <v>164.91342009999235</v>
      </c>
      <c r="H1937" s="7">
        <f>(F1937-G1937)/Speed_Calc!G$2*9.806</f>
        <v>-1582.2419453153998</v>
      </c>
      <c r="I1937" s="4">
        <f t="shared" si="125"/>
        <v>52.805555555554164</v>
      </c>
    </row>
    <row r="1938" spans="1:9" x14ac:dyDescent="0.2">
      <c r="A1938" s="11">
        <v>190.19999999999499</v>
      </c>
      <c r="B1938" s="15">
        <v>3.133</v>
      </c>
      <c r="C1938" s="11">
        <f t="shared" si="122"/>
        <v>24648.006244787652</v>
      </c>
      <c r="D1938" s="11">
        <f t="shared" si="123"/>
        <v>-170825.10634935691</v>
      </c>
      <c r="E1938" s="11">
        <f t="shared" si="124"/>
        <v>-242496.20775145947</v>
      </c>
      <c r="F1938" s="11">
        <f>Speed_Calc!B$5*E1938</f>
        <v>-218246.58697631353</v>
      </c>
      <c r="G1938" s="15">
        <f>Speed_Calc!G$3+Speed_Calc!G$5*A1938^2</f>
        <v>165.06592039999234</v>
      </c>
      <c r="H1938" s="7">
        <f>(F1938-G1938)/Speed_Calc!G$2*9.806</f>
        <v>-1586.4775320779056</v>
      </c>
      <c r="I1938" s="4">
        <f t="shared" si="125"/>
        <v>52.833333333331936</v>
      </c>
    </row>
    <row r="1939" spans="1:9" x14ac:dyDescent="0.2">
      <c r="A1939" s="11">
        <v>190.29999999999501</v>
      </c>
      <c r="B1939" s="15">
        <v>3.133</v>
      </c>
      <c r="C1939" s="11">
        <f t="shared" si="122"/>
        <v>24660.965238607208</v>
      </c>
      <c r="D1939" s="11">
        <f t="shared" si="123"/>
        <v>-171372.36221876767</v>
      </c>
      <c r="E1939" s="11">
        <f t="shared" si="124"/>
        <v>-243145.23278543618</v>
      </c>
      <c r="F1939" s="11">
        <f>Speed_Calc!B$5*E1939</f>
        <v>-218830.70950689257</v>
      </c>
      <c r="G1939" s="15">
        <f>Speed_Calc!G$3+Speed_Calc!G$5*A1939^2</f>
        <v>165.21850089999236</v>
      </c>
      <c r="H1939" s="7">
        <f>(F1939-G1939)/Speed_Calc!G$2*9.806</f>
        <v>-1590.7215333662323</v>
      </c>
      <c r="I1939" s="4">
        <f t="shared" si="125"/>
        <v>52.861111111109722</v>
      </c>
    </row>
    <row r="1940" spans="1:9" x14ac:dyDescent="0.2">
      <c r="A1940" s="11">
        <v>190.399999999995</v>
      </c>
      <c r="B1940" s="15">
        <v>3.133</v>
      </c>
      <c r="C1940" s="11">
        <f t="shared" si="122"/>
        <v>24673.924232426758</v>
      </c>
      <c r="D1940" s="11">
        <f t="shared" si="123"/>
        <v>-171921.00765851623</v>
      </c>
      <c r="E1940" s="11">
        <f t="shared" si="124"/>
        <v>-243795.54657458302</v>
      </c>
      <c r="F1940" s="11">
        <f>Speed_Calc!B$5*E1940</f>
        <v>-219415.99191712472</v>
      </c>
      <c r="G1940" s="15">
        <f>Speed_Calc!G$3+Speed_Calc!G$5*A1940^2</f>
        <v>165.37116159999235</v>
      </c>
      <c r="H1940" s="7">
        <f>(F1940-G1940)/Speed_Calc!G$2*9.806</f>
        <v>-1594.9739602592401</v>
      </c>
      <c r="I1940" s="4">
        <f t="shared" si="125"/>
        <v>52.8888888888875</v>
      </c>
    </row>
    <row r="1941" spans="1:9" x14ac:dyDescent="0.2">
      <c r="A1941" s="11">
        <v>190.499999999995</v>
      </c>
      <c r="B1941" s="15">
        <v>3.133</v>
      </c>
      <c r="C1941" s="11">
        <f t="shared" si="122"/>
        <v>24686.883226246315</v>
      </c>
      <c r="D1941" s="11">
        <f t="shared" si="123"/>
        <v>-172471.04529704707</v>
      </c>
      <c r="E1941" s="11">
        <f t="shared" si="124"/>
        <v>-244447.15081471883</v>
      </c>
      <c r="F1941" s="11">
        <f>Speed_Calc!B$5*E1941</f>
        <v>-220002.43573324694</v>
      </c>
      <c r="G1941" s="15">
        <f>Speed_Calc!G$3+Speed_Calc!G$5*A1941^2</f>
        <v>165.52390249999235</v>
      </c>
      <c r="H1941" s="7">
        <f>(F1941-G1941)/Speed_Calc!G$2*9.806</f>
        <v>-1599.2348238430625</v>
      </c>
      <c r="I1941" s="4">
        <f t="shared" si="125"/>
        <v>52.916666666665279</v>
      </c>
    </row>
    <row r="1942" spans="1:9" x14ac:dyDescent="0.2">
      <c r="A1942" s="11">
        <v>190.59999999999499</v>
      </c>
      <c r="B1942" s="15">
        <v>3.133</v>
      </c>
      <c r="C1942" s="11">
        <f t="shared" si="122"/>
        <v>24699.842220065864</v>
      </c>
      <c r="D1942" s="11">
        <f t="shared" si="123"/>
        <v>-173022.47776609927</v>
      </c>
      <c r="E1942" s="11">
        <f t="shared" si="124"/>
        <v>-245100.04720277042</v>
      </c>
      <c r="F1942" s="11">
        <f>Speed_Calc!B$5*E1942</f>
        <v>-220590.04248249339</v>
      </c>
      <c r="G1942" s="15">
        <f>Speed_Calc!G$3+Speed_Calc!G$5*A1942^2</f>
        <v>165.67672359999236</v>
      </c>
      <c r="H1942" s="7">
        <f>(F1942-G1942)/Speed_Calc!G$2*9.806</f>
        <v>-1603.5041352110752</v>
      </c>
      <c r="I1942" s="4">
        <f t="shared" si="125"/>
        <v>52.94444444444305</v>
      </c>
    </row>
    <row r="1943" spans="1:9" x14ac:dyDescent="0.2">
      <c r="A1943" s="11">
        <v>190.69999999999499</v>
      </c>
      <c r="B1943" s="15">
        <v>3.133</v>
      </c>
      <c r="C1943" s="11">
        <f t="shared" si="122"/>
        <v>24712.801213885417</v>
      </c>
      <c r="D1943" s="11">
        <f t="shared" si="123"/>
        <v>-173575.30770071081</v>
      </c>
      <c r="E1943" s="11">
        <f t="shared" si="124"/>
        <v>-245754.23743677585</v>
      </c>
      <c r="F1943" s="11">
        <f>Speed_Calc!B$5*E1943</f>
        <v>-221178.81369309826</v>
      </c>
      <c r="G1943" s="15">
        <f>Speed_Calc!G$3+Speed_Calc!G$5*A1943^2</f>
        <v>165.8296248999923</v>
      </c>
      <c r="H1943" s="7">
        <f>(F1943-G1943)/Speed_Calc!G$2*9.806</f>
        <v>-1607.7819054639187</v>
      </c>
      <c r="I1943" s="4">
        <f t="shared" si="125"/>
        <v>52.972222222220829</v>
      </c>
    </row>
    <row r="1944" spans="1:9" x14ac:dyDescent="0.2">
      <c r="A1944" s="11">
        <v>190.79999999999501</v>
      </c>
      <c r="B1944" s="15">
        <v>3.133</v>
      </c>
      <c r="C1944" s="11">
        <f t="shared" si="122"/>
        <v>24725.760207704974</v>
      </c>
      <c r="D1944" s="11">
        <f t="shared" si="123"/>
        <v>-174129.53773921949</v>
      </c>
      <c r="E1944" s="11">
        <f t="shared" si="124"/>
        <v>-246409.72321588307</v>
      </c>
      <c r="F1944" s="11">
        <f>Speed_Calc!B$5*E1944</f>
        <v>-221768.75089429476</v>
      </c>
      <c r="G1944" s="15">
        <f>Speed_Calc!G$3+Speed_Calc!G$5*A1944^2</f>
        <v>165.98260639999233</v>
      </c>
      <c r="H1944" s="7">
        <f>(F1944-G1944)/Speed_Calc!G$2*9.806</f>
        <v>-1612.0681457094906</v>
      </c>
      <c r="I1944" s="4">
        <f t="shared" si="125"/>
        <v>52.999999999998614</v>
      </c>
    </row>
    <row r="1945" spans="1:9" x14ac:dyDescent="0.2">
      <c r="A1945" s="11">
        <v>190.899999999995</v>
      </c>
      <c r="B1945" s="15">
        <v>3.133</v>
      </c>
      <c r="C1945" s="11">
        <f t="shared" si="122"/>
        <v>24738.719201524524</v>
      </c>
      <c r="D1945" s="11">
        <f t="shared" si="123"/>
        <v>-174685.17052326447</v>
      </c>
      <c r="E1945" s="11">
        <f t="shared" si="124"/>
        <v>-247066.50624034909</v>
      </c>
      <c r="F1945" s="11">
        <f>Speed_Calc!B$5*E1945</f>
        <v>-222359.85561631419</v>
      </c>
      <c r="G1945" s="15">
        <f>Speed_Calc!G$3+Speed_Calc!G$5*A1945^2</f>
        <v>166.13566809999233</v>
      </c>
      <c r="H1945" s="7">
        <f>(F1945-G1945)/Speed_Calc!G$2*9.806</f>
        <v>-1616.3628670629373</v>
      </c>
      <c r="I1945" s="4">
        <f t="shared" si="125"/>
        <v>53.027777777776386</v>
      </c>
    </row>
    <row r="1946" spans="1:9" x14ac:dyDescent="0.2">
      <c r="A1946" s="11">
        <v>190.999999999995</v>
      </c>
      <c r="B1946" s="15">
        <v>3.133</v>
      </c>
      <c r="C1946" s="11">
        <f t="shared" si="122"/>
        <v>24751.67819534408</v>
      </c>
      <c r="D1946" s="11">
        <f t="shared" si="123"/>
        <v>-175242.20869779016</v>
      </c>
      <c r="E1946" s="11">
        <f t="shared" si="124"/>
        <v>-247724.58821154226</v>
      </c>
      <c r="F1946" s="11">
        <f>Speed_Calc!B$5*E1946</f>
        <v>-222952.12939038803</v>
      </c>
      <c r="G1946" s="15">
        <f>Speed_Calc!G$3+Speed_Calc!G$5*A1946^2</f>
        <v>166.28880999999231</v>
      </c>
      <c r="H1946" s="7">
        <f>(F1946-G1946)/Speed_Calc!G$2*9.806</f>
        <v>-1620.6660806466703</v>
      </c>
      <c r="I1946" s="4">
        <f t="shared" si="125"/>
        <v>53.055555555554164</v>
      </c>
    </row>
    <row r="1947" spans="1:9" x14ac:dyDescent="0.2">
      <c r="A1947" s="11">
        <v>191.09999999999499</v>
      </c>
      <c r="B1947" s="15">
        <v>3.133</v>
      </c>
      <c r="C1947" s="11">
        <f t="shared" si="122"/>
        <v>24764.63718916363</v>
      </c>
      <c r="D1947" s="11">
        <f t="shared" si="123"/>
        <v>-175800.65491104624</v>
      </c>
      <c r="E1947" s="11">
        <f t="shared" si="124"/>
        <v>-248383.97083193992</v>
      </c>
      <c r="F1947" s="11">
        <f>Speed_Calc!B$5*E1947</f>
        <v>-223545.57374874593</v>
      </c>
      <c r="G1947" s="15">
        <f>Speed_Calc!G$3+Speed_Calc!G$5*A1947^2</f>
        <v>166.4420320999923</v>
      </c>
      <c r="H1947" s="7">
        <f>(F1947-G1947)/Speed_Calc!G$2*9.806</f>
        <v>-1624.9777975903519</v>
      </c>
      <c r="I1947" s="4">
        <f t="shared" si="125"/>
        <v>53.083333333331943</v>
      </c>
    </row>
    <row r="1948" spans="1:9" x14ac:dyDescent="0.2">
      <c r="A1948" s="11">
        <v>191.19999999999499</v>
      </c>
      <c r="B1948" s="15">
        <v>3.133</v>
      </c>
      <c r="C1948" s="11">
        <f t="shared" si="122"/>
        <v>24777.596182983176</v>
      </c>
      <c r="D1948" s="11">
        <f t="shared" si="123"/>
        <v>-176360.51181459101</v>
      </c>
      <c r="E1948" s="11">
        <f t="shared" si="124"/>
        <v>-249044.65580512985</v>
      </c>
      <c r="F1948" s="11">
        <f>Speed_Calc!B$5*E1948</f>
        <v>-224140.19022461688</v>
      </c>
      <c r="G1948" s="15">
        <f>Speed_Calc!G$3+Speed_Calc!G$5*A1948^2</f>
        <v>166.59533439999228</v>
      </c>
      <c r="H1948" s="7">
        <f>(F1948-G1948)/Speed_Calc!G$2*9.806</f>
        <v>-1629.2980290309031</v>
      </c>
      <c r="I1948" s="4">
        <f t="shared" si="125"/>
        <v>53.111111111109714</v>
      </c>
    </row>
    <row r="1949" spans="1:9" x14ac:dyDescent="0.2">
      <c r="A1949" s="11">
        <v>191.29999999999501</v>
      </c>
      <c r="B1949" s="15">
        <v>3.133</v>
      </c>
      <c r="C1949" s="11">
        <f t="shared" si="122"/>
        <v>24790.555176802729</v>
      </c>
      <c r="D1949" s="11">
        <f t="shared" si="123"/>
        <v>-176921.78206329356</v>
      </c>
      <c r="E1949" s="11">
        <f t="shared" si="124"/>
        <v>-249706.64483581032</v>
      </c>
      <c r="F1949" s="11">
        <f>Speed_Calc!B$5*E1949</f>
        <v>-224735.98035222929</v>
      </c>
      <c r="G1949" s="15">
        <f>Speed_Calc!G$3+Speed_Calc!G$5*A1949^2</f>
        <v>166.74871689999233</v>
      </c>
      <c r="H1949" s="7">
        <f>(F1949-G1949)/Speed_Calc!G$2*9.806</f>
        <v>-1633.6267861125048</v>
      </c>
      <c r="I1949" s="4">
        <f t="shared" si="125"/>
        <v>53.1388888888875</v>
      </c>
    </row>
    <row r="1950" spans="1:9" x14ac:dyDescent="0.2">
      <c r="A1950" s="11">
        <v>191.399999999995</v>
      </c>
      <c r="B1950" s="15">
        <v>3.133</v>
      </c>
      <c r="C1950" s="11">
        <f t="shared" si="122"/>
        <v>24803.514170622286</v>
      </c>
      <c r="D1950" s="11">
        <f t="shared" si="123"/>
        <v>-177484.46831533458</v>
      </c>
      <c r="E1950" s="11">
        <f t="shared" si="124"/>
        <v>-250369.93962978889</v>
      </c>
      <c r="F1950" s="11">
        <f>Speed_Calc!B$5*E1950</f>
        <v>-225332.94566681</v>
      </c>
      <c r="G1950" s="15">
        <f>Speed_Calc!G$3+Speed_Calc!G$5*A1950^2</f>
        <v>166.90217959999231</v>
      </c>
      <c r="H1950" s="7">
        <f>(F1950-G1950)/Speed_Calc!G$2*9.806</f>
        <v>-1637.9640799865899</v>
      </c>
      <c r="I1950" s="4">
        <f t="shared" si="125"/>
        <v>53.166666666665279</v>
      </c>
    </row>
    <row r="1951" spans="1:9" x14ac:dyDescent="0.2">
      <c r="A1951" s="11">
        <v>191.499999999995</v>
      </c>
      <c r="B1951" s="15">
        <v>3.133</v>
      </c>
      <c r="C1951" s="11">
        <f t="shared" si="122"/>
        <v>24816.473164441832</v>
      </c>
      <c r="D1951" s="11">
        <f t="shared" si="123"/>
        <v>-178048.57323220887</v>
      </c>
      <c r="E1951" s="11">
        <f t="shared" si="124"/>
        <v>-251034.5418939825</v>
      </c>
      <c r="F1951" s="11">
        <f>Speed_Calc!B$5*E1951</f>
        <v>-225931.08770458426</v>
      </c>
      <c r="G1951" s="15">
        <f>Speed_Calc!G$3+Speed_Calc!G$5*A1951^2</f>
        <v>167.05572249999233</v>
      </c>
      <c r="H1951" s="7">
        <f>(F1951-G1951)/Speed_Calc!G$2*9.806</f>
        <v>-1642.3099218118432</v>
      </c>
      <c r="I1951" s="4">
        <f t="shared" si="125"/>
        <v>53.19444444444305</v>
      </c>
    </row>
    <row r="1952" spans="1:9" x14ac:dyDescent="0.2">
      <c r="A1952" s="11">
        <v>191.59999999999499</v>
      </c>
      <c r="B1952" s="15">
        <v>3.133</v>
      </c>
      <c r="C1952" s="11">
        <f t="shared" si="122"/>
        <v>24829.432158261385</v>
      </c>
      <c r="D1952" s="11">
        <f t="shared" si="123"/>
        <v>-178614.09947872904</v>
      </c>
      <c r="E1952" s="11">
        <f t="shared" si="124"/>
        <v>-251700.45333642021</v>
      </c>
      <c r="F1952" s="11">
        <f>Speed_Calc!B$5*E1952</f>
        <v>-226530.40800277819</v>
      </c>
      <c r="G1952" s="15">
        <f>Speed_Calc!G$3+Speed_Calc!G$5*A1952^2</f>
        <v>167.2093455999923</v>
      </c>
      <c r="H1952" s="7">
        <f>(F1952-G1952)/Speed_Calc!G$2*9.806</f>
        <v>-1646.6643227542193</v>
      </c>
      <c r="I1952" s="4">
        <f t="shared" si="125"/>
        <v>53.222222222220829</v>
      </c>
    </row>
    <row r="1953" spans="1:9" x14ac:dyDescent="0.2">
      <c r="A1953" s="11">
        <v>191.69999999999499</v>
      </c>
      <c r="B1953" s="15">
        <v>3.133</v>
      </c>
      <c r="C1953" s="11">
        <f t="shared" si="122"/>
        <v>24842.391152080934</v>
      </c>
      <c r="D1953" s="11">
        <f t="shared" si="123"/>
        <v>-179181.04972302489</v>
      </c>
      <c r="E1953" s="11">
        <f t="shared" si="124"/>
        <v>-252367.67566623888</v>
      </c>
      <c r="F1953" s="11">
        <f>Speed_Calc!B$5*E1953</f>
        <v>-227130.90809961499</v>
      </c>
      <c r="G1953" s="15">
        <f>Speed_Calc!G$3+Speed_Calc!G$5*A1953^2</f>
        <v>167.36304889999229</v>
      </c>
      <c r="H1953" s="7">
        <f>(F1953-G1953)/Speed_Calc!G$2*9.806</f>
        <v>-1651.0272939869169</v>
      </c>
      <c r="I1953" s="4">
        <f t="shared" si="125"/>
        <v>53.249999999998607</v>
      </c>
    </row>
    <row r="1954" spans="1:9" x14ac:dyDescent="0.2">
      <c r="A1954" s="11">
        <v>191.79999999999501</v>
      </c>
      <c r="B1954" s="15">
        <v>3.133</v>
      </c>
      <c r="C1954" s="11">
        <f t="shared" si="122"/>
        <v>24855.350145900491</v>
      </c>
      <c r="D1954" s="11">
        <f t="shared" si="123"/>
        <v>-179749.42663654772</v>
      </c>
      <c r="E1954" s="11">
        <f t="shared" si="124"/>
        <v>-253036.2105936869</v>
      </c>
      <c r="F1954" s="11">
        <f>Speed_Calc!B$5*E1954</f>
        <v>-227732.58953431822</v>
      </c>
      <c r="G1954" s="15">
        <f>Speed_Calc!G$3+Speed_Calc!G$5*A1954^2</f>
        <v>167.5168323999923</v>
      </c>
      <c r="H1954" s="7">
        <f>(F1954-G1954)/Speed_Calc!G$2*9.806</f>
        <v>-1655.3988466903988</v>
      </c>
      <c r="I1954" s="4">
        <f t="shared" si="125"/>
        <v>53.277777777776393</v>
      </c>
    </row>
    <row r="1955" spans="1:9" x14ac:dyDescent="0.2">
      <c r="A1955" s="11">
        <v>191.899999999995</v>
      </c>
      <c r="B1955" s="15">
        <v>3.133</v>
      </c>
      <c r="C1955" s="11">
        <f t="shared" si="122"/>
        <v>24868.309139720044</v>
      </c>
      <c r="D1955" s="11">
        <f t="shared" si="123"/>
        <v>-180319.23289407082</v>
      </c>
      <c r="E1955" s="11">
        <f t="shared" si="124"/>
        <v>-253706.05983012187</v>
      </c>
      <c r="F1955" s="11">
        <f>Speed_Calc!B$5*E1955</f>
        <v>-228335.45384710969</v>
      </c>
      <c r="G1955" s="15">
        <f>Speed_Calc!G$3+Speed_Calc!G$5*A1955^2</f>
        <v>167.67069609999228</v>
      </c>
      <c r="H1955" s="7">
        <f>(F1955-G1955)/Speed_Calc!G$2*9.806</f>
        <v>-1659.7789920523805</v>
      </c>
      <c r="I1955" s="4">
        <f t="shared" si="125"/>
        <v>53.305555555554164</v>
      </c>
    </row>
    <row r="1956" spans="1:9" x14ac:dyDescent="0.2">
      <c r="A1956" s="11">
        <v>191.999999999995</v>
      </c>
      <c r="B1956" s="15">
        <v>3.133</v>
      </c>
      <c r="C1956" s="11">
        <f t="shared" si="122"/>
        <v>24881.268133539601</v>
      </c>
      <c r="D1956" s="11">
        <f t="shared" si="123"/>
        <v>-180890.47117369244</v>
      </c>
      <c r="E1956" s="11">
        <f t="shared" si="124"/>
        <v>-254377.22508801156</v>
      </c>
      <c r="F1956" s="11">
        <f>Speed_Calc!B$5*E1956</f>
        <v>-228939.50257921041</v>
      </c>
      <c r="G1956" s="15">
        <f>Speed_Calc!G$3+Speed_Calc!G$5*A1956^2</f>
        <v>167.82463999999229</v>
      </c>
      <c r="H1956" s="7">
        <f>(F1956-G1956)/Speed_Calc!G$2*9.806</f>
        <v>-1664.1677412678348</v>
      </c>
      <c r="I1956" s="4">
        <f t="shared" si="125"/>
        <v>53.333333333331943</v>
      </c>
    </row>
    <row r="1957" spans="1:9" x14ac:dyDescent="0.2">
      <c r="A1957" s="11">
        <v>192.09999999999499</v>
      </c>
      <c r="B1957" s="15">
        <v>3.133</v>
      </c>
      <c r="C1957" s="11">
        <f t="shared" si="122"/>
        <v>24894.22712735915</v>
      </c>
      <c r="D1957" s="11">
        <f t="shared" si="123"/>
        <v>-181463.14415683708</v>
      </c>
      <c r="E1957" s="11">
        <f t="shared" si="124"/>
        <v>-255049.7080809334</v>
      </c>
      <c r="F1957" s="11">
        <f>Speed_Calc!B$5*E1957</f>
        <v>-229544.73727284005</v>
      </c>
      <c r="G1957" s="15">
        <f>Speed_Calc!G$3+Speed_Calc!G$5*A1957^2</f>
        <v>167.97866409999227</v>
      </c>
      <c r="H1957" s="7">
        <f>(F1957-G1957)/Speed_Calc!G$2*9.806</f>
        <v>-1668.5651055389881</v>
      </c>
      <c r="I1957" s="4">
        <f t="shared" si="125"/>
        <v>53.361111111109722</v>
      </c>
    </row>
    <row r="1958" spans="1:9" x14ac:dyDescent="0.2">
      <c r="A1958" s="11">
        <v>192.19999999999499</v>
      </c>
      <c r="B1958" s="15">
        <v>3.133</v>
      </c>
      <c r="C1958" s="11">
        <f t="shared" si="122"/>
        <v>24907.1861211787</v>
      </c>
      <c r="D1958" s="11">
        <f t="shared" si="123"/>
        <v>-182037.2545282591</v>
      </c>
      <c r="E1958" s="11">
        <f t="shared" si="124"/>
        <v>-255723.51052357565</v>
      </c>
      <c r="F1958" s="11">
        <f>Speed_Calc!B$5*E1958</f>
        <v>-230151.1594712181</v>
      </c>
      <c r="G1958" s="15">
        <f>Speed_Calc!G$3+Speed_Calc!G$5*A1958^2</f>
        <v>168.13276839999227</v>
      </c>
      <c r="H1958" s="7">
        <f>(F1958-G1958)/Speed_Calc!G$2*9.806</f>
        <v>-1672.9710960753293</v>
      </c>
      <c r="I1958" s="4">
        <f t="shared" si="125"/>
        <v>53.388888888887493</v>
      </c>
    </row>
    <row r="1959" spans="1:9" x14ac:dyDescent="0.2">
      <c r="A1959" s="11">
        <v>192.29999999999501</v>
      </c>
      <c r="B1959" s="15">
        <v>3.133</v>
      </c>
      <c r="C1959" s="11">
        <f t="shared" si="122"/>
        <v>24920.145114998257</v>
      </c>
      <c r="D1959" s="11">
        <f t="shared" si="123"/>
        <v>-182612.80497604309</v>
      </c>
      <c r="E1959" s="11">
        <f t="shared" si="124"/>
        <v>-256398.63413173635</v>
      </c>
      <c r="F1959" s="11">
        <f>Speed_Calc!B$5*E1959</f>
        <v>-230758.77071856274</v>
      </c>
      <c r="G1959" s="15">
        <f>Speed_Calc!G$3+Speed_Calc!G$5*A1959^2</f>
        <v>168.28695289999229</v>
      </c>
      <c r="H1959" s="7">
        <f>(F1959-G1959)/Speed_Calc!G$2*9.806</f>
        <v>-1677.3857240936027</v>
      </c>
      <c r="I1959" s="4">
        <f t="shared" si="125"/>
        <v>53.416666666665279</v>
      </c>
    </row>
    <row r="1960" spans="1:9" x14ac:dyDescent="0.2">
      <c r="A1960" s="11">
        <v>192.399999999995</v>
      </c>
      <c r="B1960" s="15">
        <v>3.133</v>
      </c>
      <c r="C1960" s="11">
        <f t="shared" si="122"/>
        <v>24933.104108817806</v>
      </c>
      <c r="D1960" s="11">
        <f t="shared" si="123"/>
        <v>-183189.79819160601</v>
      </c>
      <c r="E1960" s="11">
        <f t="shared" si="124"/>
        <v>-257075.08062232274</v>
      </c>
      <c r="F1960" s="11">
        <f>Speed_Calc!B$5*E1960</f>
        <v>-231367.57256009048</v>
      </c>
      <c r="G1960" s="15">
        <f>Speed_Calc!G$3+Speed_Calc!G$5*A1960^2</f>
        <v>168.44121759999226</v>
      </c>
      <c r="H1960" s="7">
        <f>(F1960-G1960)/Speed_Calc!G$2*9.806</f>
        <v>-1681.8090008178019</v>
      </c>
      <c r="I1960" s="4">
        <f t="shared" si="125"/>
        <v>53.444444444443057</v>
      </c>
    </row>
    <row r="1961" spans="1:9" x14ac:dyDescent="0.2">
      <c r="A1961" s="11">
        <v>192.499999999995</v>
      </c>
      <c r="B1961" s="15">
        <v>3.133</v>
      </c>
      <c r="C1961" s="11">
        <f t="shared" si="122"/>
        <v>24946.063102637356</v>
      </c>
      <c r="D1961" s="11">
        <f t="shared" si="123"/>
        <v>-183768.23686970078</v>
      </c>
      <c r="E1961" s="11">
        <f t="shared" si="124"/>
        <v>-257752.85171335324</v>
      </c>
      <c r="F1961" s="11">
        <f>Speed_Calc!B$5*E1961</f>
        <v>-231977.56654201791</v>
      </c>
      <c r="G1961" s="15">
        <f>Speed_Calc!G$3+Speed_Calc!G$5*A1961^2</f>
        <v>168.59556249999227</v>
      </c>
      <c r="H1961" s="7">
        <f>(F1961-G1961)/Speed_Calc!G$2*9.806</f>
        <v>-1686.2409374791869</v>
      </c>
      <c r="I1961" s="4">
        <f t="shared" si="125"/>
        <v>53.472222222220829</v>
      </c>
    </row>
    <row r="1962" spans="1:9" x14ac:dyDescent="0.2">
      <c r="A1962" s="11">
        <v>192.59999999999499</v>
      </c>
      <c r="B1962" s="15">
        <v>3.133</v>
      </c>
      <c r="C1962" s="11">
        <f t="shared" si="122"/>
        <v>24959.022096456905</v>
      </c>
      <c r="D1962" s="11">
        <f t="shared" si="123"/>
        <v>-184348.12370841674</v>
      </c>
      <c r="E1962" s="11">
        <f t="shared" si="124"/>
        <v>-258431.94912395551</v>
      </c>
      <c r="F1962" s="11">
        <f>Speed_Calc!B$5*E1962</f>
        <v>-232588.75421155995</v>
      </c>
      <c r="G1962" s="15">
        <f>Speed_Calc!G$3+Speed_Calc!G$5*A1962^2</f>
        <v>168.74998759999227</v>
      </c>
      <c r="H1962" s="7">
        <f>(F1962-G1962)/Speed_Calc!G$2*9.806</f>
        <v>-1690.6815453162683</v>
      </c>
      <c r="I1962" s="4">
        <f t="shared" si="125"/>
        <v>53.499999999998607</v>
      </c>
    </row>
    <row r="1963" spans="1:9" x14ac:dyDescent="0.2">
      <c r="A1963" s="11">
        <v>192.69999999999499</v>
      </c>
      <c r="B1963" s="15">
        <v>3.133</v>
      </c>
      <c r="C1963" s="11">
        <f t="shared" si="122"/>
        <v>24971.981090276458</v>
      </c>
      <c r="D1963" s="11">
        <f t="shared" si="123"/>
        <v>-184929.46140918243</v>
      </c>
      <c r="E1963" s="11">
        <f t="shared" si="124"/>
        <v>-259112.37457436722</v>
      </c>
      <c r="F1963" s="11">
        <f>Speed_Calc!B$5*E1963</f>
        <v>-233201.13711693051</v>
      </c>
      <c r="G1963" s="15">
        <f>Speed_Calc!G$3+Speed_Calc!G$5*A1963^2</f>
        <v>168.90449289999222</v>
      </c>
      <c r="H1963" s="7">
        <f>(F1963-G1963)/Speed_Calc!G$2*9.806</f>
        <v>-1695.1308355748131</v>
      </c>
      <c r="I1963" s="4">
        <f t="shared" si="125"/>
        <v>53.527777777776386</v>
      </c>
    </row>
    <row r="1964" spans="1:9" x14ac:dyDescent="0.2">
      <c r="A1964" s="11">
        <v>192.79999999999501</v>
      </c>
      <c r="B1964" s="15">
        <v>3.133</v>
      </c>
      <c r="C1964" s="11">
        <f t="shared" si="122"/>
        <v>24984.940084096012</v>
      </c>
      <c r="D1964" s="11">
        <f t="shared" si="123"/>
        <v>-185512.25267676776</v>
      </c>
      <c r="E1964" s="11">
        <f t="shared" si="124"/>
        <v>-259794.12978593673</v>
      </c>
      <c r="F1964" s="11">
        <f>Speed_Calc!B$5*E1964</f>
        <v>-233814.71680734307</v>
      </c>
      <c r="G1964" s="15">
        <f>Speed_Calc!G$3+Speed_Calc!G$5*A1964^2</f>
        <v>169.05907839999227</v>
      </c>
      <c r="H1964" s="7">
        <f>(F1964-G1964)/Speed_Calc!G$2*9.806</f>
        <v>-1699.5888195078489</v>
      </c>
      <c r="I1964" s="4">
        <f t="shared" si="125"/>
        <v>53.555555555554164</v>
      </c>
    </row>
    <row r="1965" spans="1:9" x14ac:dyDescent="0.2">
      <c r="A1965" s="11">
        <v>192.899999999995</v>
      </c>
      <c r="B1965" s="15">
        <v>3.133</v>
      </c>
      <c r="C1965" s="11">
        <f t="shared" si="122"/>
        <v>24997.899077915565</v>
      </c>
      <c r="D1965" s="11">
        <f t="shared" si="123"/>
        <v>-186096.50021928534</v>
      </c>
      <c r="E1965" s="11">
        <f t="shared" si="124"/>
        <v>-260477.21648112155</v>
      </c>
      <c r="F1965" s="11">
        <f>Speed_Calc!B$5*E1965</f>
        <v>-234429.4948330094</v>
      </c>
      <c r="G1965" s="15">
        <f>Speed_Calc!G$3+Speed_Calc!G$5*A1965^2</f>
        <v>169.21374409999228</v>
      </c>
      <c r="H1965" s="7">
        <f>(F1965-G1965)/Speed_Calc!G$2*9.806</f>
        <v>-1704.0555083756551</v>
      </c>
      <c r="I1965" s="4">
        <f t="shared" si="125"/>
        <v>53.583333333331943</v>
      </c>
    </row>
    <row r="1966" spans="1:9" x14ac:dyDescent="0.2">
      <c r="A1966" s="11">
        <v>192.999999999995</v>
      </c>
      <c r="B1966" s="15">
        <v>3.133</v>
      </c>
      <c r="C1966" s="11">
        <f t="shared" si="122"/>
        <v>25010.858071735118</v>
      </c>
      <c r="D1966" s="11">
        <f t="shared" si="123"/>
        <v>-186682.20674819345</v>
      </c>
      <c r="E1966" s="11">
        <f t="shared" si="124"/>
        <v>-261161.63638348985</v>
      </c>
      <c r="F1966" s="11">
        <f>Speed_Calc!B$5*E1966</f>
        <v>-235045.47274514087</v>
      </c>
      <c r="G1966" s="15">
        <f>Speed_Calc!G$3+Speed_Calc!G$5*A1966^2</f>
        <v>169.36848999999225</v>
      </c>
      <c r="H1966" s="7">
        <f>(F1966-G1966)/Speed_Calc!G$2*9.806</f>
        <v>-1708.5309134457714</v>
      </c>
      <c r="I1966" s="4">
        <f t="shared" si="125"/>
        <v>53.611111111109722</v>
      </c>
    </row>
    <row r="1967" spans="1:9" x14ac:dyDescent="0.2">
      <c r="A1967" s="11">
        <v>193.09999999999499</v>
      </c>
      <c r="B1967" s="15">
        <v>3.133</v>
      </c>
      <c r="C1967" s="11">
        <f t="shared" si="122"/>
        <v>25023.817065554667</v>
      </c>
      <c r="D1967" s="11">
        <f t="shared" si="123"/>
        <v>-187269.37497829719</v>
      </c>
      <c r="E1967" s="11">
        <f t="shared" si="124"/>
        <v>-261847.39121771909</v>
      </c>
      <c r="F1967" s="11">
        <f>Speed_Calc!B$5*E1967</f>
        <v>-235662.65209594718</v>
      </c>
      <c r="G1967" s="15">
        <f>Speed_Calc!G$3+Speed_Calc!G$5*A1967^2</f>
        <v>169.52331609999223</v>
      </c>
      <c r="H1967" s="7">
        <f>(F1967-G1967)/Speed_Calc!G$2*9.806</f>
        <v>-1713.0150459929885</v>
      </c>
      <c r="I1967" s="4">
        <f t="shared" si="125"/>
        <v>53.638888888887493</v>
      </c>
    </row>
    <row r="1968" spans="1:9" x14ac:dyDescent="0.2">
      <c r="A1968" s="11">
        <v>193.19999999999499</v>
      </c>
      <c r="B1968" s="15">
        <v>3.133</v>
      </c>
      <c r="C1968" s="11">
        <f t="shared" si="122"/>
        <v>25036.776059374224</v>
      </c>
      <c r="D1968" s="11">
        <f t="shared" si="123"/>
        <v>-187858.00762775179</v>
      </c>
      <c r="E1968" s="11">
        <f t="shared" si="124"/>
        <v>-262534.4827095978</v>
      </c>
      <c r="F1968" s="11">
        <f>Speed_Calc!B$5*E1968</f>
        <v>-236281.03443863802</v>
      </c>
      <c r="G1968" s="15">
        <f>Speed_Calc!G$3+Speed_Calc!G$5*A1968^2</f>
        <v>169.67822239999222</v>
      </c>
      <c r="H1968" s="7">
        <f>(F1968-G1968)/Speed_Calc!G$2*9.806</f>
        <v>-1717.5079172993619</v>
      </c>
      <c r="I1968" s="4">
        <f t="shared" si="125"/>
        <v>53.666666666665272</v>
      </c>
    </row>
    <row r="1969" spans="1:9" x14ac:dyDescent="0.2">
      <c r="A1969" s="11">
        <v>193.29999999999501</v>
      </c>
      <c r="B1969" s="15">
        <v>3.133</v>
      </c>
      <c r="C1969" s="11">
        <f t="shared" si="122"/>
        <v>25049.735053193777</v>
      </c>
      <c r="D1969" s="11">
        <f t="shared" si="123"/>
        <v>-188448.10741806301</v>
      </c>
      <c r="E1969" s="11">
        <f t="shared" si="124"/>
        <v>-263222.91258602351</v>
      </c>
      <c r="F1969" s="11">
        <f>Speed_Calc!B$5*E1969</f>
        <v>-236900.62132742116</v>
      </c>
      <c r="G1969" s="15">
        <f>Speed_Calc!G$3+Speed_Calc!G$5*A1969^2</f>
        <v>169.83320889999226</v>
      </c>
      <c r="H1969" s="7">
        <f>(F1969-G1969)/Speed_Calc!G$2*9.806</f>
        <v>-1722.0095386541964</v>
      </c>
      <c r="I1969" s="4">
        <f t="shared" si="125"/>
        <v>53.694444444443057</v>
      </c>
    </row>
    <row r="1970" spans="1:9" x14ac:dyDescent="0.2">
      <c r="A1970" s="11">
        <v>193.399999999995</v>
      </c>
      <c r="B1970" s="15">
        <v>3.133</v>
      </c>
      <c r="C1970" s="11">
        <f t="shared" si="122"/>
        <v>25062.694047013327</v>
      </c>
      <c r="D1970" s="11">
        <f t="shared" si="123"/>
        <v>-189039.67707409046</v>
      </c>
      <c r="E1970" s="11">
        <f t="shared" si="124"/>
        <v>-263912.68257500383</v>
      </c>
      <c r="F1970" s="11">
        <f>Speed_Calc!B$5*E1970</f>
        <v>-237521.41431750346</v>
      </c>
      <c r="G1970" s="15">
        <f>Speed_Calc!G$3+Speed_Calc!G$5*A1970^2</f>
        <v>169.98827559999225</v>
      </c>
      <c r="H1970" s="7">
        <f>(F1970-G1970)/Speed_Calc!G$2*9.806</f>
        <v>-1726.5199213540534</v>
      </c>
      <c r="I1970" s="4">
        <f t="shared" si="125"/>
        <v>53.722222222220836</v>
      </c>
    </row>
    <row r="1971" spans="1:9" x14ac:dyDescent="0.2">
      <c r="A1971" s="11">
        <v>193.499999999995</v>
      </c>
      <c r="B1971" s="15">
        <v>3.133</v>
      </c>
      <c r="C1971" s="11">
        <f t="shared" si="122"/>
        <v>25075.65304083288</v>
      </c>
      <c r="D1971" s="11">
        <f t="shared" si="123"/>
        <v>-189632.71932404969</v>
      </c>
      <c r="E1971" s="11">
        <f t="shared" si="124"/>
        <v>-264603.79440565757</v>
      </c>
      <c r="F1971" s="11">
        <f>Speed_Calc!B$5*E1971</f>
        <v>-238143.41496509183</v>
      </c>
      <c r="G1971" s="15">
        <f>Speed_Calc!G$3+Speed_Calc!G$5*A1971^2</f>
        <v>170.14342249999223</v>
      </c>
      <c r="H1971" s="7">
        <f>(F1971-G1971)/Speed_Calc!G$2*9.806</f>
        <v>-1731.0390767027595</v>
      </c>
      <c r="I1971" s="4">
        <f t="shared" si="125"/>
        <v>53.749999999998607</v>
      </c>
    </row>
    <row r="1972" spans="1:9" x14ac:dyDescent="0.2">
      <c r="A1972" s="11">
        <v>193.59999999999499</v>
      </c>
      <c r="B1972" s="15">
        <v>3.133</v>
      </c>
      <c r="C1972" s="11">
        <f t="shared" si="122"/>
        <v>25088.612034652429</v>
      </c>
      <c r="D1972" s="11">
        <f t="shared" si="123"/>
        <v>-190227.23689951294</v>
      </c>
      <c r="E1972" s="11">
        <f t="shared" si="124"/>
        <v>-265296.24980821187</v>
      </c>
      <c r="F1972" s="11">
        <f>Speed_Calc!B$5*E1972</f>
        <v>-238766.62482739068</v>
      </c>
      <c r="G1972" s="15">
        <f>Speed_Calc!G$3+Speed_Calc!G$5*A1972^2</f>
        <v>170.29864959999222</v>
      </c>
      <c r="H1972" s="7">
        <f>(F1972-G1972)/Speed_Calc!G$2*9.806</f>
        <v>-1735.5670160113855</v>
      </c>
      <c r="I1972" s="4">
        <f t="shared" si="125"/>
        <v>53.777777777776386</v>
      </c>
    </row>
    <row r="1973" spans="1:9" x14ac:dyDescent="0.2">
      <c r="A1973" s="11">
        <v>193.69999999999499</v>
      </c>
      <c r="B1973" s="15">
        <v>3.133</v>
      </c>
      <c r="C1973" s="11">
        <f t="shared" si="122"/>
        <v>25101.571028471983</v>
      </c>
      <c r="D1973" s="11">
        <f t="shared" si="123"/>
        <v>-190823.23253541288</v>
      </c>
      <c r="E1973" s="11">
        <f t="shared" si="124"/>
        <v>-265990.05051400524</v>
      </c>
      <c r="F1973" s="11">
        <f>Speed_Calc!B$5*E1973</f>
        <v>-239391.04546260473</v>
      </c>
      <c r="G1973" s="15">
        <f>Speed_Calc!G$3+Speed_Calc!G$5*A1973^2</f>
        <v>170.45395689999222</v>
      </c>
      <c r="H1973" s="7">
        <f>(F1973-G1973)/Speed_Calc!G$2*9.806</f>
        <v>-1740.103750598269</v>
      </c>
      <c r="I1973" s="4">
        <f t="shared" si="125"/>
        <v>53.805555555554164</v>
      </c>
    </row>
    <row r="1974" spans="1:9" x14ac:dyDescent="0.2">
      <c r="A1974" s="11">
        <v>193.79999999999501</v>
      </c>
      <c r="B1974" s="15">
        <v>3.133</v>
      </c>
      <c r="C1974" s="11">
        <f t="shared" si="122"/>
        <v>25114.530022291536</v>
      </c>
      <c r="D1974" s="11">
        <f t="shared" si="123"/>
        <v>-191420.70897004343</v>
      </c>
      <c r="E1974" s="11">
        <f t="shared" si="124"/>
        <v>-266685.19825548539</v>
      </c>
      <c r="F1974" s="11">
        <f>Speed_Calc!B$5*E1974</f>
        <v>-240016.67842993684</v>
      </c>
      <c r="G1974" s="15">
        <f>Speed_Calc!G$3+Speed_Calc!G$5*A1974^2</f>
        <v>170.60934439999224</v>
      </c>
      <c r="H1974" s="7">
        <f>(F1974-G1974)/Speed_Calc!G$2*9.806</f>
        <v>-1744.6492917889977</v>
      </c>
      <c r="I1974" s="4">
        <f t="shared" si="125"/>
        <v>53.833333333331943</v>
      </c>
    </row>
    <row r="1975" spans="1:9" x14ac:dyDescent="0.2">
      <c r="A1975" s="11">
        <v>193.899999999995</v>
      </c>
      <c r="B1975" s="15">
        <v>3.133</v>
      </c>
      <c r="C1975" s="11">
        <f t="shared" si="122"/>
        <v>25127.489016111085</v>
      </c>
      <c r="D1975" s="11">
        <f t="shared" si="123"/>
        <v>-192019.66894506229</v>
      </c>
      <c r="E1975" s="11">
        <f t="shared" si="124"/>
        <v>-267381.69476621022</v>
      </c>
      <c r="F1975" s="11">
        <f>Speed_Calc!B$5*E1975</f>
        <v>-240643.52528958919</v>
      </c>
      <c r="G1975" s="15">
        <f>Speed_Calc!G$3+Speed_Calc!G$5*A1975^2</f>
        <v>170.76481209999221</v>
      </c>
      <c r="H1975" s="7">
        <f>(F1975-G1975)/Speed_Calc!G$2*9.806</f>
        <v>-1749.2036509164177</v>
      </c>
      <c r="I1975" s="4">
        <f t="shared" si="125"/>
        <v>53.861111111109722</v>
      </c>
    </row>
    <row r="1976" spans="1:9" x14ac:dyDescent="0.2">
      <c r="A1976" s="11">
        <v>193.999999999995</v>
      </c>
      <c r="B1976" s="15">
        <v>3.133</v>
      </c>
      <c r="C1976" s="11">
        <f t="shared" si="122"/>
        <v>25140.448009930638</v>
      </c>
      <c r="D1976" s="11">
        <f t="shared" si="123"/>
        <v>-192620.11520549323</v>
      </c>
      <c r="E1976" s="11">
        <f t="shared" si="124"/>
        <v>-268079.54178084806</v>
      </c>
      <c r="F1976" s="11">
        <f>Speed_Calc!B$5*E1976</f>
        <v>-241271.58760276326</v>
      </c>
      <c r="G1976" s="15">
        <f>Speed_Calc!G$3+Speed_Calc!G$5*A1976^2</f>
        <v>170.9203599999922</v>
      </c>
      <c r="H1976" s="7">
        <f>(F1976-G1976)/Speed_Calc!G$2*9.806</f>
        <v>-1753.7668393206341</v>
      </c>
      <c r="I1976" s="4">
        <f t="shared" si="125"/>
        <v>53.8888888888875</v>
      </c>
    </row>
    <row r="1977" spans="1:9" x14ac:dyDescent="0.2">
      <c r="A1977" s="11">
        <v>194.09999999999499</v>
      </c>
      <c r="B1977" s="15">
        <v>3.133</v>
      </c>
      <c r="C1977" s="11">
        <f t="shared" si="122"/>
        <v>25153.407003750192</v>
      </c>
      <c r="D1977" s="11">
        <f t="shared" si="123"/>
        <v>-193222.05049972754</v>
      </c>
      <c r="E1977" s="11">
        <f t="shared" si="124"/>
        <v>-268778.74103517667</v>
      </c>
      <c r="F1977" s="11">
        <f>Speed_Calc!B$5*E1977</f>
        <v>-241900.86693165902</v>
      </c>
      <c r="G1977" s="15">
        <f>Speed_Calc!G$3+Speed_Calc!G$5*A1977^2</f>
        <v>171.0759880999922</v>
      </c>
      <c r="H1977" s="7">
        <f>(F1977-G1977)/Speed_Calc!G$2*9.806</f>
        <v>-1758.338868349005</v>
      </c>
      <c r="I1977" s="4">
        <f t="shared" si="125"/>
        <v>53.916666666665272</v>
      </c>
    </row>
    <row r="1978" spans="1:9" x14ac:dyDescent="0.2">
      <c r="A1978" s="11">
        <v>194.19999999999499</v>
      </c>
      <c r="B1978" s="15">
        <v>3.133</v>
      </c>
      <c r="C1978" s="11">
        <f t="shared" si="122"/>
        <v>25166.365997569745</v>
      </c>
      <c r="D1978" s="11">
        <f t="shared" si="123"/>
        <v>-193825.4775795266</v>
      </c>
      <c r="E1978" s="11">
        <f t="shared" si="124"/>
        <v>-269479.29426608409</v>
      </c>
      <c r="F1978" s="11">
        <f>Speed_Calc!B$5*E1978</f>
        <v>-242531.36483947569</v>
      </c>
      <c r="G1978" s="15">
        <f>Speed_Calc!G$3+Speed_Calc!G$5*A1978^2</f>
        <v>171.23169639999216</v>
      </c>
      <c r="H1978" s="7">
        <f>(F1978-G1978)/Speed_Calc!G$2*9.806</f>
        <v>-1762.9197493561458</v>
      </c>
      <c r="I1978" s="4">
        <f t="shared" si="125"/>
        <v>53.94444444444305</v>
      </c>
    </row>
    <row r="1979" spans="1:9" x14ac:dyDescent="0.2">
      <c r="A1979" s="11">
        <v>194.29999999999501</v>
      </c>
      <c r="B1979" s="15">
        <v>3.133</v>
      </c>
      <c r="C1979" s="11">
        <f t="shared" si="122"/>
        <v>25179.324991389298</v>
      </c>
      <c r="D1979" s="11">
        <f t="shared" si="123"/>
        <v>-194430.39920002365</v>
      </c>
      <c r="E1979" s="11">
        <f t="shared" si="124"/>
        <v>-270181.20321156841</v>
      </c>
      <c r="F1979" s="11">
        <f>Speed_Calc!B$5*E1979</f>
        <v>-243163.08289041158</v>
      </c>
      <c r="G1979" s="15">
        <f>Speed_Calc!G$3+Speed_Calc!G$5*A1979^2</f>
        <v>171.38748489999222</v>
      </c>
      <c r="H1979" s="7">
        <f>(F1979-G1979)/Speed_Calc!G$2*9.806</f>
        <v>-1767.5094937039296</v>
      </c>
      <c r="I1979" s="4">
        <f t="shared" si="125"/>
        <v>53.972222222220836</v>
      </c>
    </row>
    <row r="1980" spans="1:9" x14ac:dyDescent="0.2">
      <c r="A1980" s="11">
        <v>194.399999999995</v>
      </c>
      <c r="B1980" s="15">
        <v>3.133</v>
      </c>
      <c r="C1980" s="11">
        <f t="shared" si="122"/>
        <v>25192.283985208851</v>
      </c>
      <c r="D1980" s="11">
        <f t="shared" si="123"/>
        <v>-195036.818119726</v>
      </c>
      <c r="E1980" s="11">
        <f t="shared" si="124"/>
        <v>-270884.46961073752</v>
      </c>
      <c r="F1980" s="11">
        <f>Speed_Calc!B$5*E1980</f>
        <v>-243796.02264966376</v>
      </c>
      <c r="G1980" s="15">
        <f>Speed_Calc!G$3+Speed_Calc!G$5*A1980^2</f>
        <v>171.5433535999922</v>
      </c>
      <c r="H1980" s="7">
        <f>(F1980-G1980)/Speed_Calc!G$2*9.806</f>
        <v>-1772.1081127614846</v>
      </c>
      <c r="I1980" s="4">
        <f t="shared" si="125"/>
        <v>53.999999999998607</v>
      </c>
    </row>
    <row r="1981" spans="1:9" x14ac:dyDescent="0.2">
      <c r="A1981" s="11">
        <v>194.499999999995</v>
      </c>
      <c r="B1981" s="15">
        <v>3.133</v>
      </c>
      <c r="C1981" s="11">
        <f t="shared" si="122"/>
        <v>25205.2429790284</v>
      </c>
      <c r="D1981" s="11">
        <f t="shared" si="123"/>
        <v>-195644.73710051685</v>
      </c>
      <c r="E1981" s="11">
        <f t="shared" si="124"/>
        <v>-271589.09520380927</v>
      </c>
      <c r="F1981" s="11">
        <f>Speed_Calc!B$5*E1981</f>
        <v>-244430.18568342834</v>
      </c>
      <c r="G1981" s="15">
        <f>Speed_Calc!G$3+Speed_Calc!G$5*A1981^2</f>
        <v>171.6993024999922</v>
      </c>
      <c r="H1981" s="7">
        <f>(F1981-G1981)/Speed_Calc!G$2*9.806</f>
        <v>-1776.7156179051947</v>
      </c>
      <c r="I1981" s="4">
        <f t="shared" si="125"/>
        <v>54.027777777776386</v>
      </c>
    </row>
    <row r="1982" spans="1:9" x14ac:dyDescent="0.2">
      <c r="A1982" s="11">
        <v>194.59999999999499</v>
      </c>
      <c r="B1982" s="15">
        <v>3.133</v>
      </c>
      <c r="C1982" s="11">
        <f t="shared" si="122"/>
        <v>25218.201972847961</v>
      </c>
      <c r="D1982" s="11">
        <f t="shared" si="123"/>
        <v>-196254.15890765836</v>
      </c>
      <c r="E1982" s="11">
        <f t="shared" si="124"/>
        <v>-272295.08173211257</v>
      </c>
      <c r="F1982" s="11">
        <f>Speed_Calc!B$5*E1982</f>
        <v>-245065.57355890132</v>
      </c>
      <c r="G1982" s="15">
        <f>Speed_Calc!G$3+Speed_Calc!G$5*A1982^2</f>
        <v>171.85533159999218</v>
      </c>
      <c r="H1982" s="7">
        <f>(F1982-G1982)/Speed_Calc!G$2*9.806</f>
        <v>-1781.3320205187081</v>
      </c>
      <c r="I1982" s="4">
        <f t="shared" si="125"/>
        <v>54.055555555554164</v>
      </c>
    </row>
    <row r="1983" spans="1:9" x14ac:dyDescent="0.2">
      <c r="A1983" s="11">
        <v>194.69999999999499</v>
      </c>
      <c r="B1983" s="15">
        <v>3.133</v>
      </c>
      <c r="C1983" s="11">
        <f t="shared" si="122"/>
        <v>25231.160966667507</v>
      </c>
      <c r="D1983" s="11">
        <f t="shared" si="123"/>
        <v>-196865.08630979108</v>
      </c>
      <c r="E1983" s="11">
        <f t="shared" si="124"/>
        <v>-273002.43093808403</v>
      </c>
      <c r="F1983" s="11">
        <f>Speed_Calc!B$5*E1983</f>
        <v>-245702.18784427564</v>
      </c>
      <c r="G1983" s="15">
        <f>Speed_Calc!G$3+Speed_Calc!G$5*A1983^2</f>
        <v>172.01144089999215</v>
      </c>
      <c r="H1983" s="7">
        <f>(F1983-G1983)/Speed_Calc!G$2*9.806</f>
        <v>-1785.9573319929127</v>
      </c>
      <c r="I1983" s="4">
        <f t="shared" si="125"/>
        <v>54.083333333331936</v>
      </c>
    </row>
    <row r="1984" spans="1:9" x14ac:dyDescent="0.2">
      <c r="A1984" s="11">
        <v>194.79999999999501</v>
      </c>
      <c r="B1984" s="15">
        <v>3.133</v>
      </c>
      <c r="C1984" s="11">
        <f t="shared" si="122"/>
        <v>25244.11996048706</v>
      </c>
      <c r="D1984" s="11">
        <f t="shared" si="123"/>
        <v>-197477.52207893998</v>
      </c>
      <c r="E1984" s="11">
        <f t="shared" si="124"/>
        <v>-273711.1445652729</v>
      </c>
      <c r="F1984" s="11">
        <f>Speed_Calc!B$5*E1984</f>
        <v>-246340.03010874562</v>
      </c>
      <c r="G1984" s="15">
        <f>Speed_Calc!G$3+Speed_Calc!G$5*A1984^2</f>
        <v>172.16763039999219</v>
      </c>
      <c r="H1984" s="7">
        <f>(F1984-G1984)/Speed_Calc!G$2*9.806</f>
        <v>-1790.5915637259716</v>
      </c>
      <c r="I1984" s="4">
        <f t="shared" si="125"/>
        <v>54.111111111109722</v>
      </c>
    </row>
    <row r="1985" spans="1:9" x14ac:dyDescent="0.2">
      <c r="A1985" s="11">
        <v>194.899999999995</v>
      </c>
      <c r="B1985" s="15">
        <v>3.133</v>
      </c>
      <c r="C1985" s="11">
        <f t="shared" si="122"/>
        <v>25257.078954306609</v>
      </c>
      <c r="D1985" s="11">
        <f t="shared" si="123"/>
        <v>-198091.46899051269</v>
      </c>
      <c r="E1985" s="11">
        <f t="shared" si="124"/>
        <v>-274421.22435833659</v>
      </c>
      <c r="F1985" s="11">
        <f>Speed_Calc!B$5*E1985</f>
        <v>-246979.10192250294</v>
      </c>
      <c r="G1985" s="15">
        <f>Speed_Calc!G$3+Speed_Calc!G$5*A1985^2</f>
        <v>172.32390009999219</v>
      </c>
      <c r="H1985" s="7">
        <f>(F1985-G1985)/Speed_Calc!G$2*9.806</f>
        <v>-1795.2347271232918</v>
      </c>
      <c r="I1985" s="4">
        <f t="shared" si="125"/>
        <v>54.1388888888875</v>
      </c>
    </row>
    <row r="1986" spans="1:9" x14ac:dyDescent="0.2">
      <c r="A1986" s="11">
        <v>194.999999999995</v>
      </c>
      <c r="B1986" s="15">
        <v>3.133</v>
      </c>
      <c r="C1986" s="11">
        <f t="shared" si="122"/>
        <v>25270.037948126166</v>
      </c>
      <c r="D1986" s="11">
        <f t="shared" si="123"/>
        <v>-198706.92982330441</v>
      </c>
      <c r="E1986" s="11">
        <f t="shared" si="124"/>
        <v>-275132.67206304386</v>
      </c>
      <c r="F1986" s="11">
        <f>Speed_Calc!B$5*E1986</f>
        <v>-247619.40485673948</v>
      </c>
      <c r="G1986" s="15">
        <f>Speed_Calc!G$3+Speed_Calc!G$5*A1986^2</f>
        <v>172.48024999999217</v>
      </c>
      <c r="H1986" s="7">
        <f>(F1986-G1986)/Speed_Calc!G$2*9.806</f>
        <v>-1799.886833597546</v>
      </c>
      <c r="I1986" s="4">
        <f t="shared" si="125"/>
        <v>54.166666666665279</v>
      </c>
    </row>
    <row r="1987" spans="1:9" x14ac:dyDescent="0.2">
      <c r="A1987" s="11">
        <v>195.09999999999499</v>
      </c>
      <c r="B1987" s="15">
        <v>3.133</v>
      </c>
      <c r="C1987" s="11">
        <f t="shared" si="122"/>
        <v>25282.996941945712</v>
      </c>
      <c r="D1987" s="11">
        <f t="shared" si="123"/>
        <v>-199323.90735949716</v>
      </c>
      <c r="E1987" s="11">
        <f t="shared" si="124"/>
        <v>-275845.48942627176</v>
      </c>
      <c r="F1987" s="11">
        <f>Speed_Calc!B$5*E1987</f>
        <v>-248260.94048364458</v>
      </c>
      <c r="G1987" s="15">
        <f>Speed_Calc!G$3+Speed_Calc!G$5*A1987^2</f>
        <v>172.63668009999213</v>
      </c>
      <c r="H1987" s="7">
        <f>(F1987-G1987)/Speed_Calc!G$2*9.806</f>
        <v>-1804.5478945686511</v>
      </c>
      <c r="I1987" s="4">
        <f t="shared" si="125"/>
        <v>54.19444444444305</v>
      </c>
    </row>
    <row r="1988" spans="1:9" x14ac:dyDescent="0.2">
      <c r="A1988" s="11">
        <v>195.19999999999499</v>
      </c>
      <c r="B1988" s="15">
        <v>3.133</v>
      </c>
      <c r="C1988" s="11">
        <f t="shared" si="122"/>
        <v>25295.955935765265</v>
      </c>
      <c r="D1988" s="11">
        <f t="shared" si="123"/>
        <v>-199942.40438466537</v>
      </c>
      <c r="E1988" s="11">
        <f t="shared" si="124"/>
        <v>-276559.67819600936</v>
      </c>
      <c r="F1988" s="11">
        <f>Speed_Calc!B$5*E1988</f>
        <v>-248903.71037640845</v>
      </c>
      <c r="G1988" s="15">
        <f>Speed_Calc!G$3+Speed_Calc!G$5*A1988^2</f>
        <v>172.79319039999214</v>
      </c>
      <c r="H1988" s="7">
        <f>(F1988-G1988)/Speed_Calc!G$2*9.806</f>
        <v>-1809.2179214637952</v>
      </c>
      <c r="I1988" s="4">
        <f t="shared" si="125"/>
        <v>54.222222222220829</v>
      </c>
    </row>
    <row r="1989" spans="1:9" x14ac:dyDescent="0.2">
      <c r="A1989" s="11">
        <v>195.29999999999501</v>
      </c>
      <c r="B1989" s="15">
        <v>3.133</v>
      </c>
      <c r="C1989" s="11">
        <f t="shared" si="122"/>
        <v>25308.914929584818</v>
      </c>
      <c r="D1989" s="11">
        <f t="shared" si="123"/>
        <v>-200562.42368777466</v>
      </c>
      <c r="E1989" s="11">
        <f t="shared" si="124"/>
        <v>-277275.24012135458</v>
      </c>
      <c r="F1989" s="11">
        <f>Speed_Calc!B$5*E1989</f>
        <v>-249547.71610921912</v>
      </c>
      <c r="G1989" s="15">
        <f>Speed_Calc!G$3+Speed_Calc!G$5*A1989^2</f>
        <v>172.94978089999219</v>
      </c>
      <c r="H1989" s="7">
        <f>(F1989-G1989)/Speed_Calc!G$2*9.806</f>
        <v>-1813.8969257174131</v>
      </c>
      <c r="I1989" s="4">
        <f t="shared" si="125"/>
        <v>54.249999999998614</v>
      </c>
    </row>
    <row r="1990" spans="1:9" x14ac:dyDescent="0.2">
      <c r="A1990" s="11">
        <v>195.399999999995</v>
      </c>
      <c r="B1990" s="15">
        <v>3.133</v>
      </c>
      <c r="C1990" s="11">
        <f t="shared" si="122"/>
        <v>25321.873923404371</v>
      </c>
      <c r="D1990" s="11">
        <f t="shared" si="123"/>
        <v>-201183.96806118544</v>
      </c>
      <c r="E1990" s="11">
        <f t="shared" si="124"/>
        <v>-277992.17695251509</v>
      </c>
      <c r="F1990" s="11">
        <f>Speed_Calc!B$5*E1990</f>
        <v>-250192.95925726357</v>
      </c>
      <c r="G1990" s="15">
        <f>Speed_Calc!G$3+Speed_Calc!G$5*A1990^2</f>
        <v>173.10645159999214</v>
      </c>
      <c r="H1990" s="7">
        <f>(F1990-G1990)/Speed_Calc!G$2*9.806</f>
        <v>-1818.584918771197</v>
      </c>
      <c r="I1990" s="4">
        <f t="shared" si="125"/>
        <v>54.277777777776386</v>
      </c>
    </row>
    <row r="1991" spans="1:9" x14ac:dyDescent="0.2">
      <c r="A1991" s="11">
        <v>195.499999999995</v>
      </c>
      <c r="B1991" s="15">
        <v>3.133</v>
      </c>
      <c r="C1991" s="11">
        <f t="shared" si="122"/>
        <v>25334.832917223932</v>
      </c>
      <c r="D1991" s="11">
        <f t="shared" si="123"/>
        <v>-201807.04030065524</v>
      </c>
      <c r="E1991" s="11">
        <f t="shared" si="124"/>
        <v>-278710.49044080963</v>
      </c>
      <c r="F1991" s="11">
        <f>Speed_Calc!B$5*E1991</f>
        <v>-250839.44139672868</v>
      </c>
      <c r="G1991" s="15">
        <f>Speed_Calc!G$3+Speed_Calc!G$5*A1991^2</f>
        <v>173.26320249999213</v>
      </c>
      <c r="H1991" s="7">
        <f>(F1991-G1991)/Speed_Calc!G$2*9.806</f>
        <v>-1823.2819120741008</v>
      </c>
      <c r="I1991" s="4">
        <f t="shared" si="125"/>
        <v>54.305555555554164</v>
      </c>
    </row>
    <row r="1992" spans="1:9" x14ac:dyDescent="0.2">
      <c r="A1992" s="11">
        <v>195.59999999999499</v>
      </c>
      <c r="B1992" s="15">
        <v>3.133</v>
      </c>
      <c r="C1992" s="11">
        <f t="shared" si="122"/>
        <v>25347.791911043481</v>
      </c>
      <c r="D1992" s="11">
        <f t="shared" si="123"/>
        <v>-202431.64320533938</v>
      </c>
      <c r="E1992" s="11">
        <f t="shared" si="124"/>
        <v>-279430.18233866576</v>
      </c>
      <c r="F1992" s="11">
        <f>Speed_Calc!B$5*E1992</f>
        <v>-251487.16410479919</v>
      </c>
      <c r="G1992" s="15">
        <f>Speed_Calc!G$3+Speed_Calc!G$5*A1992^2</f>
        <v>173.42003359999214</v>
      </c>
      <c r="H1992" s="7">
        <f>(F1992-G1992)/Speed_Calc!G$2*9.806</f>
        <v>-1827.9879170823274</v>
      </c>
      <c r="I1992" s="4">
        <f t="shared" si="125"/>
        <v>54.333333333331943</v>
      </c>
    </row>
    <row r="1993" spans="1:9" x14ac:dyDescent="0.2">
      <c r="A1993" s="11">
        <v>195.69999999999499</v>
      </c>
      <c r="B1993" s="15">
        <v>3.133</v>
      </c>
      <c r="C1993" s="11">
        <f t="shared" si="122"/>
        <v>25360.750904863027</v>
      </c>
      <c r="D1993" s="11">
        <f t="shared" si="123"/>
        <v>-203057.77957779443</v>
      </c>
      <c r="E1993" s="11">
        <f t="shared" si="124"/>
        <v>-280151.25439962134</v>
      </c>
      <c r="F1993" s="11">
        <f>Speed_Calc!B$5*E1993</f>
        <v>-252136.1289596592</v>
      </c>
      <c r="G1993" s="15">
        <f>Speed_Calc!G$3+Speed_Calc!G$5*A1993^2</f>
        <v>173.57694489999213</v>
      </c>
      <c r="H1993" s="7">
        <f>(F1993-G1993)/Speed_Calc!G$2*9.806</f>
        <v>-1832.7029452593388</v>
      </c>
      <c r="I1993" s="4">
        <f t="shared" si="125"/>
        <v>54.361111111109714</v>
      </c>
    </row>
    <row r="1994" spans="1:9" x14ac:dyDescent="0.2">
      <c r="A1994" s="11">
        <v>195.79999999999501</v>
      </c>
      <c r="B1994" s="15">
        <v>3.133</v>
      </c>
      <c r="C1994" s="11">
        <f t="shared" si="122"/>
        <v>25373.70989868258</v>
      </c>
      <c r="D1994" s="11">
        <f t="shared" si="123"/>
        <v>-203685.45222398045</v>
      </c>
      <c r="E1994" s="11">
        <f t="shared" si="124"/>
        <v>-280873.70837832557</v>
      </c>
      <c r="F1994" s="11">
        <f>Speed_Calc!B$5*E1994</f>
        <v>-252786.33754049303</v>
      </c>
      <c r="G1994" s="15">
        <f>Speed_Calc!G$3+Speed_Calc!G$5*A1994^2</f>
        <v>173.73393639999213</v>
      </c>
      <c r="H1994" s="7">
        <f>(F1994-G1994)/Speed_Calc!G$2*9.806</f>
        <v>-1837.4270080758611</v>
      </c>
      <c r="I1994" s="4">
        <f t="shared" si="125"/>
        <v>54.3888888888875</v>
      </c>
    </row>
    <row r="1995" spans="1:9" x14ac:dyDescent="0.2">
      <c r="A1995" s="11">
        <v>195.899999999995</v>
      </c>
      <c r="B1995" s="15">
        <v>3.133</v>
      </c>
      <c r="C1995" s="11">
        <f t="shared" si="122"/>
        <v>25386.668892502137</v>
      </c>
      <c r="D1995" s="11">
        <f t="shared" si="123"/>
        <v>-204314.66395326139</v>
      </c>
      <c r="E1995" s="11">
        <f t="shared" si="124"/>
        <v>-281597.54603053589</v>
      </c>
      <c r="F1995" s="11">
        <f>Speed_Calc!B$5*E1995</f>
        <v>-253437.7914274823</v>
      </c>
      <c r="G1995" s="15">
        <f>Speed_Calc!G$3+Speed_Calc!G$5*A1995^2</f>
        <v>173.89100809999212</v>
      </c>
      <c r="H1995" s="7">
        <f>(F1995-G1995)/Speed_Calc!G$2*9.806</f>
        <v>-1842.1601170098663</v>
      </c>
      <c r="I1995" s="4">
        <f t="shared" si="125"/>
        <v>54.416666666665279</v>
      </c>
    </row>
    <row r="1996" spans="1:9" x14ac:dyDescent="0.2">
      <c r="A1996" s="11">
        <v>195.999999999995</v>
      </c>
      <c r="B1996" s="15">
        <v>3.133</v>
      </c>
      <c r="C1996" s="11">
        <f t="shared" si="122"/>
        <v>25399.627886321683</v>
      </c>
      <c r="D1996" s="11">
        <f t="shared" si="123"/>
        <v>-204945.41757840791</v>
      </c>
      <c r="E1996" s="11">
        <f t="shared" si="124"/>
        <v>-282322.76911312016</v>
      </c>
      <c r="F1996" s="11">
        <f>Speed_Calc!B$5*E1996</f>
        <v>-254090.49220180814</v>
      </c>
      <c r="G1996" s="15">
        <f>Speed_Calc!G$3+Speed_Calc!G$5*A1996^2</f>
        <v>174.04815999999212</v>
      </c>
      <c r="H1996" s="7">
        <f>(F1996-G1996)/Speed_Calc!G$2*9.806</f>
        <v>-1846.9022835465855</v>
      </c>
      <c r="I1996" s="4">
        <f t="shared" si="125"/>
        <v>54.44444444444305</v>
      </c>
    </row>
    <row r="1997" spans="1:9" x14ac:dyDescent="0.2">
      <c r="A1997" s="11">
        <v>196.09999999999499</v>
      </c>
      <c r="B1997" s="15">
        <v>3.133</v>
      </c>
      <c r="C1997" s="11">
        <f t="shared" si="122"/>
        <v>25412.586880141236</v>
      </c>
      <c r="D1997" s="11">
        <f t="shared" si="123"/>
        <v>-205577.71591560086</v>
      </c>
      <c r="E1997" s="11">
        <f t="shared" si="124"/>
        <v>-283049.37938405736</v>
      </c>
      <c r="F1997" s="11">
        <f>Speed_Calc!B$5*E1997</f>
        <v>-254744.44144565164</v>
      </c>
      <c r="G1997" s="15">
        <f>Speed_Calc!G$3+Speed_Calc!G$5*A1997^2</f>
        <v>174.20539209999211</v>
      </c>
      <c r="H1997" s="7">
        <f>(F1997-G1997)/Speed_Calc!G$2*9.806</f>
        <v>-1851.6535191785129</v>
      </c>
      <c r="I1997" s="4">
        <f t="shared" si="125"/>
        <v>54.472222222220829</v>
      </c>
    </row>
    <row r="1998" spans="1:9" x14ac:dyDescent="0.2">
      <c r="A1998" s="11">
        <v>196.19999999999499</v>
      </c>
      <c r="B1998" s="15">
        <v>3.133</v>
      </c>
      <c r="C1998" s="11">
        <f t="shared" si="122"/>
        <v>25425.545873960789</v>
      </c>
      <c r="D1998" s="11">
        <f t="shared" si="123"/>
        <v>-206211.56178443102</v>
      </c>
      <c r="E1998" s="11">
        <f t="shared" si="124"/>
        <v>-283777.37860243529</v>
      </c>
      <c r="F1998" s="11">
        <f>Speed_Calc!B$5*E1998</f>
        <v>-255399.64074219175</v>
      </c>
      <c r="G1998" s="15">
        <f>Speed_Calc!G$3+Speed_Calc!G$5*A1998^2</f>
        <v>174.36270439999208</v>
      </c>
      <c r="H1998" s="7">
        <f>(F1998-G1998)/Speed_Calc!G$2*9.806</f>
        <v>-1856.4138354053916</v>
      </c>
      <c r="I1998" s="4">
        <f t="shared" si="125"/>
        <v>54.499999999998607</v>
      </c>
    </row>
    <row r="1999" spans="1:9" x14ac:dyDescent="0.2">
      <c r="A1999" s="11">
        <v>196.29999999999501</v>
      </c>
      <c r="B1999" s="15">
        <v>3.133</v>
      </c>
      <c r="C1999" s="11">
        <f t="shared" ref="C1999:C2062" si="126">A1999/3.6/B$23/2/PI()*B$32*B$31*B1999*60</f>
        <v>25438.504867780342</v>
      </c>
      <c r="D1999" s="11">
        <f t="shared" ref="D1999:D2062" si="127">-4.687*10^(-17)*C1999^5+9.129*10^(-13)*C1999^4-6.175*10^(-9)*C1999^3+1.799*10^(-5)*C1999^2+6.502*10^(-3)*C1999</f>
        <v>-206846.95800790269</v>
      </c>
      <c r="E1999" s="11">
        <f t="shared" ref="E1999:E2062" si="128">D1999*75*B1999*B$31*B$32/B$23/C1999/2/PI()*60</f>
        <v>-284506.76852845214</v>
      </c>
      <c r="F1999" s="11">
        <f>Speed_Calc!B$5*E1999</f>
        <v>-256056.09167560693</v>
      </c>
      <c r="G1999" s="15">
        <f>Speed_Calc!G$3+Speed_Calc!G$5*A1999^2</f>
        <v>174.52009689999213</v>
      </c>
      <c r="H1999" s="7">
        <f>(F1999-G1999)/Speed_Calc!G$2*9.806</f>
        <v>-1861.1832437342241</v>
      </c>
      <c r="I1999" s="4">
        <f t="shared" ref="I1999:I2062" si="129">A1999/3.6</f>
        <v>54.527777777776393</v>
      </c>
    </row>
    <row r="2000" spans="1:9" x14ac:dyDescent="0.2">
      <c r="A2000" s="11">
        <v>196.399999999995</v>
      </c>
      <c r="B2000" s="15">
        <v>3.133</v>
      </c>
      <c r="C2000" s="11">
        <f t="shared" si="126"/>
        <v>25451.463861599892</v>
      </c>
      <c r="D2000" s="11">
        <f t="shared" si="127"/>
        <v>-207483.90741243502</v>
      </c>
      <c r="E2000" s="11">
        <f t="shared" si="128"/>
        <v>-285237.55092341593</v>
      </c>
      <c r="F2000" s="11">
        <f>Speed_Calc!B$5*E2000</f>
        <v>-256713.79583107433</v>
      </c>
      <c r="G2000" s="15">
        <f>Speed_Calc!G$3+Speed_Calc!G$5*A2000^2</f>
        <v>174.6775695999921</v>
      </c>
      <c r="H2000" s="7">
        <f>(F2000-G2000)/Speed_Calc!G$2*9.806</f>
        <v>-1865.9617556792682</v>
      </c>
      <c r="I2000" s="4">
        <f t="shared" si="129"/>
        <v>54.555555555554164</v>
      </c>
    </row>
    <row r="2001" spans="1:9" x14ac:dyDescent="0.2">
      <c r="A2001" s="11">
        <v>196.499999999995</v>
      </c>
      <c r="B2001" s="15">
        <v>3.133</v>
      </c>
      <c r="C2001" s="11">
        <f t="shared" si="126"/>
        <v>25464.422855419445</v>
      </c>
      <c r="D2001" s="11">
        <f t="shared" si="127"/>
        <v>-208122.4128278647</v>
      </c>
      <c r="E2001" s="11">
        <f t="shared" si="128"/>
        <v>-285969.72754974506</v>
      </c>
      <c r="F2001" s="11">
        <f>Speed_Calc!B$5*E2001</f>
        <v>-257372.75479477056</v>
      </c>
      <c r="G2001" s="15">
        <f>Speed_Calc!G$3+Speed_Calc!G$5*A2001^2</f>
        <v>174.83512249999211</v>
      </c>
      <c r="H2001" s="7">
        <f>(F2001-G2001)/Speed_Calc!G$2*9.806</f>
        <v>-1870.7493827620406</v>
      </c>
      <c r="I2001" s="4">
        <f t="shared" si="129"/>
        <v>54.583333333331943</v>
      </c>
    </row>
    <row r="2002" spans="1:9" x14ac:dyDescent="0.2">
      <c r="A2002" s="11">
        <v>196.59999999999499</v>
      </c>
      <c r="B2002" s="15">
        <v>3.133</v>
      </c>
      <c r="C2002" s="11">
        <f t="shared" si="126"/>
        <v>25477.381849238998</v>
      </c>
      <c r="D2002" s="11">
        <f t="shared" si="127"/>
        <v>-208762.47708744768</v>
      </c>
      <c r="E2002" s="11">
        <f t="shared" si="128"/>
        <v>-286703.300170968</v>
      </c>
      <c r="F2002" s="11">
        <f>Speed_Calc!B$5*E2002</f>
        <v>-258032.9701538712</v>
      </c>
      <c r="G2002" s="15">
        <f>Speed_Calc!G$3+Speed_Calc!G$5*A2002^2</f>
        <v>174.99275559999211</v>
      </c>
      <c r="H2002" s="7">
        <f>(F2002-G2002)/Speed_Calc!G$2*9.806</f>
        <v>-1875.5461365113142</v>
      </c>
      <c r="I2002" s="4">
        <f t="shared" si="129"/>
        <v>54.611111111109722</v>
      </c>
    </row>
    <row r="2003" spans="1:9" x14ac:dyDescent="0.2">
      <c r="A2003" s="11">
        <v>196.69999999999499</v>
      </c>
      <c r="B2003" s="15">
        <v>3.133</v>
      </c>
      <c r="C2003" s="11">
        <f t="shared" si="126"/>
        <v>25490.340843058551</v>
      </c>
      <c r="D2003" s="11">
        <f t="shared" si="127"/>
        <v>-209404.10302786069</v>
      </c>
      <c r="E2003" s="11">
        <f t="shared" si="128"/>
        <v>-287438.27055172255</v>
      </c>
      <c r="F2003" s="11">
        <f>Speed_Calc!B$5*E2003</f>
        <v>-258694.44349655032</v>
      </c>
      <c r="G2003" s="15">
        <f>Speed_Calc!G$3+Speed_Calc!G$5*A2003^2</f>
        <v>175.15046889999209</v>
      </c>
      <c r="H2003" s="7">
        <f>(F2003-G2003)/Speed_Calc!G$2*9.806</f>
        <v>-1880.3520284631152</v>
      </c>
      <c r="I2003" s="4">
        <f t="shared" si="129"/>
        <v>54.638888888887493</v>
      </c>
    </row>
    <row r="2004" spans="1:9" x14ac:dyDescent="0.2">
      <c r="A2004" s="11">
        <v>196.79999999999501</v>
      </c>
      <c r="B2004" s="15">
        <v>3.133</v>
      </c>
      <c r="C2004" s="11">
        <f t="shared" si="126"/>
        <v>25503.299836878108</v>
      </c>
      <c r="D2004" s="11">
        <f t="shared" si="127"/>
        <v>-210047.29348920449</v>
      </c>
      <c r="E2004" s="11">
        <f t="shared" si="128"/>
        <v>-288174.64045775728</v>
      </c>
      <c r="F2004" s="11">
        <f>Speed_Calc!B$5*E2004</f>
        <v>-259357.17641198155</v>
      </c>
      <c r="G2004" s="15">
        <f>Speed_Calc!G$3+Speed_Calc!G$5*A2004^2</f>
        <v>175.30826239999209</v>
      </c>
      <c r="H2004" s="7">
        <f>(F2004-G2004)/Speed_Calc!G$2*9.806</f>
        <v>-1885.1670701607297</v>
      </c>
      <c r="I2004" s="4">
        <f t="shared" si="129"/>
        <v>54.666666666665279</v>
      </c>
    </row>
    <row r="2005" spans="1:9" x14ac:dyDescent="0.2">
      <c r="A2005" s="11">
        <v>196.899999999995</v>
      </c>
      <c r="B2005" s="15">
        <v>3.133</v>
      </c>
      <c r="C2005" s="11">
        <f t="shared" si="126"/>
        <v>25516.258830697658</v>
      </c>
      <c r="D2005" s="11">
        <f t="shared" si="127"/>
        <v>-210692.05131500418</v>
      </c>
      <c r="E2005" s="11">
        <f t="shared" si="128"/>
        <v>-288912.41165592975</v>
      </c>
      <c r="F2005" s="11">
        <f>Speed_Calc!B$5*E2005</f>
        <v>-260021.17049033678</v>
      </c>
      <c r="G2005" s="15">
        <f>Speed_Calc!G$3+Speed_Calc!G$5*A2005^2</f>
        <v>175.46613609999207</v>
      </c>
      <c r="H2005" s="7">
        <f>(F2005-G2005)/Speed_Calc!G$2*9.806</f>
        <v>-1889.9912731546956</v>
      </c>
      <c r="I2005" s="4">
        <f t="shared" si="129"/>
        <v>54.694444444443057</v>
      </c>
    </row>
    <row r="2006" spans="1:9" x14ac:dyDescent="0.2">
      <c r="A2006" s="11">
        <v>196.999999999995</v>
      </c>
      <c r="B2006" s="15">
        <v>3.133</v>
      </c>
      <c r="C2006" s="11">
        <f t="shared" si="126"/>
        <v>25529.217824517207</v>
      </c>
      <c r="D2006" s="11">
        <f t="shared" si="127"/>
        <v>-211338.37935221361</v>
      </c>
      <c r="E2006" s="11">
        <f t="shared" si="128"/>
        <v>-289651.58591420873</v>
      </c>
      <c r="F2006" s="11">
        <f>Speed_Calc!B$5*E2006</f>
        <v>-260686.42732278787</v>
      </c>
      <c r="G2006" s="15">
        <f>Speed_Calc!G$3+Speed_Calc!G$5*A2006^2</f>
        <v>175.62408999999209</v>
      </c>
      <c r="H2006" s="7">
        <f>(F2006-G2006)/Speed_Calc!G$2*9.806</f>
        <v>-1894.8246490028132</v>
      </c>
      <c r="I2006" s="4">
        <f t="shared" si="129"/>
        <v>54.722222222220829</v>
      </c>
    </row>
    <row r="2007" spans="1:9" x14ac:dyDescent="0.2">
      <c r="A2007" s="11">
        <v>197.09999999999499</v>
      </c>
      <c r="B2007" s="15">
        <v>3.133</v>
      </c>
      <c r="C2007" s="11">
        <f t="shared" si="126"/>
        <v>25542.17681833676</v>
      </c>
      <c r="D2007" s="11">
        <f t="shared" si="127"/>
        <v>-211986.28045121577</v>
      </c>
      <c r="E2007" s="11">
        <f t="shared" si="128"/>
        <v>-290392.16500167281</v>
      </c>
      <c r="F2007" s="11">
        <f>Speed_Calc!B$5*E2007</f>
        <v>-261352.94850150554</v>
      </c>
      <c r="G2007" s="15">
        <f>Speed_Calc!G$3+Speed_Calc!G$5*A2007^2</f>
        <v>175.78212409999207</v>
      </c>
      <c r="H2007" s="7">
        <f>(F2007-G2007)/Speed_Calc!G$2*9.806</f>
        <v>-1899.667209270139</v>
      </c>
      <c r="I2007" s="4">
        <f t="shared" si="129"/>
        <v>54.749999999998607</v>
      </c>
    </row>
    <row r="2008" spans="1:9" x14ac:dyDescent="0.2">
      <c r="A2008" s="11">
        <v>197.19999999999499</v>
      </c>
      <c r="B2008" s="15">
        <v>3.133</v>
      </c>
      <c r="C2008" s="11">
        <f t="shared" si="126"/>
        <v>25555.13581215631</v>
      </c>
      <c r="D2008" s="11">
        <f t="shared" si="127"/>
        <v>-212635.75746582443</v>
      </c>
      <c r="E2008" s="11">
        <f t="shared" si="128"/>
        <v>-291134.15068850946</v>
      </c>
      <c r="F2008" s="11">
        <f>Speed_Calc!B$5*E2008</f>
        <v>-262020.73561965852</v>
      </c>
      <c r="G2008" s="15">
        <f>Speed_Calc!G$3+Speed_Calc!G$5*A2008^2</f>
        <v>175.94023839999207</v>
      </c>
      <c r="H2008" s="7">
        <f>(F2008-G2008)/Speed_Calc!G$2*9.806</f>
        <v>-1904.5189655289789</v>
      </c>
      <c r="I2008" s="4">
        <f t="shared" si="129"/>
        <v>54.777777777776386</v>
      </c>
    </row>
    <row r="2009" spans="1:9" x14ac:dyDescent="0.2">
      <c r="A2009" s="11">
        <v>197.29999999999501</v>
      </c>
      <c r="B2009" s="15">
        <v>3.133</v>
      </c>
      <c r="C2009" s="11">
        <f t="shared" si="126"/>
        <v>25568.094805975863</v>
      </c>
      <c r="D2009" s="11">
        <f t="shared" si="127"/>
        <v>-213286.81325328816</v>
      </c>
      <c r="E2009" s="11">
        <f t="shared" si="128"/>
        <v>-291877.54474601761</v>
      </c>
      <c r="F2009" s="11">
        <f>Speed_Calc!B$5*E2009</f>
        <v>-262689.79027141584</v>
      </c>
      <c r="G2009" s="15">
        <f>Speed_Calc!G$3+Speed_Calc!G$5*A2009^2</f>
        <v>176.09843289999208</v>
      </c>
      <c r="H2009" s="7">
        <f>(F2009-G2009)/Speed_Calc!G$2*9.806</f>
        <v>-1909.3799293589043</v>
      </c>
      <c r="I2009" s="4">
        <f t="shared" si="129"/>
        <v>54.805555555554164</v>
      </c>
    </row>
    <row r="2010" spans="1:9" x14ac:dyDescent="0.2">
      <c r="A2010" s="11">
        <v>197.399999999995</v>
      </c>
      <c r="B2010" s="15">
        <v>3.133</v>
      </c>
      <c r="C2010" s="11">
        <f t="shared" si="126"/>
        <v>25581.053799795416</v>
      </c>
      <c r="D2010" s="11">
        <f t="shared" si="127"/>
        <v>-213939.45067429048</v>
      </c>
      <c r="E2010" s="11">
        <f t="shared" si="128"/>
        <v>-292622.34894660529</v>
      </c>
      <c r="F2010" s="11">
        <f>Speed_Calc!B$5*E2010</f>
        <v>-263360.11405194475</v>
      </c>
      <c r="G2010" s="15">
        <f>Speed_Calc!G$3+Speed_Calc!G$5*A2010^2</f>
        <v>176.2567075999921</v>
      </c>
      <c r="H2010" s="7">
        <f>(F2010-G2010)/Speed_Calc!G$2*9.806</f>
        <v>-1914.2501123467371</v>
      </c>
      <c r="I2010" s="4">
        <f t="shared" si="129"/>
        <v>54.833333333331943</v>
      </c>
    </row>
    <row r="2011" spans="1:9" x14ac:dyDescent="0.2">
      <c r="A2011" s="11">
        <v>197.499999999995</v>
      </c>
      <c r="B2011" s="15">
        <v>3.133</v>
      </c>
      <c r="C2011" s="11">
        <f t="shared" si="126"/>
        <v>25594.012793614966</v>
      </c>
      <c r="D2011" s="11">
        <f t="shared" si="127"/>
        <v>-214593.67259295261</v>
      </c>
      <c r="E2011" s="11">
        <f t="shared" si="128"/>
        <v>-293368.56506379077</v>
      </c>
      <c r="F2011" s="11">
        <f>Speed_Calc!B$5*E2011</f>
        <v>-264031.70855741168</v>
      </c>
      <c r="G2011" s="15">
        <f>Speed_Calc!G$3+Speed_Calc!G$5*A2011^2</f>
        <v>176.41506249999205</v>
      </c>
      <c r="H2011" s="7">
        <f>(F2011-G2011)/Speed_Calc!G$2*9.806</f>
        <v>-1919.1295260865581</v>
      </c>
      <c r="I2011" s="4">
        <f t="shared" si="129"/>
        <v>54.861111111109722</v>
      </c>
    </row>
    <row r="2012" spans="1:9" x14ac:dyDescent="0.2">
      <c r="A2012" s="11">
        <v>197.59999999999499</v>
      </c>
      <c r="B2012" s="15">
        <v>3.133</v>
      </c>
      <c r="C2012" s="11">
        <f t="shared" si="126"/>
        <v>25606.971787434515</v>
      </c>
      <c r="D2012" s="11">
        <f t="shared" si="127"/>
        <v>-215249.48187683581</v>
      </c>
      <c r="E2012" s="11">
        <f t="shared" si="128"/>
        <v>-294116.19487220218</v>
      </c>
      <c r="F2012" s="11">
        <f>Speed_Calc!B$5*E2012</f>
        <v>-264704.57538498199</v>
      </c>
      <c r="G2012" s="15">
        <f>Speed_Calc!G$3+Speed_Calc!G$5*A2012^2</f>
        <v>176.57349759999207</v>
      </c>
      <c r="H2012" s="7">
        <f>(F2012-G2012)/Speed_Calc!G$2*9.806</f>
        <v>-1924.0181821797025</v>
      </c>
      <c r="I2012" s="4">
        <f t="shared" si="129"/>
        <v>54.888888888887493</v>
      </c>
    </row>
    <row r="2013" spans="1:9" x14ac:dyDescent="0.2">
      <c r="A2013" s="11">
        <v>197.69999999999499</v>
      </c>
      <c r="B2013" s="15">
        <v>3.133</v>
      </c>
      <c r="C2013" s="11">
        <f t="shared" si="126"/>
        <v>25619.930781254068</v>
      </c>
      <c r="D2013" s="11">
        <f t="shared" si="127"/>
        <v>-215906.8813969435</v>
      </c>
      <c r="E2013" s="11">
        <f t="shared" si="128"/>
        <v>-294865.24014757836</v>
      </c>
      <c r="F2013" s="11">
        <f>Speed_Calc!B$5*E2013</f>
        <v>-265378.71613282053</v>
      </c>
      <c r="G2013" s="15">
        <f>Speed_Calc!G$3+Speed_Calc!G$5*A2013^2</f>
        <v>176.73201289999201</v>
      </c>
      <c r="H2013" s="7">
        <f>(F2013-G2013)/Speed_Calc!G$2*9.806</f>
        <v>-1928.9160922347669</v>
      </c>
      <c r="I2013" s="4">
        <f t="shared" si="129"/>
        <v>54.916666666665272</v>
      </c>
    </row>
    <row r="2014" spans="1:9" x14ac:dyDescent="0.2">
      <c r="A2014" s="11">
        <v>197.79999999999501</v>
      </c>
      <c r="B2014" s="15">
        <v>3.133</v>
      </c>
      <c r="C2014" s="11">
        <f t="shared" si="126"/>
        <v>25632.889775073629</v>
      </c>
      <c r="D2014" s="11">
        <f t="shared" si="127"/>
        <v>-216565.87402772292</v>
      </c>
      <c r="E2014" s="11">
        <f t="shared" si="128"/>
        <v>-295615.70266676776</v>
      </c>
      <c r="F2014" s="11">
        <f>Speed_Calc!B$5*E2014</f>
        <v>-266054.13240009098</v>
      </c>
      <c r="G2014" s="15">
        <f>Speed_Calc!G$3+Speed_Calc!G$5*A2014^2</f>
        <v>176.89060839999206</v>
      </c>
      <c r="H2014" s="7">
        <f>(F2014-G2014)/Speed_Calc!G$2*9.806</f>
        <v>-1933.8232678676015</v>
      </c>
      <c r="I2014" s="4">
        <f t="shared" si="129"/>
        <v>54.944444444443057</v>
      </c>
    </row>
    <row r="2015" spans="1:9" x14ac:dyDescent="0.2">
      <c r="A2015" s="11">
        <v>197.899999999995</v>
      </c>
      <c r="B2015" s="15">
        <v>3.133</v>
      </c>
      <c r="C2015" s="11">
        <f t="shared" si="126"/>
        <v>25645.848768893178</v>
      </c>
      <c r="D2015" s="11">
        <f t="shared" si="127"/>
        <v>-217226.46264706593</v>
      </c>
      <c r="E2015" s="11">
        <f t="shared" si="128"/>
        <v>-296367.58420772752</v>
      </c>
      <c r="F2015" s="11">
        <f>Speed_Calc!B$5*E2015</f>
        <v>-266730.82578695478</v>
      </c>
      <c r="G2015" s="15">
        <f>Speed_Calc!G$3+Speed_Calc!G$5*A2015^2</f>
        <v>177.04928409999206</v>
      </c>
      <c r="H2015" s="7">
        <f>(F2015-G2015)/Speed_Calc!G$2*9.806</f>
        <v>-1938.7397207013059</v>
      </c>
      <c r="I2015" s="4">
        <f t="shared" si="129"/>
        <v>54.972222222220836</v>
      </c>
    </row>
    <row r="2016" spans="1:9" x14ac:dyDescent="0.2">
      <c r="A2016" s="11">
        <v>197.999999999995</v>
      </c>
      <c r="B2016" s="15">
        <v>3.133</v>
      </c>
      <c r="C2016" s="11">
        <f t="shared" si="126"/>
        <v>25658.807762712731</v>
      </c>
      <c r="D2016" s="11">
        <f t="shared" si="127"/>
        <v>-217888.65013631419</v>
      </c>
      <c r="E2016" s="11">
        <f t="shared" si="128"/>
        <v>-297120.88654952683</v>
      </c>
      <c r="F2016" s="11">
        <f>Speed_Calc!B$5*E2016</f>
        <v>-267408.79789457418</v>
      </c>
      <c r="G2016" s="15">
        <f>Speed_Calc!G$3+Speed_Calc!G$5*A2016^2</f>
        <v>177.20803999999205</v>
      </c>
      <c r="H2016" s="7">
        <f>(F2016-G2016)/Speed_Calc!G$2*9.806</f>
        <v>-1943.6654623662473</v>
      </c>
      <c r="I2016" s="4">
        <f t="shared" si="129"/>
        <v>54.999999999998607</v>
      </c>
    </row>
    <row r="2017" spans="1:9" x14ac:dyDescent="0.2">
      <c r="A2017" s="11">
        <v>198.09999999999499</v>
      </c>
      <c r="B2017" s="15">
        <v>3.133</v>
      </c>
      <c r="C2017" s="11">
        <f t="shared" si="126"/>
        <v>25671.766756532281</v>
      </c>
      <c r="D2017" s="11">
        <f t="shared" si="127"/>
        <v>-218552.43938025867</v>
      </c>
      <c r="E2017" s="11">
        <f t="shared" si="128"/>
        <v>-297875.61147234391</v>
      </c>
      <c r="F2017" s="11">
        <f>Speed_Calc!B$5*E2017</f>
        <v>-268088.05032510951</v>
      </c>
      <c r="G2017" s="15">
        <f>Speed_Calc!G$3+Speed_Calc!G$5*A2017^2</f>
        <v>177.36687609999203</v>
      </c>
      <c r="H2017" s="7">
        <f>(F2017-G2017)/Speed_Calc!G$2*9.806</f>
        <v>-1948.6005045000445</v>
      </c>
      <c r="I2017" s="4">
        <f t="shared" si="129"/>
        <v>55.027777777776386</v>
      </c>
    </row>
    <row r="2018" spans="1:9" x14ac:dyDescent="0.2">
      <c r="A2018" s="11">
        <v>198.19999999999499</v>
      </c>
      <c r="B2018" s="15">
        <v>3.133</v>
      </c>
      <c r="C2018" s="11">
        <f t="shared" si="126"/>
        <v>25684.725750351834</v>
      </c>
      <c r="D2018" s="11">
        <f t="shared" si="127"/>
        <v>-219217.83326714265</v>
      </c>
      <c r="E2018" s="11">
        <f t="shared" si="128"/>
        <v>-298631.7607574673</v>
      </c>
      <c r="F2018" s="11">
        <f>Speed_Calc!B$5*E2018</f>
        <v>-268768.58468172059</v>
      </c>
      <c r="G2018" s="15">
        <f>Speed_Calc!G$3+Speed_Calc!G$5*A2018^2</f>
        <v>177.52579239999201</v>
      </c>
      <c r="H2018" s="7">
        <f>(F2018-G2018)/Speed_Calc!G$2*9.806</f>
        <v>-1953.5448587475751</v>
      </c>
      <c r="I2018" s="4">
        <f t="shared" si="129"/>
        <v>55.055555555554164</v>
      </c>
    </row>
    <row r="2019" spans="1:9" x14ac:dyDescent="0.2">
      <c r="A2019" s="11">
        <v>198.29999999999501</v>
      </c>
      <c r="B2019" s="15">
        <v>3.133</v>
      </c>
      <c r="C2019" s="11">
        <f t="shared" si="126"/>
        <v>25697.684744171387</v>
      </c>
      <c r="D2019" s="11">
        <f t="shared" si="127"/>
        <v>-219884.83468866342</v>
      </c>
      <c r="E2019" s="11">
        <f t="shared" si="128"/>
        <v>-299389.33618729515</v>
      </c>
      <c r="F2019" s="11">
        <f>Speed_Calc!B$5*E2019</f>
        <v>-269450.40256856562</v>
      </c>
      <c r="G2019" s="15">
        <f>Speed_Calc!G$3+Speed_Calc!G$5*A2019^2</f>
        <v>177.68478889999204</v>
      </c>
      <c r="H2019" s="7">
        <f>(F2019-G2019)/Speed_Calc!G$2*9.806</f>
        <v>-1958.4985367609686</v>
      </c>
      <c r="I2019" s="4">
        <f t="shared" si="129"/>
        <v>55.083333333331943</v>
      </c>
    </row>
    <row r="2020" spans="1:9" x14ac:dyDescent="0.2">
      <c r="A2020" s="11">
        <v>198.399999999995</v>
      </c>
      <c r="B2020" s="15">
        <v>3.133</v>
      </c>
      <c r="C2020" s="11">
        <f t="shared" si="126"/>
        <v>25710.643737990937</v>
      </c>
      <c r="D2020" s="11">
        <f t="shared" si="127"/>
        <v>-220553.44653997419</v>
      </c>
      <c r="E2020" s="11">
        <f t="shared" si="128"/>
        <v>-300148.33954533539</v>
      </c>
      <c r="F2020" s="11">
        <f>Speed_Calc!B$5*E2020</f>
        <v>-270133.50559080188</v>
      </c>
      <c r="G2020" s="15">
        <f>Speed_Calc!G$3+Speed_Calc!G$5*A2020^2</f>
        <v>177.84386559999203</v>
      </c>
      <c r="H2020" s="7">
        <f>(F2020-G2020)/Speed_Calc!G$2*9.806</f>
        <v>-1963.4615501996125</v>
      </c>
      <c r="I2020" s="4">
        <f t="shared" si="129"/>
        <v>55.111111111109722</v>
      </c>
    </row>
    <row r="2021" spans="1:9" x14ac:dyDescent="0.2">
      <c r="A2021" s="11">
        <v>198.499999999995</v>
      </c>
      <c r="B2021" s="15">
        <v>3.133</v>
      </c>
      <c r="C2021" s="11">
        <f t="shared" si="126"/>
        <v>25723.602731810486</v>
      </c>
      <c r="D2021" s="11">
        <f t="shared" si="127"/>
        <v>-221223.67171968735</v>
      </c>
      <c r="E2021" s="11">
        <f t="shared" si="128"/>
        <v>-300908.77261620702</v>
      </c>
      <c r="F2021" s="11">
        <f>Speed_Calc!B$5*E2021</f>
        <v>-270817.8953545863</v>
      </c>
      <c r="G2021" s="15">
        <f>Speed_Calc!G$3+Speed_Calc!G$5*A2021^2</f>
        <v>178.00302249999203</v>
      </c>
      <c r="H2021" s="7">
        <f>(F2021-G2021)/Speed_Calc!G$2*9.806</f>
        <v>-1968.4339107301539</v>
      </c>
      <c r="I2021" s="4">
        <f t="shared" si="129"/>
        <v>55.1388888888875</v>
      </c>
    </row>
    <row r="2022" spans="1:9" x14ac:dyDescent="0.2">
      <c r="A2022" s="11">
        <v>198.59999999999499</v>
      </c>
      <c r="B2022" s="15">
        <v>3.133</v>
      </c>
      <c r="C2022" s="11">
        <f t="shared" si="126"/>
        <v>25736.561725630036</v>
      </c>
      <c r="D2022" s="11">
        <f t="shared" si="127"/>
        <v>-221895.51312987495</v>
      </c>
      <c r="E2022" s="11">
        <f t="shared" si="128"/>
        <v>-301670.6371856383</v>
      </c>
      <c r="F2022" s="11">
        <f>Speed_Calc!B$5*E2022</f>
        <v>-271503.57346707449</v>
      </c>
      <c r="G2022" s="15">
        <f>Speed_Calc!G$3+Speed_Calc!G$5*A2022^2</f>
        <v>178.16225959999201</v>
      </c>
      <c r="H2022" s="7">
        <f>(F2022-G2022)/Speed_Calc!G$2*9.806</f>
        <v>-1973.415630026496</v>
      </c>
      <c r="I2022" s="4">
        <f t="shared" si="129"/>
        <v>55.166666666665272</v>
      </c>
    </row>
    <row r="2023" spans="1:9" x14ac:dyDescent="0.2">
      <c r="A2023" s="11">
        <v>198.69999999999499</v>
      </c>
      <c r="B2023" s="15">
        <v>3.133</v>
      </c>
      <c r="C2023" s="11">
        <f t="shared" si="126"/>
        <v>25749.520719449592</v>
      </c>
      <c r="D2023" s="11">
        <f t="shared" si="127"/>
        <v>-222568.97367607214</v>
      </c>
      <c r="E2023" s="11">
        <f t="shared" si="128"/>
        <v>-302433.93504046806</v>
      </c>
      <c r="F2023" s="11">
        <f>Speed_Calc!B$5*E2023</f>
        <v>-272190.54153642128</v>
      </c>
      <c r="G2023" s="15">
        <f>Speed_Calc!G$3+Speed_Calc!G$5*A2023^2</f>
        <v>178.32157689999201</v>
      </c>
      <c r="H2023" s="7">
        <f>(F2023-G2023)/Speed_Calc!G$2*9.806</f>
        <v>-1978.4067197697984</v>
      </c>
      <c r="I2023" s="4">
        <f t="shared" si="129"/>
        <v>55.19444444444305</v>
      </c>
    </row>
    <row r="2024" spans="1:9" x14ac:dyDescent="0.2">
      <c r="A2024" s="11">
        <v>198.79999999999501</v>
      </c>
      <c r="B2024" s="15">
        <v>3.133</v>
      </c>
      <c r="C2024" s="11">
        <f t="shared" si="126"/>
        <v>25762.479713269146</v>
      </c>
      <c r="D2024" s="11">
        <f t="shared" si="127"/>
        <v>-223244.05626727734</v>
      </c>
      <c r="E2024" s="11">
        <f t="shared" si="128"/>
        <v>-303198.66796864389</v>
      </c>
      <c r="F2024" s="11">
        <f>Speed_Calc!B$5*E2024</f>
        <v>-272878.80117177952</v>
      </c>
      <c r="G2024" s="15">
        <f>Speed_Calc!G$3+Speed_Calc!G$5*A2024^2</f>
        <v>178.48097439999202</v>
      </c>
      <c r="H2024" s="7">
        <f>(F2024-G2024)/Speed_Calc!G$2*9.806</f>
        <v>-1983.4071916484711</v>
      </c>
      <c r="I2024" s="4">
        <f t="shared" si="129"/>
        <v>55.222222222220836</v>
      </c>
    </row>
    <row r="2025" spans="1:9" x14ac:dyDescent="0.2">
      <c r="A2025" s="11">
        <v>198.899999999995</v>
      </c>
      <c r="B2025" s="15">
        <v>3.133</v>
      </c>
      <c r="C2025" s="11">
        <f t="shared" si="126"/>
        <v>25775.438707088699</v>
      </c>
      <c r="D2025" s="11">
        <f t="shared" si="127"/>
        <v>-223920.76381595645</v>
      </c>
      <c r="E2025" s="11">
        <f t="shared" si="128"/>
        <v>-303964.83775922464</v>
      </c>
      <c r="F2025" s="11">
        <f>Speed_Calc!B$5*E2025</f>
        <v>-273568.35398330219</v>
      </c>
      <c r="G2025" s="15">
        <f>Speed_Calc!G$3+Speed_Calc!G$5*A2025^2</f>
        <v>178.64045209999202</v>
      </c>
      <c r="H2025" s="7">
        <f>(F2025-G2025)/Speed_Calc!G$2*9.806</f>
        <v>-1988.4170573581875</v>
      </c>
      <c r="I2025" s="4">
        <f t="shared" si="129"/>
        <v>55.249999999998607</v>
      </c>
    </row>
    <row r="2026" spans="1:9" x14ac:dyDescent="0.2">
      <c r="A2026" s="11">
        <v>198.999999999995</v>
      </c>
      <c r="B2026" s="15">
        <v>3.133</v>
      </c>
      <c r="C2026" s="11">
        <f t="shared" si="126"/>
        <v>25788.397700908252</v>
      </c>
      <c r="D2026" s="11">
        <f t="shared" si="127"/>
        <v>-224599.09923804377</v>
      </c>
      <c r="E2026" s="11">
        <f t="shared" si="128"/>
        <v>-304732.44620237866</v>
      </c>
      <c r="F2026" s="11">
        <f>Speed_Calc!B$5*E2026</f>
        <v>-274259.20158214081</v>
      </c>
      <c r="G2026" s="15">
        <f>Speed_Calc!G$3+Speed_Calc!G$5*A2026^2</f>
        <v>178.800009999992</v>
      </c>
      <c r="H2026" s="7">
        <f>(F2026-G2026)/Speed_Calc!G$2*9.806</f>
        <v>-1993.4363286018759</v>
      </c>
      <c r="I2026" s="4">
        <f t="shared" si="129"/>
        <v>55.277777777776386</v>
      </c>
    </row>
    <row r="2027" spans="1:9" x14ac:dyDescent="0.2">
      <c r="A2027" s="11">
        <v>199.09999999999499</v>
      </c>
      <c r="B2027" s="15">
        <v>3.133</v>
      </c>
      <c r="C2027" s="11">
        <f t="shared" si="126"/>
        <v>25801.356694727809</v>
      </c>
      <c r="D2027" s="11">
        <f t="shared" si="127"/>
        <v>-225279.06545294423</v>
      </c>
      <c r="E2027" s="11">
        <f t="shared" si="128"/>
        <v>-305501.49508938455</v>
      </c>
      <c r="F2027" s="11">
        <f>Speed_Calc!B$5*E2027</f>
        <v>-274951.34558044613</v>
      </c>
      <c r="G2027" s="15">
        <f>Speed_Calc!G$3+Speed_Calc!G$5*A2027^2</f>
        <v>178.95964809999199</v>
      </c>
      <c r="H2027" s="7">
        <f>(F2027-G2027)/Speed_Calc!G$2*9.806</f>
        <v>-1998.465017089721</v>
      </c>
      <c r="I2027" s="4">
        <f t="shared" si="129"/>
        <v>55.305555555554164</v>
      </c>
    </row>
    <row r="2028" spans="1:9" x14ac:dyDescent="0.2">
      <c r="A2028" s="11">
        <v>199.19999999999499</v>
      </c>
      <c r="B2028" s="15">
        <v>3.133</v>
      </c>
      <c r="C2028" s="11">
        <f t="shared" si="126"/>
        <v>25814.315688547358</v>
      </c>
      <c r="D2028" s="11">
        <f t="shared" si="127"/>
        <v>-225960.66538353483</v>
      </c>
      <c r="E2028" s="11">
        <f t="shared" si="128"/>
        <v>-306271.98621263012</v>
      </c>
      <c r="F2028" s="11">
        <f>Speed_Calc!B$5*E2028</f>
        <v>-275644.78759136709</v>
      </c>
      <c r="G2028" s="15">
        <f>Speed_Calc!G$3+Speed_Calc!G$5*A2028^2</f>
        <v>179.119366399992</v>
      </c>
      <c r="H2028" s="7">
        <f>(F2028-G2028)/Speed_Calc!G$2*9.806</f>
        <v>-2003.5031345391585</v>
      </c>
      <c r="I2028" s="4">
        <f t="shared" si="129"/>
        <v>55.333333333331936</v>
      </c>
    </row>
    <row r="2029" spans="1:9" x14ac:dyDescent="0.2">
      <c r="A2029" s="11">
        <v>199.29999999999501</v>
      </c>
      <c r="B2029" s="15">
        <v>3.133</v>
      </c>
      <c r="C2029" s="11">
        <f t="shared" si="126"/>
        <v>25827.274682366908</v>
      </c>
      <c r="D2029" s="11">
        <f t="shared" si="127"/>
        <v>-226643.90195616806</v>
      </c>
      <c r="E2029" s="11">
        <f t="shared" si="128"/>
        <v>-307043.92136561422</v>
      </c>
      <c r="F2029" s="11">
        <f>Speed_Calc!B$5*E2029</f>
        <v>-276339.52922905283</v>
      </c>
      <c r="G2029" s="15">
        <f>Speed_Calc!G$3+Speed_Calc!G$5*A2029^2</f>
        <v>179.27916489999203</v>
      </c>
      <c r="H2029" s="7">
        <f>(F2029-G2029)/Speed_Calc!G$2*9.806</f>
        <v>-2008.5506926748899</v>
      </c>
      <c r="I2029" s="4">
        <f t="shared" si="129"/>
        <v>55.361111111109722</v>
      </c>
    </row>
    <row r="2030" spans="1:9" x14ac:dyDescent="0.2">
      <c r="A2030" s="11">
        <v>199.399999999995</v>
      </c>
      <c r="B2030" s="15">
        <v>3.133</v>
      </c>
      <c r="C2030" s="11">
        <f t="shared" si="126"/>
        <v>25840.233676186457</v>
      </c>
      <c r="D2030" s="11">
        <f t="shared" si="127"/>
        <v>-227328.7781006732</v>
      </c>
      <c r="E2030" s="11">
        <f t="shared" si="128"/>
        <v>-307817.30234294542</v>
      </c>
      <c r="F2030" s="11">
        <f>Speed_Calc!B$5*E2030</f>
        <v>-277035.57210865087</v>
      </c>
      <c r="G2030" s="15">
        <f>Speed_Calc!G$3+Speed_Calc!G$5*A2030^2</f>
        <v>179.439043599992</v>
      </c>
      <c r="H2030" s="7">
        <f>(F2030-G2030)/Speed_Calc!G$2*9.806</f>
        <v>-2013.6077032288681</v>
      </c>
      <c r="I2030" s="4">
        <f t="shared" si="129"/>
        <v>55.3888888888875</v>
      </c>
    </row>
    <row r="2031" spans="1:9" x14ac:dyDescent="0.2">
      <c r="A2031" s="11">
        <v>199.499999999995</v>
      </c>
      <c r="B2031" s="15">
        <v>3.133</v>
      </c>
      <c r="C2031" s="11">
        <f t="shared" si="126"/>
        <v>25853.192670006018</v>
      </c>
      <c r="D2031" s="11">
        <f t="shared" si="127"/>
        <v>-228015.29675035857</v>
      </c>
      <c r="E2031" s="11">
        <f t="shared" si="128"/>
        <v>-308592.13094034267</v>
      </c>
      <c r="F2031" s="11">
        <f>Speed_Calc!B$5*E2031</f>
        <v>-277732.91784630844</v>
      </c>
      <c r="G2031" s="15">
        <f>Speed_Calc!G$3+Speed_Calc!G$5*A2031^2</f>
        <v>179.599002499992</v>
      </c>
      <c r="H2031" s="7">
        <f>(F2031-G2031)/Speed_Calc!G$2*9.806</f>
        <v>-2018.6741779403078</v>
      </c>
      <c r="I2031" s="4">
        <f t="shared" si="129"/>
        <v>55.416666666665279</v>
      </c>
    </row>
    <row r="2032" spans="1:9" x14ac:dyDescent="0.2">
      <c r="A2032" s="11">
        <v>199.59999999999499</v>
      </c>
      <c r="B2032" s="15">
        <v>3.133</v>
      </c>
      <c r="C2032" s="11">
        <f t="shared" si="126"/>
        <v>25866.151663825563</v>
      </c>
      <c r="D2032" s="11">
        <f t="shared" si="127"/>
        <v>-228703.46084201176</v>
      </c>
      <c r="E2032" s="11">
        <f t="shared" si="128"/>
        <v>-309368.40895463293</v>
      </c>
      <c r="F2032" s="11">
        <f>Speed_Calc!B$5*E2032</f>
        <v>-278431.56805916963</v>
      </c>
      <c r="G2032" s="15">
        <f>Speed_Calc!G$3+Speed_Calc!G$5*A2032^2</f>
        <v>179.75904159999197</v>
      </c>
      <c r="H2032" s="7">
        <f>(F2032-G2032)/Speed_Calc!G$2*9.806</f>
        <v>-2023.7501285556643</v>
      </c>
      <c r="I2032" s="4">
        <f t="shared" si="129"/>
        <v>55.44444444444305</v>
      </c>
    </row>
    <row r="2033" spans="1:9" x14ac:dyDescent="0.2">
      <c r="A2033" s="11">
        <v>199.69999999999499</v>
      </c>
      <c r="B2033" s="15">
        <v>3.133</v>
      </c>
      <c r="C2033" s="11">
        <f t="shared" si="126"/>
        <v>25879.11065764512</v>
      </c>
      <c r="D2033" s="11">
        <f t="shared" si="127"/>
        <v>-229393.27331590594</v>
      </c>
      <c r="E2033" s="11">
        <f t="shared" si="128"/>
        <v>-310146.13818375638</v>
      </c>
      <c r="F2033" s="11">
        <f>Speed_Calc!B$5*E2033</f>
        <v>-279131.52436538076</v>
      </c>
      <c r="G2033" s="15">
        <f>Speed_Calc!G$3+Speed_Calc!G$5*A2033^2</f>
        <v>179.91916089999194</v>
      </c>
      <c r="H2033" s="7">
        <f>(F2033-G2033)/Speed_Calc!G$2*9.806</f>
        <v>-2028.8355668286731</v>
      </c>
      <c r="I2033" s="4">
        <f t="shared" si="129"/>
        <v>55.472222222220829</v>
      </c>
    </row>
    <row r="2034" spans="1:9" x14ac:dyDescent="0.2">
      <c r="A2034" s="11">
        <v>199.79999999999501</v>
      </c>
      <c r="B2034" s="15">
        <v>3.133</v>
      </c>
      <c r="C2034" s="11">
        <f t="shared" si="126"/>
        <v>25892.069651464673</v>
      </c>
      <c r="D2034" s="11">
        <f t="shared" si="127"/>
        <v>-230084.73711579706</v>
      </c>
      <c r="E2034" s="11">
        <f t="shared" si="128"/>
        <v>-310925.32042676047</v>
      </c>
      <c r="F2034" s="11">
        <f>Speed_Calc!B$5*E2034</f>
        <v>-279832.78838408442</v>
      </c>
      <c r="G2034" s="15">
        <f>Speed_Calc!G$3+Speed_Calc!G$5*A2034^2</f>
        <v>180.079360399992</v>
      </c>
      <c r="H2034" s="7">
        <f>(F2034-G2034)/Speed_Calc!G$2*9.806</f>
        <v>-2033.9305045203066</v>
      </c>
      <c r="I2034" s="4">
        <f t="shared" si="129"/>
        <v>55.499999999998614</v>
      </c>
    </row>
    <row r="2035" spans="1:9" x14ac:dyDescent="0.2">
      <c r="A2035" s="11">
        <v>199.899999999995</v>
      </c>
      <c r="B2035" s="15">
        <v>3.133</v>
      </c>
      <c r="C2035" s="11">
        <f t="shared" si="126"/>
        <v>25905.028645284219</v>
      </c>
      <c r="D2035" s="11">
        <f t="shared" si="127"/>
        <v>-230777.85518892881</v>
      </c>
      <c r="E2035" s="11">
        <f t="shared" si="128"/>
        <v>-311705.95748380362</v>
      </c>
      <c r="F2035" s="11">
        <f>Speed_Calc!B$5*E2035</f>
        <v>-280535.36173542327</v>
      </c>
      <c r="G2035" s="15">
        <f>Speed_Calc!G$3+Speed_Calc!G$5*A2035^2</f>
        <v>180.23964009999196</v>
      </c>
      <c r="H2035" s="7">
        <f>(F2035-G2035)/Speed_Calc!G$2*9.806</f>
        <v>-2039.0349533988006</v>
      </c>
      <c r="I2035" s="4">
        <f t="shared" si="129"/>
        <v>55.527777777776386</v>
      </c>
    </row>
    <row r="2036" spans="1:9" x14ac:dyDescent="0.2">
      <c r="A2036" s="11">
        <v>199.999999999995</v>
      </c>
      <c r="B2036" s="15">
        <v>3.133</v>
      </c>
      <c r="C2036" s="11">
        <f t="shared" si="126"/>
        <v>25917.987639103769</v>
      </c>
      <c r="D2036" s="11">
        <f t="shared" si="127"/>
        <v>-231472.63048603488</v>
      </c>
      <c r="E2036" s="11">
        <f t="shared" si="128"/>
        <v>-312488.05115615495</v>
      </c>
      <c r="F2036" s="11">
        <f>Speed_Calc!B$5*E2036</f>
        <v>-281239.24604053947</v>
      </c>
      <c r="G2036" s="15">
        <f>Speed_Calc!G$3+Speed_Calc!G$5*A2036^2</f>
        <v>180.39999999999196</v>
      </c>
      <c r="H2036" s="7">
        <f>(F2036-G2036)/Speed_Calc!G$2*9.806</f>
        <v>-2044.1489252396514</v>
      </c>
      <c r="I2036" s="4">
        <f t="shared" si="129"/>
        <v>55.555555555554164</v>
      </c>
    </row>
    <row r="2037" spans="1:9" x14ac:dyDescent="0.2">
      <c r="A2037" s="11">
        <v>200.09999999999499</v>
      </c>
      <c r="B2037" s="15">
        <v>3.133</v>
      </c>
      <c r="C2037" s="11">
        <f t="shared" si="126"/>
        <v>25930.946632923326</v>
      </c>
      <c r="D2037" s="11">
        <f t="shared" si="127"/>
        <v>-232169.0659613396</v>
      </c>
      <c r="E2037" s="11">
        <f t="shared" si="128"/>
        <v>-313271.60324619326</v>
      </c>
      <c r="F2037" s="11">
        <f>Speed_Calc!B$5*E2037</f>
        <v>-281944.44292157394</v>
      </c>
      <c r="G2037" s="15">
        <f>Speed_Calc!G$3+Speed_Calc!G$5*A2037^2</f>
        <v>180.56044009999195</v>
      </c>
      <c r="H2037" s="7">
        <f>(F2037-G2037)/Speed_Calc!G$2*9.806</f>
        <v>-2049.2724318256105</v>
      </c>
      <c r="I2037" s="4">
        <f t="shared" si="129"/>
        <v>55.583333333331943</v>
      </c>
    </row>
    <row r="2038" spans="1:9" x14ac:dyDescent="0.2">
      <c r="A2038" s="11">
        <v>200.19999999999499</v>
      </c>
      <c r="B2038" s="15">
        <v>3.133</v>
      </c>
      <c r="C2038" s="11">
        <f t="shared" si="126"/>
        <v>25943.905626742879</v>
      </c>
      <c r="D2038" s="11">
        <f t="shared" si="127"/>
        <v>-232867.16457255988</v>
      </c>
      <c r="E2038" s="11">
        <f t="shared" si="128"/>
        <v>-314056.61555740633</v>
      </c>
      <c r="F2038" s="11">
        <f>Speed_Calc!B$5*E2038</f>
        <v>-282650.9540016657</v>
      </c>
      <c r="G2038" s="15">
        <f>Speed_Calc!G$3+Speed_Calc!G$5*A2038^2</f>
        <v>180.72096039999192</v>
      </c>
      <c r="H2038" s="7">
        <f>(F2038-G2038)/Speed_Calc!G$2*9.806</f>
        <v>-2054.4054849466784</v>
      </c>
      <c r="I2038" s="4">
        <f t="shared" si="129"/>
        <v>55.611111111109714</v>
      </c>
    </row>
    <row r="2039" spans="1:9" x14ac:dyDescent="0.2">
      <c r="A2039" s="11">
        <v>200.29999999999501</v>
      </c>
      <c r="B2039" s="15">
        <v>3.133</v>
      </c>
      <c r="C2039" s="11">
        <f t="shared" si="126"/>
        <v>25956.864620562428</v>
      </c>
      <c r="D2039" s="11">
        <f t="shared" si="127"/>
        <v>-233566.92928090823</v>
      </c>
      <c r="E2039" s="11">
        <f t="shared" si="128"/>
        <v>-314843.08989439235</v>
      </c>
      <c r="F2039" s="11">
        <f>Speed_Calc!B$5*E2039</f>
        <v>-283358.78090495314</v>
      </c>
      <c r="G2039" s="15">
        <f>Speed_Calc!G$3+Speed_Calc!G$5*A2039^2</f>
        <v>180.88156089999197</v>
      </c>
      <c r="H2039" s="7">
        <f>(F2039-G2039)/Speed_Calc!G$2*9.806</f>
        <v>-2059.5480964001154</v>
      </c>
      <c r="I2039" s="4">
        <f t="shared" si="129"/>
        <v>55.6388888888875</v>
      </c>
    </row>
    <row r="2040" spans="1:9" x14ac:dyDescent="0.2">
      <c r="A2040" s="11">
        <v>200.399999999995</v>
      </c>
      <c r="B2040" s="15">
        <v>3.133</v>
      </c>
      <c r="C2040" s="11">
        <f t="shared" si="126"/>
        <v>25969.823614381989</v>
      </c>
      <c r="D2040" s="11">
        <f t="shared" si="127"/>
        <v>-234268.36305109583</v>
      </c>
      <c r="E2040" s="11">
        <f t="shared" si="128"/>
        <v>-315631.02806286153</v>
      </c>
      <c r="F2040" s="11">
        <f>Speed_Calc!B$5*E2040</f>
        <v>-284067.9252565754</v>
      </c>
      <c r="G2040" s="15">
        <f>Speed_Calc!G$3+Speed_Calc!G$5*A2040^2</f>
        <v>181.04224159999194</v>
      </c>
      <c r="H2040" s="7">
        <f>(F2040-G2040)/Speed_Calc!G$2*9.806</f>
        <v>-2064.7002779904501</v>
      </c>
      <c r="I2040" s="4">
        <f t="shared" si="129"/>
        <v>55.666666666665279</v>
      </c>
    </row>
    <row r="2041" spans="1:9" x14ac:dyDescent="0.2">
      <c r="A2041" s="11">
        <v>200.499999999995</v>
      </c>
      <c r="B2041" s="15">
        <v>3.133</v>
      </c>
      <c r="C2041" s="11">
        <f t="shared" si="126"/>
        <v>25982.782608201534</v>
      </c>
      <c r="D2041" s="11">
        <f t="shared" si="127"/>
        <v>-234971.46885133066</v>
      </c>
      <c r="E2041" s="11">
        <f t="shared" si="128"/>
        <v>-316420.43186963029</v>
      </c>
      <c r="F2041" s="11">
        <f>Speed_Calc!B$5*E2041</f>
        <v>-284778.38868266728</v>
      </c>
      <c r="G2041" s="15">
        <f>Speed_Calc!G$3+Speed_Calc!G$5*A2041^2</f>
        <v>181.20300249999192</v>
      </c>
      <c r="H2041" s="7">
        <f>(F2041-G2041)/Speed_Calc!G$2*9.806</f>
        <v>-2069.8620415294445</v>
      </c>
      <c r="I2041" s="4">
        <f t="shared" si="129"/>
        <v>55.69444444444305</v>
      </c>
    </row>
    <row r="2042" spans="1:9" x14ac:dyDescent="0.2">
      <c r="A2042" s="11">
        <v>200.59999999999499</v>
      </c>
      <c r="B2042" s="15">
        <v>3.133</v>
      </c>
      <c r="C2042" s="11">
        <f t="shared" si="126"/>
        <v>25995.741602021091</v>
      </c>
      <c r="D2042" s="11">
        <f t="shared" si="127"/>
        <v>-235676.24965332498</v>
      </c>
      <c r="E2042" s="11">
        <f t="shared" si="128"/>
        <v>-317211.30312262871</v>
      </c>
      <c r="F2042" s="11">
        <f>Speed_Calc!B$5*E2042</f>
        <v>-285490.17281036585</v>
      </c>
      <c r="G2042" s="15">
        <f>Speed_Calc!G$3+Speed_Calc!G$5*A2042^2</f>
        <v>181.36384359999192</v>
      </c>
      <c r="H2042" s="7">
        <f>(F2042-G2042)/Speed_Calc!G$2*9.806</f>
        <v>-2075.0333988361399</v>
      </c>
      <c r="I2042" s="4">
        <f t="shared" si="129"/>
        <v>55.722222222220829</v>
      </c>
    </row>
    <row r="2043" spans="1:9" x14ac:dyDescent="0.2">
      <c r="A2043" s="11">
        <v>200.69999999999499</v>
      </c>
      <c r="B2043" s="15">
        <v>3.133</v>
      </c>
      <c r="C2043" s="11">
        <f t="shared" si="126"/>
        <v>26008.700595840641</v>
      </c>
      <c r="D2043" s="11">
        <f t="shared" si="127"/>
        <v>-236382.70843229239</v>
      </c>
      <c r="E2043" s="11">
        <f t="shared" si="128"/>
        <v>-318003.64363089454</v>
      </c>
      <c r="F2043" s="11">
        <f>Speed_Calc!B$5*E2043</f>
        <v>-286203.2792678051</v>
      </c>
      <c r="G2043" s="15">
        <f>Speed_Calc!G$3+Speed_Calc!G$5*A2043^2</f>
        <v>181.52476489999194</v>
      </c>
      <c r="H2043" s="7">
        <f>(F2043-G2043)/Speed_Calc!G$2*9.806</f>
        <v>-2080.2143617368192</v>
      </c>
      <c r="I2043" s="4">
        <f t="shared" si="129"/>
        <v>55.749999999998607</v>
      </c>
    </row>
    <row r="2044" spans="1:9" x14ac:dyDescent="0.2">
      <c r="A2044" s="11">
        <v>200.79999999999501</v>
      </c>
      <c r="B2044" s="15">
        <v>3.133</v>
      </c>
      <c r="C2044" s="11">
        <f t="shared" si="126"/>
        <v>26021.659589660194</v>
      </c>
      <c r="D2044" s="11">
        <f t="shared" si="127"/>
        <v>-237090.84816695345</v>
      </c>
      <c r="E2044" s="11">
        <f t="shared" si="128"/>
        <v>-318797.45520457684</v>
      </c>
      <c r="F2044" s="11">
        <f>Speed_Calc!B$5*E2044</f>
        <v>-286917.70968411915</v>
      </c>
      <c r="G2044" s="15">
        <f>Speed_Calc!G$3+Speed_Calc!G$5*A2044^2</f>
        <v>181.68576639999196</v>
      </c>
      <c r="H2044" s="7">
        <f>(F2044-G2044)/Speed_Calc!G$2*9.806</f>
        <v>-2085.4049420650304</v>
      </c>
      <c r="I2044" s="4">
        <f t="shared" si="129"/>
        <v>55.777777777776393</v>
      </c>
    </row>
    <row r="2045" spans="1:9" x14ac:dyDescent="0.2">
      <c r="A2045" s="11">
        <v>200.899999999995</v>
      </c>
      <c r="B2045" s="15">
        <v>3.133</v>
      </c>
      <c r="C2045" s="11">
        <f t="shared" si="126"/>
        <v>26034.61858347974</v>
      </c>
      <c r="D2045" s="11">
        <f t="shared" si="127"/>
        <v>-237800.67183953556</v>
      </c>
      <c r="E2045" s="11">
        <f t="shared" si="128"/>
        <v>-319592.73965493386</v>
      </c>
      <c r="F2045" s="11">
        <f>Speed_Calc!B$5*E2045</f>
        <v>-287633.46568944049</v>
      </c>
      <c r="G2045" s="15">
        <f>Speed_Calc!G$3+Speed_Calc!G$5*A2045^2</f>
        <v>181.84684809999192</v>
      </c>
      <c r="H2045" s="7">
        <f>(F2045-G2045)/Speed_Calc!G$2*9.806</f>
        <v>-2090.6051516615717</v>
      </c>
      <c r="I2045" s="4">
        <f t="shared" si="129"/>
        <v>55.805555555554164</v>
      </c>
    </row>
    <row r="2046" spans="1:9" x14ac:dyDescent="0.2">
      <c r="A2046" s="11">
        <v>200.999999999995</v>
      </c>
      <c r="B2046" s="15">
        <v>3.133</v>
      </c>
      <c r="C2046" s="11">
        <f t="shared" si="126"/>
        <v>26047.577577299297</v>
      </c>
      <c r="D2046" s="11">
        <f t="shared" si="127"/>
        <v>-238512.18243577657</v>
      </c>
      <c r="E2046" s="11">
        <f t="shared" si="128"/>
        <v>-320389.49879433471</v>
      </c>
      <c r="F2046" s="11">
        <f>Speed_Calc!B$5*E2046</f>
        <v>-288350.54891490127</v>
      </c>
      <c r="G2046" s="15">
        <f>Speed_Calc!G$3+Speed_Calc!G$5*A2046^2</f>
        <v>182.00800999999194</v>
      </c>
      <c r="H2046" s="7">
        <f>(F2046-G2046)/Speed_Calc!G$2*9.806</f>
        <v>-2095.8150023745047</v>
      </c>
      <c r="I2046" s="4">
        <f t="shared" si="129"/>
        <v>55.833333333331943</v>
      </c>
    </row>
    <row r="2047" spans="1:9" x14ac:dyDescent="0.2">
      <c r="A2047" s="11">
        <v>201.09999999999499</v>
      </c>
      <c r="B2047" s="15">
        <v>3.133</v>
      </c>
      <c r="C2047" s="11">
        <f t="shared" si="126"/>
        <v>26060.536571118846</v>
      </c>
      <c r="D2047" s="11">
        <f t="shared" si="127"/>
        <v>-239225.38294492496</v>
      </c>
      <c r="E2047" s="11">
        <f t="shared" si="128"/>
        <v>-321187.73443625733</v>
      </c>
      <c r="F2047" s="11">
        <f>Speed_Calc!B$5*E2047</f>
        <v>-289068.96099263162</v>
      </c>
      <c r="G2047" s="15">
        <f>Speed_Calc!G$3+Speed_Calc!G$5*A2047^2</f>
        <v>182.16925209999189</v>
      </c>
      <c r="H2047" s="7">
        <f>(F2047-G2047)/Speed_Calc!G$2*9.806</f>
        <v>-2101.0345060591394</v>
      </c>
      <c r="I2047" s="4">
        <f t="shared" si="129"/>
        <v>55.861111111109722</v>
      </c>
    </row>
    <row r="2048" spans="1:9" x14ac:dyDescent="0.2">
      <c r="A2048" s="11">
        <v>201.19999999999499</v>
      </c>
      <c r="B2048" s="15">
        <v>3.133</v>
      </c>
      <c r="C2048" s="11">
        <f t="shared" si="126"/>
        <v>26073.495564938396</v>
      </c>
      <c r="D2048" s="11">
        <f t="shared" si="127"/>
        <v>-239940.27635974408</v>
      </c>
      <c r="E2048" s="11">
        <f t="shared" si="128"/>
        <v>-321987.44839529088</v>
      </c>
      <c r="F2048" s="11">
        <f>Speed_Calc!B$5*E2048</f>
        <v>-289788.70355576178</v>
      </c>
      <c r="G2048" s="15">
        <f>Speed_Calc!G$3+Speed_Calc!G$5*A2048^2</f>
        <v>182.33057439999189</v>
      </c>
      <c r="H2048" s="7">
        <f>(F2048-G2048)/Speed_Calc!G$2*9.806</f>
        <v>-2106.2636745780487</v>
      </c>
      <c r="I2048" s="4">
        <f t="shared" si="129"/>
        <v>55.888888888887493</v>
      </c>
    </row>
    <row r="2049" spans="1:9" x14ac:dyDescent="0.2">
      <c r="A2049" s="11">
        <v>201.29999999999501</v>
      </c>
      <c r="B2049" s="15">
        <v>3.133</v>
      </c>
      <c r="C2049" s="11">
        <f t="shared" si="126"/>
        <v>26086.454558757956</v>
      </c>
      <c r="D2049" s="11">
        <f t="shared" si="127"/>
        <v>-240656.865676513</v>
      </c>
      <c r="E2049" s="11">
        <f t="shared" si="128"/>
        <v>-322788.64248713414</v>
      </c>
      <c r="F2049" s="11">
        <f>Speed_Calc!B$5*E2049</f>
        <v>-290509.77823842072</v>
      </c>
      <c r="G2049" s="15">
        <f>Speed_Calc!G$3+Speed_Calc!G$5*A2049^2</f>
        <v>182.49197689999195</v>
      </c>
      <c r="H2049" s="7">
        <f>(F2049-G2049)/Speed_Calc!G$2*9.806</f>
        <v>-2111.5025198010626</v>
      </c>
      <c r="I2049" s="4">
        <f t="shared" si="129"/>
        <v>55.916666666665279</v>
      </c>
    </row>
    <row r="2050" spans="1:9" x14ac:dyDescent="0.2">
      <c r="A2050" s="11">
        <v>201.399999999995</v>
      </c>
      <c r="B2050" s="15">
        <v>3.133</v>
      </c>
      <c r="C2050" s="11">
        <f t="shared" si="126"/>
        <v>26099.413552577505</v>
      </c>
      <c r="D2050" s="11">
        <f t="shared" si="127"/>
        <v>-241375.15389502724</v>
      </c>
      <c r="E2050" s="11">
        <f t="shared" si="128"/>
        <v>-323591.31852859474</v>
      </c>
      <c r="F2050" s="11">
        <f>Speed_Calc!B$5*E2050</f>
        <v>-291232.18667573528</v>
      </c>
      <c r="G2050" s="15">
        <f>Speed_Calc!G$3+Speed_Calc!G$5*A2050^2</f>
        <v>182.65345959999192</v>
      </c>
      <c r="H2050" s="7">
        <f>(F2050-G2050)/Speed_Calc!G$2*9.806</f>
        <v>-2116.7510536052573</v>
      </c>
      <c r="I2050" s="4">
        <f t="shared" si="129"/>
        <v>55.944444444443057</v>
      </c>
    </row>
    <row r="2051" spans="1:9" x14ac:dyDescent="0.2">
      <c r="A2051" s="11">
        <v>201.499999999995</v>
      </c>
      <c r="B2051" s="15">
        <v>3.133</v>
      </c>
      <c r="C2051" s="11">
        <f t="shared" si="126"/>
        <v>26112.372546397062</v>
      </c>
      <c r="D2051" s="11">
        <f t="shared" si="127"/>
        <v>-242095.14401860483</v>
      </c>
      <c r="E2051" s="11">
        <f t="shared" si="128"/>
        <v>-324395.47833759268</v>
      </c>
      <c r="F2051" s="11">
        <f>Speed_Calc!B$5*E2051</f>
        <v>-291955.9305038334</v>
      </c>
      <c r="G2051" s="15">
        <f>Speed_Calc!G$3+Speed_Calc!G$5*A2051^2</f>
        <v>182.8150224999919</v>
      </c>
      <c r="H2051" s="7">
        <f>(F2051-G2051)/Speed_Calc!G$2*9.806</f>
        <v>-2122.0092878749815</v>
      </c>
      <c r="I2051" s="4">
        <f t="shared" si="129"/>
        <v>55.972222222220829</v>
      </c>
    </row>
    <row r="2052" spans="1:9" x14ac:dyDescent="0.2">
      <c r="A2052" s="11">
        <v>201.59999999999499</v>
      </c>
      <c r="B2052" s="15">
        <v>3.133</v>
      </c>
      <c r="C2052" s="11">
        <f t="shared" si="126"/>
        <v>26125.331540216612</v>
      </c>
      <c r="D2052" s="11">
        <f t="shared" si="127"/>
        <v>-242816.83905408304</v>
      </c>
      <c r="E2052" s="11">
        <f t="shared" si="128"/>
        <v>-325201.12373315491</v>
      </c>
      <c r="F2052" s="11">
        <f>Speed_Calc!B$5*E2052</f>
        <v>-292681.01135983941</v>
      </c>
      <c r="G2052" s="15">
        <f>Speed_Calc!G$3+Speed_Calc!G$5*A2052^2</f>
        <v>182.97666559999189</v>
      </c>
      <c r="H2052" s="7">
        <f>(F2052-G2052)/Speed_Calc!G$2*9.806</f>
        <v>-2127.2772345018211</v>
      </c>
      <c r="I2052" s="4">
        <f t="shared" si="129"/>
        <v>55.999999999998607</v>
      </c>
    </row>
    <row r="2053" spans="1:9" x14ac:dyDescent="0.2">
      <c r="A2053" s="11">
        <v>201.69999999999499</v>
      </c>
      <c r="B2053" s="15">
        <v>3.133</v>
      </c>
      <c r="C2053" s="11">
        <f t="shared" si="126"/>
        <v>26138.290534036161</v>
      </c>
      <c r="D2053" s="11">
        <f t="shared" si="127"/>
        <v>-243540.2420118255</v>
      </c>
      <c r="E2053" s="11">
        <f t="shared" si="128"/>
        <v>-326008.25653542136</v>
      </c>
      <c r="F2053" s="11">
        <f>Speed_Calc!B$5*E2053</f>
        <v>-293407.43088187923</v>
      </c>
      <c r="G2053" s="15">
        <f>Speed_Calc!G$3+Speed_Calc!G$5*A2053^2</f>
        <v>183.13838889999187</v>
      </c>
      <c r="H2053" s="7">
        <f>(F2053-G2053)/Speed_Calc!G$2*9.806</f>
        <v>-2132.5549053846376</v>
      </c>
      <c r="I2053" s="4">
        <f t="shared" si="129"/>
        <v>56.027777777776386</v>
      </c>
    </row>
    <row r="2054" spans="1:9" x14ac:dyDescent="0.2">
      <c r="A2054" s="11">
        <v>201.79999999999501</v>
      </c>
      <c r="B2054" s="15">
        <v>3.133</v>
      </c>
      <c r="C2054" s="11">
        <f t="shared" si="126"/>
        <v>26151.249527855711</v>
      </c>
      <c r="D2054" s="11">
        <f t="shared" si="127"/>
        <v>-244265.35590572064</v>
      </c>
      <c r="E2054" s="11">
        <f t="shared" si="128"/>
        <v>-326816.87856564036</v>
      </c>
      <c r="F2054" s="11">
        <f>Speed_Calc!B$5*E2054</f>
        <v>-294135.19070907636</v>
      </c>
      <c r="G2054" s="15">
        <f>Speed_Calc!G$3+Speed_Calc!G$5*A2054^2</f>
        <v>183.30019239999189</v>
      </c>
      <c r="H2054" s="7">
        <f>(F2054-G2054)/Speed_Calc!G$2*9.806</f>
        <v>-2137.8423124295382</v>
      </c>
      <c r="I2054" s="4">
        <f t="shared" si="129"/>
        <v>56.055555555554164</v>
      </c>
    </row>
    <row r="2055" spans="1:9" x14ac:dyDescent="0.2">
      <c r="A2055" s="11">
        <v>201.899999999995</v>
      </c>
      <c r="B2055" s="15">
        <v>3.133</v>
      </c>
      <c r="C2055" s="11">
        <f t="shared" si="126"/>
        <v>26164.208521675268</v>
      </c>
      <c r="D2055" s="11">
        <f t="shared" si="127"/>
        <v>-244992.18375318628</v>
      </c>
      <c r="E2055" s="11">
        <f t="shared" si="128"/>
        <v>-327626.99164617108</v>
      </c>
      <c r="F2055" s="11">
        <f>Speed_Calc!B$5*E2055</f>
        <v>-294864.29248155397</v>
      </c>
      <c r="G2055" s="15">
        <f>Speed_Calc!G$3+Speed_Calc!G$5*A2055^2</f>
        <v>183.46207609999192</v>
      </c>
      <c r="H2055" s="7">
        <f>(F2055-G2055)/Speed_Calc!G$2*9.806</f>
        <v>-2143.1394675498923</v>
      </c>
      <c r="I2055" s="4">
        <f t="shared" si="129"/>
        <v>56.083333333331943</v>
      </c>
    </row>
    <row r="2056" spans="1:9" x14ac:dyDescent="0.2">
      <c r="A2056" s="11">
        <v>201.999999999995</v>
      </c>
      <c r="B2056" s="15">
        <v>3.133</v>
      </c>
      <c r="C2056" s="11">
        <f t="shared" si="126"/>
        <v>26177.167515494817</v>
      </c>
      <c r="D2056" s="11">
        <f t="shared" si="127"/>
        <v>-245720.72857516876</v>
      </c>
      <c r="E2056" s="11">
        <f t="shared" si="128"/>
        <v>-328438.59760048118</v>
      </c>
      <c r="F2056" s="11">
        <f>Speed_Calc!B$5*E2056</f>
        <v>-295594.73784043308</v>
      </c>
      <c r="G2056" s="15">
        <f>Speed_Calc!G$3+Speed_Calc!G$5*A2056^2</f>
        <v>183.62403999999188</v>
      </c>
      <c r="H2056" s="7">
        <f>(F2056-G2056)/Speed_Calc!G$2*9.806</f>
        <v>-2148.4463826663159</v>
      </c>
      <c r="I2056" s="4">
        <f t="shared" si="129"/>
        <v>56.111111111109722</v>
      </c>
    </row>
    <row r="2057" spans="1:9" x14ac:dyDescent="0.2">
      <c r="A2057" s="11">
        <v>202.09999999999499</v>
      </c>
      <c r="B2057" s="15">
        <v>3.133</v>
      </c>
      <c r="C2057" s="11">
        <f t="shared" si="126"/>
        <v>26190.126509314367</v>
      </c>
      <c r="D2057" s="11">
        <f t="shared" si="127"/>
        <v>-246450.99339614811</v>
      </c>
      <c r="E2057" s="11">
        <f t="shared" si="128"/>
        <v>-329251.69825315027</v>
      </c>
      <c r="F2057" s="11">
        <f>Speed_Calc!B$5*E2057</f>
        <v>-296326.52842783526</v>
      </c>
      <c r="G2057" s="15">
        <f>Speed_Calc!G$3+Speed_Calc!G$5*A2057^2</f>
        <v>183.78608409999185</v>
      </c>
      <c r="H2057" s="7">
        <f>(F2057-G2057)/Speed_Calc!G$2*9.806</f>
        <v>-2153.7630697066938</v>
      </c>
      <c r="I2057" s="4">
        <f t="shared" si="129"/>
        <v>56.138888888887493</v>
      </c>
    </row>
    <row r="2058" spans="1:9" x14ac:dyDescent="0.2">
      <c r="A2058" s="11">
        <v>202.19999999999499</v>
      </c>
      <c r="B2058" s="15">
        <v>3.133</v>
      </c>
      <c r="C2058" s="11">
        <f t="shared" si="126"/>
        <v>26203.085503133923</v>
      </c>
      <c r="D2058" s="11">
        <f t="shared" si="127"/>
        <v>-247182.98124413844</v>
      </c>
      <c r="E2058" s="11">
        <f t="shared" si="128"/>
        <v>-330066.29542986664</v>
      </c>
      <c r="F2058" s="11">
        <f>Speed_Calc!B$5*E2058</f>
        <v>-297059.66588688002</v>
      </c>
      <c r="G2058" s="15">
        <f>Speed_Calc!G$3+Speed_Calc!G$5*A2058^2</f>
        <v>183.94820839999187</v>
      </c>
      <c r="H2058" s="7">
        <f>(F2058-G2058)/Speed_Calc!G$2*9.806</f>
        <v>-2159.0895406061595</v>
      </c>
      <c r="I2058" s="4">
        <f t="shared" si="129"/>
        <v>56.166666666665272</v>
      </c>
    </row>
    <row r="2059" spans="1:9" x14ac:dyDescent="0.2">
      <c r="A2059" s="11">
        <v>202.29999999999501</v>
      </c>
      <c r="B2059" s="15">
        <v>3.133</v>
      </c>
      <c r="C2059" s="11">
        <f t="shared" si="126"/>
        <v>26216.044496953473</v>
      </c>
      <c r="D2059" s="11">
        <f t="shared" si="127"/>
        <v>-247916.69515068943</v>
      </c>
      <c r="E2059" s="11">
        <f t="shared" si="128"/>
        <v>-330882.39095742861</v>
      </c>
      <c r="F2059" s="11">
        <f>Speed_Calc!B$5*E2059</f>
        <v>-297794.15186168574</v>
      </c>
      <c r="G2059" s="15">
        <f>Speed_Calc!G$3+Speed_Calc!G$5*A2059^2</f>
        <v>184.11041289999187</v>
      </c>
      <c r="H2059" s="7">
        <f>(F2059-G2059)/Speed_Calc!G$2*9.806</f>
        <v>-2164.4258073071014</v>
      </c>
      <c r="I2059" s="4">
        <f t="shared" si="129"/>
        <v>56.194444444443057</v>
      </c>
    </row>
    <row r="2060" spans="1:9" x14ac:dyDescent="0.2">
      <c r="A2060" s="11">
        <v>202.399999999995</v>
      </c>
      <c r="B2060" s="15">
        <v>3.133</v>
      </c>
      <c r="C2060" s="11">
        <f t="shared" si="126"/>
        <v>26229.003490773022</v>
      </c>
      <c r="D2060" s="11">
        <f t="shared" si="127"/>
        <v>-248652.13815089047</v>
      </c>
      <c r="E2060" s="11">
        <f t="shared" si="128"/>
        <v>-331699.98666374566</v>
      </c>
      <c r="F2060" s="11">
        <f>Speed_Calc!B$5*E2060</f>
        <v>-298529.98799737112</v>
      </c>
      <c r="G2060" s="15">
        <f>Speed_Calc!G$3+Speed_Calc!G$5*A2060^2</f>
        <v>184.27269759999189</v>
      </c>
      <c r="H2060" s="7">
        <f>(F2060-G2060)/Speed_Calc!G$2*9.806</f>
        <v>-2169.7718817591754</v>
      </c>
      <c r="I2060" s="4">
        <f t="shared" si="129"/>
        <v>56.222222222220836</v>
      </c>
    </row>
    <row r="2061" spans="1:9" x14ac:dyDescent="0.2">
      <c r="A2061" s="11">
        <v>202.499999999994</v>
      </c>
      <c r="B2061" s="15">
        <v>3.133</v>
      </c>
      <c r="C2061" s="11">
        <f t="shared" si="126"/>
        <v>26241.962484592452</v>
      </c>
      <c r="D2061" s="11">
        <f t="shared" si="127"/>
        <v>-249389.31328336374</v>
      </c>
      <c r="E2061" s="11">
        <f t="shared" si="128"/>
        <v>-332519.08437782817</v>
      </c>
      <c r="F2061" s="11">
        <f>Speed_Calc!B$5*E2061</f>
        <v>-299267.17594004539</v>
      </c>
      <c r="G2061" s="15">
        <f>Speed_Calc!G$3+Speed_Calc!G$5*A2061^2</f>
        <v>184.43506249999024</v>
      </c>
      <c r="H2061" s="7">
        <f>(F2061-G2061)/Speed_Calc!G$2*9.806</f>
        <v>-2175.1277759192299</v>
      </c>
      <c r="I2061" s="4">
        <f t="shared" si="129"/>
        <v>56.24999999999833</v>
      </c>
    </row>
    <row r="2062" spans="1:9" x14ac:dyDescent="0.2">
      <c r="A2062" s="11">
        <v>202.59999999999499</v>
      </c>
      <c r="B2062" s="15">
        <v>3.133</v>
      </c>
      <c r="C2062" s="11">
        <f t="shared" si="126"/>
        <v>26254.921478412132</v>
      </c>
      <c r="D2062" s="11">
        <f t="shared" si="127"/>
        <v>-250128.22359030254</v>
      </c>
      <c r="E2062" s="11">
        <f t="shared" si="128"/>
        <v>-333339.68592982908</v>
      </c>
      <c r="F2062" s="11">
        <f>Speed_Calc!B$5*E2062</f>
        <v>-300005.71733684617</v>
      </c>
      <c r="G2062" s="15">
        <f>Speed_Calc!G$3+Speed_Calc!G$5*A2062^2</f>
        <v>184.59750759999184</v>
      </c>
      <c r="H2062" s="7">
        <f>(F2062-G2062)/Speed_Calc!G$2*9.806</f>
        <v>-2180.4935017515841</v>
      </c>
      <c r="I2062" s="4">
        <f t="shared" si="129"/>
        <v>56.277777777776386</v>
      </c>
    </row>
    <row r="2063" spans="1:9" x14ac:dyDescent="0.2">
      <c r="A2063" s="11">
        <v>202.69999999999499</v>
      </c>
      <c r="B2063" s="15">
        <v>3.133</v>
      </c>
      <c r="C2063" s="11">
        <f t="shared" ref="C2063:C2126" si="130">A2063/3.6/B$23/2/PI()*B$32*B$31*B2063*60</f>
        <v>26267.880472231682</v>
      </c>
      <c r="D2063" s="11">
        <f t="shared" ref="D2063:D2126" si="131">-4.687*10^(-17)*C2063^5+9.129*10^(-13)*C2063^4-6.175*10^(-9)*C2063^3+1.799*10^(-5)*C2063^2+6.502*10^(-3)*C2063</f>
        <v>-250868.87211740139</v>
      </c>
      <c r="E2063" s="11">
        <f t="shared" ref="E2063:E2126" si="132">D2063*75*B2063*B$31*B$32/B$23/C2063/2/PI()*60</f>
        <v>-334161.79315096221</v>
      </c>
      <c r="F2063" s="11">
        <f>Speed_Calc!B$5*E2063</f>
        <v>-300745.61383586598</v>
      </c>
      <c r="G2063" s="15">
        <f>Speed_Calc!G$3+Speed_Calc!G$5*A2063^2</f>
        <v>184.76003289999184</v>
      </c>
      <c r="H2063" s="7">
        <f>(F2063-G2063)/Speed_Calc!G$2*9.806</f>
        <v>-2185.8690712274952</v>
      </c>
      <c r="I2063" s="4">
        <f t="shared" ref="I2063:I2126" si="133">A2063/3.6</f>
        <v>56.305555555554164</v>
      </c>
    </row>
    <row r="2064" spans="1:9" x14ac:dyDescent="0.2">
      <c r="A2064" s="11">
        <v>202.79999999999399</v>
      </c>
      <c r="B2064" s="15">
        <v>3.133</v>
      </c>
      <c r="C2064" s="11">
        <f t="shared" si="130"/>
        <v>26280.839466051104</v>
      </c>
      <c r="D2064" s="11">
        <f t="shared" si="131"/>
        <v>-251611.26191392416</v>
      </c>
      <c r="E2064" s="11">
        <f t="shared" si="132"/>
        <v>-334985.40787357761</v>
      </c>
      <c r="F2064" s="11">
        <f>Speed_Calc!B$5*E2064</f>
        <v>-301486.86708621983</v>
      </c>
      <c r="G2064" s="15">
        <f>Speed_Calc!G$3+Speed_Calc!G$5*A2064^2</f>
        <v>184.92263839999021</v>
      </c>
      <c r="H2064" s="7">
        <f>(F2064-G2064)/Speed_Calc!G$2*9.806</f>
        <v>-2191.254496325646</v>
      </c>
      <c r="I2064" s="4">
        <f t="shared" si="133"/>
        <v>56.333333333331659</v>
      </c>
    </row>
    <row r="2065" spans="1:9" x14ac:dyDescent="0.2">
      <c r="A2065" s="11">
        <v>202.899999999995</v>
      </c>
      <c r="B2065" s="15">
        <v>3.133</v>
      </c>
      <c r="C2065" s="11">
        <f t="shared" si="130"/>
        <v>26293.798459870788</v>
      </c>
      <c r="D2065" s="11">
        <f t="shared" si="131"/>
        <v>-252355.39603270451</v>
      </c>
      <c r="E2065" s="11">
        <f t="shared" si="132"/>
        <v>-335810.53193115775</v>
      </c>
      <c r="F2065" s="11">
        <f>Speed_Calc!B$5*E2065</f>
        <v>-302229.478738042</v>
      </c>
      <c r="G2065" s="15">
        <f>Speed_Calc!G$3+Speed_Calc!G$5*A2065^2</f>
        <v>185.08532409999185</v>
      </c>
      <c r="H2065" s="7">
        <f>(F2065-G2065)/Speed_Calc!G$2*9.806</f>
        <v>-2196.6497890321216</v>
      </c>
      <c r="I2065" s="4">
        <f t="shared" si="133"/>
        <v>56.361111111109722</v>
      </c>
    </row>
    <row r="2066" spans="1:9" x14ac:dyDescent="0.2">
      <c r="A2066" s="11">
        <v>202.999999999994</v>
      </c>
      <c r="B2066" s="15">
        <v>3.133</v>
      </c>
      <c r="C2066" s="11">
        <f t="shared" si="130"/>
        <v>26306.757453690207</v>
      </c>
      <c r="D2066" s="11">
        <f t="shared" si="131"/>
        <v>-253101.27753007523</v>
      </c>
      <c r="E2066" s="11">
        <f t="shared" si="132"/>
        <v>-336637.16715823818</v>
      </c>
      <c r="F2066" s="11">
        <f>Speed_Calc!B$5*E2066</f>
        <v>-302973.45044241438</v>
      </c>
      <c r="G2066" s="15">
        <f>Speed_Calc!G$3+Speed_Calc!G$5*A2066^2</f>
        <v>185.24808999999021</v>
      </c>
      <c r="H2066" s="7">
        <f>(F2066-G2066)/Speed_Calc!G$2*9.806</f>
        <v>-2202.054961339893</v>
      </c>
      <c r="I2066" s="4">
        <f t="shared" si="133"/>
        <v>56.388888888887223</v>
      </c>
    </row>
    <row r="2067" spans="1:9" x14ac:dyDescent="0.2">
      <c r="A2067" s="11">
        <v>203.09999999999499</v>
      </c>
      <c r="B2067" s="15">
        <v>3.133</v>
      </c>
      <c r="C2067" s="11">
        <f t="shared" si="130"/>
        <v>26319.716447509894</v>
      </c>
      <c r="D2067" s="11">
        <f t="shared" si="131"/>
        <v>-253848.90946598258</v>
      </c>
      <c r="E2067" s="11">
        <f t="shared" si="132"/>
        <v>-337465.31539053167</v>
      </c>
      <c r="F2067" s="11">
        <f>Speed_Calc!B$5*E2067</f>
        <v>-303718.78385147854</v>
      </c>
      <c r="G2067" s="15">
        <f>Speed_Calc!G$3+Speed_Calc!G$5*A2067^2</f>
        <v>185.41093609999183</v>
      </c>
      <c r="H2067" s="7">
        <f>(F2067-G2067)/Speed_Calc!G$2*9.806</f>
        <v>-2207.4700252496259</v>
      </c>
      <c r="I2067" s="4">
        <f t="shared" si="133"/>
        <v>56.416666666665272</v>
      </c>
    </row>
    <row r="2068" spans="1:9" x14ac:dyDescent="0.2">
      <c r="A2068" s="11">
        <v>203.19999999999499</v>
      </c>
      <c r="B2068" s="15">
        <v>3.133</v>
      </c>
      <c r="C2068" s="11">
        <f t="shared" si="130"/>
        <v>26332.675441329444</v>
      </c>
      <c r="D2068" s="11">
        <f t="shared" si="131"/>
        <v>-254598.29490387373</v>
      </c>
      <c r="E2068" s="11">
        <f t="shared" si="132"/>
        <v>-338294.97846480121</v>
      </c>
      <c r="F2068" s="11">
        <f>Speed_Calc!B$5*E2068</f>
        <v>-304465.4806183211</v>
      </c>
      <c r="G2068" s="15">
        <f>Speed_Calc!G$3+Speed_Calc!G$5*A2068^2</f>
        <v>185.57386239999181</v>
      </c>
      <c r="H2068" s="7">
        <f>(F2068-G2068)/Speed_Calc!G$2*9.806</f>
        <v>-2212.8949927688523</v>
      </c>
      <c r="I2068" s="4">
        <f t="shared" si="133"/>
        <v>56.44444444444305</v>
      </c>
    </row>
    <row r="2069" spans="1:9" x14ac:dyDescent="0.2">
      <c r="A2069" s="11">
        <v>203.29999999999399</v>
      </c>
      <c r="B2069" s="15">
        <v>3.133</v>
      </c>
      <c r="C2069" s="11">
        <f t="shared" si="130"/>
        <v>26345.634435148866</v>
      </c>
      <c r="D2069" s="11">
        <f t="shared" si="131"/>
        <v>-255349.43691077686</v>
      </c>
      <c r="E2069" s="11">
        <f t="shared" si="132"/>
        <v>-339126.15821894631</v>
      </c>
      <c r="F2069" s="11">
        <f>Speed_Calc!B$5*E2069</f>
        <v>-305213.5423970517</v>
      </c>
      <c r="G2069" s="15">
        <f>Speed_Calc!G$3+Speed_Calc!G$5*A2069^2</f>
        <v>185.73686889999018</v>
      </c>
      <c r="H2069" s="7">
        <f>(F2069-G2069)/Speed_Calc!G$2*9.806</f>
        <v>-2218.329875912535</v>
      </c>
      <c r="I2069" s="4">
        <f t="shared" si="133"/>
        <v>56.472222222220552</v>
      </c>
    </row>
    <row r="2070" spans="1:9" x14ac:dyDescent="0.2">
      <c r="A2070" s="11">
        <v>203.399999999995</v>
      </c>
      <c r="B2070" s="15">
        <v>3.133</v>
      </c>
      <c r="C2070" s="11">
        <f t="shared" si="130"/>
        <v>26358.593428968543</v>
      </c>
      <c r="D2070" s="11">
        <f t="shared" si="131"/>
        <v>-256102.33855730022</v>
      </c>
      <c r="E2070" s="11">
        <f t="shared" si="132"/>
        <v>-339958.85649199988</v>
      </c>
      <c r="F2070" s="11">
        <f>Speed_Calc!B$5*E2070</f>
        <v>-305962.97084279987</v>
      </c>
      <c r="G2070" s="15">
        <f>Speed_Calc!G$3+Speed_Calc!G$5*A2070^2</f>
        <v>185.89995559999184</v>
      </c>
      <c r="H2070" s="7">
        <f>(F2070-G2070)/Speed_Calc!G$2*9.806</f>
        <v>-2223.7746867030432</v>
      </c>
      <c r="I2070" s="4">
        <f t="shared" si="133"/>
        <v>56.499999999998607</v>
      </c>
    </row>
    <row r="2071" spans="1:9" x14ac:dyDescent="0.2">
      <c r="A2071" s="11">
        <v>203.499999999994</v>
      </c>
      <c r="B2071" s="15">
        <v>3.133</v>
      </c>
      <c r="C2071" s="11">
        <f t="shared" si="130"/>
        <v>26371.552422787972</v>
      </c>
      <c r="D2071" s="11">
        <f t="shared" si="131"/>
        <v>-256857.00291756258</v>
      </c>
      <c r="E2071" s="11">
        <f t="shared" si="132"/>
        <v>-340793.07512404892</v>
      </c>
      <c r="F2071" s="11">
        <f>Speed_Calc!B$5*E2071</f>
        <v>-306713.76761164406</v>
      </c>
      <c r="G2071" s="15">
        <f>Speed_Calc!G$3+Speed_Calc!G$5*A2071^2</f>
        <v>186.06312249999021</v>
      </c>
      <c r="H2071" s="7">
        <f>(F2071-G2071)/Speed_Calc!G$2*9.806</f>
        <v>-2229.2294371696416</v>
      </c>
      <c r="I2071" s="4">
        <f t="shared" si="133"/>
        <v>56.527777777776109</v>
      </c>
    </row>
    <row r="2072" spans="1:9" x14ac:dyDescent="0.2">
      <c r="A2072" s="11">
        <v>203.59999999999499</v>
      </c>
      <c r="B2072" s="15">
        <v>3.133</v>
      </c>
      <c r="C2072" s="11">
        <f t="shared" si="130"/>
        <v>26384.511416607649</v>
      </c>
      <c r="D2072" s="11">
        <f t="shared" si="131"/>
        <v>-257613.43306930334</v>
      </c>
      <c r="E2072" s="11">
        <f t="shared" si="132"/>
        <v>-341628.81595635373</v>
      </c>
      <c r="F2072" s="11">
        <f>Speed_Calc!B$5*E2072</f>
        <v>-307465.93436071835</v>
      </c>
      <c r="G2072" s="15">
        <f>Speed_Calc!G$3+Speed_Calc!G$5*A2072^2</f>
        <v>186.22636959999181</v>
      </c>
      <c r="H2072" s="7">
        <f>(F2072-G2072)/Speed_Calc!G$2*9.806</f>
        <v>-2234.6941393492602</v>
      </c>
      <c r="I2072" s="4">
        <f t="shared" si="133"/>
        <v>56.555555555554164</v>
      </c>
    </row>
    <row r="2073" spans="1:9" x14ac:dyDescent="0.2">
      <c r="A2073" s="11">
        <v>203.69999999999499</v>
      </c>
      <c r="B2073" s="15">
        <v>3.133</v>
      </c>
      <c r="C2073" s="11">
        <f t="shared" si="130"/>
        <v>26397.470410427206</v>
      </c>
      <c r="D2073" s="11">
        <f t="shared" si="131"/>
        <v>-258371.63209377701</v>
      </c>
      <c r="E2073" s="11">
        <f t="shared" si="132"/>
        <v>-342466.0808312298</v>
      </c>
      <c r="F2073" s="11">
        <f>Speed_Calc!B$5*E2073</f>
        <v>-308219.47274810681</v>
      </c>
      <c r="G2073" s="15">
        <f>Speed_Calc!G$3+Speed_Calc!G$5*A2073^2</f>
        <v>186.3896968999918</v>
      </c>
      <c r="H2073" s="7">
        <f>(F2073-G2073)/Speed_Calc!G$2*9.806</f>
        <v>-2240.1688052857307</v>
      </c>
      <c r="I2073" s="4">
        <f t="shared" si="133"/>
        <v>56.583333333331936</v>
      </c>
    </row>
    <row r="2074" spans="1:9" x14ac:dyDescent="0.2">
      <c r="A2074" s="11">
        <v>203.79999999999399</v>
      </c>
      <c r="B2074" s="15">
        <v>3.133</v>
      </c>
      <c r="C2074" s="11">
        <f t="shared" si="130"/>
        <v>26410.429404246624</v>
      </c>
      <c r="D2074" s="11">
        <f t="shared" si="131"/>
        <v>-259131.60307582558</v>
      </c>
      <c r="E2074" s="11">
        <f t="shared" si="132"/>
        <v>-343304.87159212452</v>
      </c>
      <c r="F2074" s="11">
        <f>Speed_Calc!B$5*E2074</f>
        <v>-308974.38443291205</v>
      </c>
      <c r="G2074" s="15">
        <f>Speed_Calc!G$3+Speed_Calc!G$5*A2074^2</f>
        <v>186.55310439999016</v>
      </c>
      <c r="H2074" s="7">
        <f>(F2074-G2074)/Speed_Calc!G$2*9.806</f>
        <v>-2245.6534470302827</v>
      </c>
      <c r="I2074" s="4">
        <f t="shared" si="133"/>
        <v>56.611111111109437</v>
      </c>
    </row>
    <row r="2075" spans="1:9" x14ac:dyDescent="0.2">
      <c r="A2075" s="11">
        <v>203.899999999995</v>
      </c>
      <c r="B2075" s="15">
        <v>3.133</v>
      </c>
      <c r="C2075" s="11">
        <f t="shared" si="130"/>
        <v>26423.388398066309</v>
      </c>
      <c r="D2075" s="11">
        <f t="shared" si="131"/>
        <v>-259893.34910388509</v>
      </c>
      <c r="E2075" s="11">
        <f t="shared" si="132"/>
        <v>-344145.19008362287</v>
      </c>
      <c r="F2075" s="11">
        <f>Speed_Calc!B$5*E2075</f>
        <v>-309730.67107526062</v>
      </c>
      <c r="G2075" s="15">
        <f>Speed_Calc!G$3+Speed_Calc!G$5*A2075^2</f>
        <v>186.7165920999918</v>
      </c>
      <c r="H2075" s="7">
        <f>(F2075-G2075)/Speed_Calc!G$2*9.806</f>
        <v>-2251.1480766415834</v>
      </c>
      <c r="I2075" s="4">
        <f t="shared" si="133"/>
        <v>56.6388888888875</v>
      </c>
    </row>
    <row r="2076" spans="1:9" x14ac:dyDescent="0.2">
      <c r="A2076" s="11">
        <v>203.999999999994</v>
      </c>
      <c r="B2076" s="15">
        <v>3.133</v>
      </c>
      <c r="C2076" s="11">
        <f t="shared" si="130"/>
        <v>26436.347391885734</v>
      </c>
      <c r="D2076" s="11">
        <f t="shared" si="131"/>
        <v>-260656.87326990889</v>
      </c>
      <c r="E2076" s="11">
        <f t="shared" si="132"/>
        <v>-344987.03815136023</v>
      </c>
      <c r="F2076" s="11">
        <f>Speed_Calc!B$5*E2076</f>
        <v>-310488.33433622424</v>
      </c>
      <c r="G2076" s="15">
        <f>Speed_Calc!G$3+Speed_Calc!G$5*A2076^2</f>
        <v>186.88015999999018</v>
      </c>
      <c r="H2076" s="7">
        <f>(F2076-G2076)/Speed_Calc!G$2*9.806</f>
        <v>-2256.6527061851662</v>
      </c>
      <c r="I2076" s="4">
        <f t="shared" si="133"/>
        <v>56.666666666665002</v>
      </c>
    </row>
    <row r="2077" spans="1:9" x14ac:dyDescent="0.2">
      <c r="A2077" s="11">
        <v>204.09999999999499</v>
      </c>
      <c r="B2077" s="15">
        <v>3.133</v>
      </c>
      <c r="C2077" s="11">
        <f t="shared" si="130"/>
        <v>26449.306385705415</v>
      </c>
      <c r="D2077" s="11">
        <f t="shared" si="131"/>
        <v>-261422.17866948401</v>
      </c>
      <c r="E2077" s="11">
        <f t="shared" si="132"/>
        <v>-345830.41764214798</v>
      </c>
      <c r="F2077" s="11">
        <f>Speed_Calc!B$5*E2077</f>
        <v>-311247.37587793317</v>
      </c>
      <c r="G2077" s="15">
        <f>Speed_Calc!G$3+Speed_Calc!G$5*A2077^2</f>
        <v>187.04380809999176</v>
      </c>
      <c r="H2077" s="7">
        <f>(F2077-G2077)/Speed_Calc!G$2*9.806</f>
        <v>-2262.1673477342524</v>
      </c>
      <c r="I2077" s="4">
        <f t="shared" si="133"/>
        <v>56.69444444444305</v>
      </c>
    </row>
    <row r="2078" spans="1:9" x14ac:dyDescent="0.2">
      <c r="A2078" s="11">
        <v>204.19999999999399</v>
      </c>
      <c r="B2078" s="15">
        <v>3.133</v>
      </c>
      <c r="C2078" s="11">
        <f t="shared" si="130"/>
        <v>26462.26537952483</v>
      </c>
      <c r="D2078" s="11">
        <f t="shared" si="131"/>
        <v>-262189.26840171259</v>
      </c>
      <c r="E2078" s="11">
        <f t="shared" si="132"/>
        <v>-346675.33040384174</v>
      </c>
      <c r="F2078" s="11">
        <f>Speed_Calc!B$5*E2078</f>
        <v>-312007.79736345756</v>
      </c>
      <c r="G2078" s="15">
        <f>Speed_Calc!G$3+Speed_Calc!G$5*A2078^2</f>
        <v>187.20753639999015</v>
      </c>
      <c r="H2078" s="7">
        <f>(F2078-G2078)/Speed_Calc!G$2*9.806</f>
        <v>-2267.6920133688909</v>
      </c>
      <c r="I2078" s="4">
        <f t="shared" si="133"/>
        <v>56.722222222220552</v>
      </c>
    </row>
    <row r="2079" spans="1:9" x14ac:dyDescent="0.2">
      <c r="A2079" s="11">
        <v>204.29999999999399</v>
      </c>
      <c r="B2079" s="15">
        <v>3.133</v>
      </c>
      <c r="C2079" s="11">
        <f t="shared" si="130"/>
        <v>26475.22437334439</v>
      </c>
      <c r="D2079" s="11">
        <f t="shared" si="131"/>
        <v>-262958.14556932892</v>
      </c>
      <c r="E2079" s="11">
        <f t="shared" si="132"/>
        <v>-347521.77828546689</v>
      </c>
      <c r="F2079" s="11">
        <f>Speed_Calc!B$5*E2079</f>
        <v>-312769.60045692022</v>
      </c>
      <c r="G2079" s="15">
        <f>Speed_Calc!G$3+Speed_Calc!G$5*A2079^2</f>
        <v>187.37134489999013</v>
      </c>
      <c r="H2079" s="7">
        <f>(F2079-G2079)/Speed_Calc!G$2*9.806</f>
        <v>-2273.2267151767769</v>
      </c>
      <c r="I2079" s="4">
        <f t="shared" si="133"/>
        <v>56.74999999999833</v>
      </c>
    </row>
    <row r="2080" spans="1:9" x14ac:dyDescent="0.2">
      <c r="A2080" s="11">
        <v>204.39999999999401</v>
      </c>
      <c r="B2080" s="15">
        <v>3.133</v>
      </c>
      <c r="C2080" s="11">
        <f t="shared" si="130"/>
        <v>26488.18336716394</v>
      </c>
      <c r="D2080" s="11">
        <f t="shared" si="131"/>
        <v>-263728.81327861373</v>
      </c>
      <c r="E2080" s="11">
        <f t="shared" si="132"/>
        <v>-348369.76313712233</v>
      </c>
      <c r="F2080" s="11">
        <f>Speed_Calc!B$5*E2080</f>
        <v>-313532.78682341008</v>
      </c>
      <c r="G2080" s="15">
        <f>Speed_Calc!G$3+Speed_Calc!G$5*A2080^2</f>
        <v>187.53523359999016</v>
      </c>
      <c r="H2080" s="7">
        <f>(F2080-G2080)/Speed_Calc!G$2*9.806</f>
        <v>-2278.7714652526229</v>
      </c>
      <c r="I2080" s="4">
        <f t="shared" si="133"/>
        <v>56.777777777776109</v>
      </c>
    </row>
    <row r="2081" spans="1:9" x14ac:dyDescent="0.2">
      <c r="A2081" s="11">
        <v>204.499999999994</v>
      </c>
      <c r="B2081" s="15">
        <v>3.133</v>
      </c>
      <c r="C2081" s="11">
        <f t="shared" si="130"/>
        <v>26501.142360983493</v>
      </c>
      <c r="D2081" s="11">
        <f t="shared" si="131"/>
        <v>-264501.27463943913</v>
      </c>
      <c r="E2081" s="11">
        <f t="shared" si="132"/>
        <v>-349219.28681002778</v>
      </c>
      <c r="F2081" s="11">
        <f>Speed_Calc!B$5*E2081</f>
        <v>-314297.35812902503</v>
      </c>
      <c r="G2081" s="15">
        <f>Speed_Calc!G$3+Speed_Calc!G$5*A2081^2</f>
        <v>187.69920249999015</v>
      </c>
      <c r="H2081" s="7">
        <f>(F2081-G2081)/Speed_Calc!G$2*9.806</f>
        <v>-2284.32627569847</v>
      </c>
      <c r="I2081" s="4">
        <f t="shared" si="133"/>
        <v>56.805555555553887</v>
      </c>
    </row>
    <row r="2082" spans="1:9" x14ac:dyDescent="0.2">
      <c r="A2082" s="11">
        <v>204.599999999994</v>
      </c>
      <c r="B2082" s="15">
        <v>3.133</v>
      </c>
      <c r="C2082" s="11">
        <f t="shared" si="130"/>
        <v>26514.101354803046</v>
      </c>
      <c r="D2082" s="11">
        <f t="shared" si="131"/>
        <v>-265275.53276525997</v>
      </c>
      <c r="E2082" s="11">
        <f t="shared" si="132"/>
        <v>-350070.35115651164</v>
      </c>
      <c r="F2082" s="11">
        <f>Speed_Calc!B$5*E2082</f>
        <v>-315063.31604086049</v>
      </c>
      <c r="G2082" s="15">
        <f>Speed_Calc!G$3+Speed_Calc!G$5*A2082^2</f>
        <v>187.86325159999015</v>
      </c>
      <c r="H2082" s="7">
        <f>(F2082-G2082)/Speed_Calc!G$2*9.806</f>
        <v>-2289.8911586236054</v>
      </c>
      <c r="I2082" s="4">
        <f t="shared" si="133"/>
        <v>56.833333333331666</v>
      </c>
    </row>
    <row r="2083" spans="1:9" x14ac:dyDescent="0.2">
      <c r="A2083" s="11">
        <v>204.69999999999399</v>
      </c>
      <c r="B2083" s="15">
        <v>3.133</v>
      </c>
      <c r="C2083" s="11">
        <f t="shared" si="130"/>
        <v>26527.060348622595</v>
      </c>
      <c r="D2083" s="11">
        <f t="shared" si="131"/>
        <v>-266051.59077311703</v>
      </c>
      <c r="E2083" s="11">
        <f t="shared" si="132"/>
        <v>-350922.95803001325</v>
      </c>
      <c r="F2083" s="11">
        <f>Speed_Calc!B$5*E2083</f>
        <v>-315830.66222701193</v>
      </c>
      <c r="G2083" s="15">
        <f>Speed_Calc!G$3+Speed_Calc!G$5*A2083^2</f>
        <v>188.02738089999011</v>
      </c>
      <c r="H2083" s="7">
        <f>(F2083-G2083)/Speed_Calc!G$2*9.806</f>
        <v>-2295.4661261445808</v>
      </c>
      <c r="I2083" s="4">
        <f t="shared" si="133"/>
        <v>56.861111111109437</v>
      </c>
    </row>
    <row r="2084" spans="1:9" x14ac:dyDescent="0.2">
      <c r="A2084" s="11">
        <v>204.79999999999399</v>
      </c>
      <c r="B2084" s="15">
        <v>3.133</v>
      </c>
      <c r="C2084" s="11">
        <f t="shared" si="130"/>
        <v>26540.019342442149</v>
      </c>
      <c r="D2084" s="11">
        <f t="shared" si="131"/>
        <v>-266829.45178363903</v>
      </c>
      <c r="E2084" s="11">
        <f t="shared" si="132"/>
        <v>-351777.10928508133</v>
      </c>
      <c r="F2084" s="11">
        <f>Speed_Calc!B$5*E2084</f>
        <v>-316599.39835657319</v>
      </c>
      <c r="G2084" s="15">
        <f>Speed_Calc!G$3+Speed_Calc!G$5*A2084^2</f>
        <v>188.1915903999901</v>
      </c>
      <c r="H2084" s="7">
        <f>(F2084-G2084)/Speed_Calc!G$2*9.806</f>
        <v>-2301.0511903851993</v>
      </c>
      <c r="I2084" s="4">
        <f t="shared" si="133"/>
        <v>56.888888888887216</v>
      </c>
    </row>
    <row r="2085" spans="1:9" x14ac:dyDescent="0.2">
      <c r="A2085" s="11">
        <v>204.89999999999401</v>
      </c>
      <c r="B2085" s="15">
        <v>3.133</v>
      </c>
      <c r="C2085" s="11">
        <f t="shared" si="130"/>
        <v>26552.978336261705</v>
      </c>
      <c r="D2085" s="11">
        <f t="shared" si="131"/>
        <v>-267609.11892104486</v>
      </c>
      <c r="E2085" s="11">
        <f t="shared" si="132"/>
        <v>-352632.80677737546</v>
      </c>
      <c r="F2085" s="11">
        <f>Speed_Calc!B$5*E2085</f>
        <v>-317369.52609963791</v>
      </c>
      <c r="G2085" s="15">
        <f>Speed_Calc!G$3+Speed_Calc!G$5*A2085^2</f>
        <v>188.35588009999015</v>
      </c>
      <c r="H2085" s="7">
        <f>(F2085-G2085)/Speed_Calc!G$2*9.806</f>
        <v>-2306.6463634765255</v>
      </c>
      <c r="I2085" s="4">
        <f t="shared" si="133"/>
        <v>56.916666666665002</v>
      </c>
    </row>
    <row r="2086" spans="1:9" x14ac:dyDescent="0.2">
      <c r="A2086" s="11">
        <v>204.999999999994</v>
      </c>
      <c r="B2086" s="15">
        <v>3.133</v>
      </c>
      <c r="C2086" s="11">
        <f t="shared" si="130"/>
        <v>26565.937330081255</v>
      </c>
      <c r="D2086" s="11">
        <f t="shared" si="131"/>
        <v>-268390.59531314397</v>
      </c>
      <c r="E2086" s="11">
        <f t="shared" si="132"/>
        <v>-353490.05236366345</v>
      </c>
      <c r="F2086" s="11">
        <f>Speed_Calc!B$5*E2086</f>
        <v>-318141.04712729709</v>
      </c>
      <c r="G2086" s="15">
        <f>Speed_Calc!G$3+Speed_Calc!G$5*A2086^2</f>
        <v>188.52024999999011</v>
      </c>
      <c r="H2086" s="7">
        <f>(F2086-G2086)/Speed_Calc!G$2*9.806</f>
        <v>-2312.2516575568702</v>
      </c>
      <c r="I2086" s="4">
        <f t="shared" si="133"/>
        <v>56.94444444444278</v>
      </c>
    </row>
    <row r="2087" spans="1:9" x14ac:dyDescent="0.2">
      <c r="A2087" s="11">
        <v>205.099999999994</v>
      </c>
      <c r="B2087" s="15">
        <v>3.133</v>
      </c>
      <c r="C2087" s="11">
        <f t="shared" si="130"/>
        <v>26578.896323900804</v>
      </c>
      <c r="D2087" s="11">
        <f t="shared" si="131"/>
        <v>-269173.88409134088</v>
      </c>
      <c r="E2087" s="11">
        <f t="shared" si="132"/>
        <v>-354348.84790182434</v>
      </c>
      <c r="F2087" s="11">
        <f>Speed_Calc!B$5*E2087</f>
        <v>-318913.96311164193</v>
      </c>
      <c r="G2087" s="15">
        <f>Speed_Calc!G$3+Speed_Calc!G$5*A2087^2</f>
        <v>188.6847000999901</v>
      </c>
      <c r="H2087" s="7">
        <f>(F2087-G2087)/Speed_Calc!G$2*9.806</f>
        <v>-2317.8670847718081</v>
      </c>
      <c r="I2087" s="4">
        <f t="shared" si="133"/>
        <v>56.972222222220552</v>
      </c>
    </row>
    <row r="2088" spans="1:9" x14ac:dyDescent="0.2">
      <c r="A2088" s="11">
        <v>205.19999999999399</v>
      </c>
      <c r="B2088" s="15">
        <v>3.133</v>
      </c>
      <c r="C2088" s="11">
        <f t="shared" si="130"/>
        <v>26591.855317720361</v>
      </c>
      <c r="D2088" s="11">
        <f t="shared" si="131"/>
        <v>-269958.98839063704</v>
      </c>
      <c r="E2088" s="11">
        <f t="shared" si="132"/>
        <v>-355209.1952508486</v>
      </c>
      <c r="F2088" s="11">
        <f>Speed_Calc!B$5*E2088</f>
        <v>-319688.27572576376</v>
      </c>
      <c r="G2088" s="15">
        <f>Speed_Calc!G$3+Speed_Calc!G$5*A2088^2</f>
        <v>188.84923039999009</v>
      </c>
      <c r="H2088" s="7">
        <f>(F2088-G2088)/Speed_Calc!G$2*9.806</f>
        <v>-2323.4926572741788</v>
      </c>
      <c r="I2088" s="4">
        <f t="shared" si="133"/>
        <v>56.99999999999833</v>
      </c>
    </row>
    <row r="2089" spans="1:9" x14ac:dyDescent="0.2">
      <c r="A2089" s="11">
        <v>205.29999999999399</v>
      </c>
      <c r="B2089" s="15">
        <v>3.133</v>
      </c>
      <c r="C2089" s="11">
        <f t="shared" si="130"/>
        <v>26604.814311539911</v>
      </c>
      <c r="D2089" s="11">
        <f t="shared" si="131"/>
        <v>-270745.91134962928</v>
      </c>
      <c r="E2089" s="11">
        <f t="shared" si="132"/>
        <v>-356071.09627083311</v>
      </c>
      <c r="F2089" s="11">
        <f>Speed_Calc!B$5*E2089</f>
        <v>-320463.98664374981</v>
      </c>
      <c r="G2089" s="15">
        <f>Speed_Calc!G$3+Speed_Calc!G$5*A2089^2</f>
        <v>189.01384089999007</v>
      </c>
      <c r="H2089" s="7">
        <f>(F2089-G2089)/Speed_Calc!G$2*9.806</f>
        <v>-2329.128387224056</v>
      </c>
      <c r="I2089" s="4">
        <f t="shared" si="133"/>
        <v>57.027777777776109</v>
      </c>
    </row>
    <row r="2090" spans="1:9" x14ac:dyDescent="0.2">
      <c r="A2090" s="11">
        <v>205.39999999999401</v>
      </c>
      <c r="B2090" s="15">
        <v>3.133</v>
      </c>
      <c r="C2090" s="11">
        <f t="shared" si="130"/>
        <v>26617.773305359464</v>
      </c>
      <c r="D2090" s="11">
        <f t="shared" si="131"/>
        <v>-271534.65611051751</v>
      </c>
      <c r="E2090" s="11">
        <f t="shared" si="132"/>
        <v>-356934.5528229886</v>
      </c>
      <c r="F2090" s="11">
        <f>Speed_Calc!B$5*E2090</f>
        <v>-321241.09754068975</v>
      </c>
      <c r="G2090" s="15">
        <f>Speed_Calc!G$3+Speed_Calc!G$5*A2090^2</f>
        <v>189.17853159999012</v>
      </c>
      <c r="H2090" s="7">
        <f>(F2090-G2090)/Speed_Calc!G$2*9.806</f>
        <v>-2334.7742867887946</v>
      </c>
      <c r="I2090" s="4">
        <f t="shared" si="133"/>
        <v>57.055555555553887</v>
      </c>
    </row>
    <row r="2091" spans="1:9" x14ac:dyDescent="0.2">
      <c r="A2091" s="11">
        <v>205.499999999994</v>
      </c>
      <c r="B2091" s="15">
        <v>3.133</v>
      </c>
      <c r="C2091" s="11">
        <f t="shared" si="130"/>
        <v>26630.732299179013</v>
      </c>
      <c r="D2091" s="11">
        <f t="shared" si="131"/>
        <v>-272325.22581910156</v>
      </c>
      <c r="E2091" s="11">
        <f t="shared" si="132"/>
        <v>-357799.56676963292</v>
      </c>
      <c r="F2091" s="11">
        <f>Speed_Calc!B$5*E2091</f>
        <v>-322019.61009266961</v>
      </c>
      <c r="G2091" s="15">
        <f>Speed_Calc!G$3+Speed_Calc!G$5*A2091^2</f>
        <v>189.3433024999901</v>
      </c>
      <c r="H2091" s="7">
        <f>(F2091-G2091)/Speed_Calc!G$2*9.806</f>
        <v>-2340.4303681429869</v>
      </c>
      <c r="I2091" s="4">
        <f t="shared" si="133"/>
        <v>57.083333333331666</v>
      </c>
    </row>
    <row r="2092" spans="1:9" x14ac:dyDescent="0.2">
      <c r="A2092" s="11">
        <v>205.599999999994</v>
      </c>
      <c r="B2092" s="15">
        <v>3.133</v>
      </c>
      <c r="C2092" s="11">
        <f t="shared" si="130"/>
        <v>26643.691292998566</v>
      </c>
      <c r="D2092" s="11">
        <f t="shared" si="131"/>
        <v>-273117.62362478703</v>
      </c>
      <c r="E2092" s="11">
        <f t="shared" si="132"/>
        <v>-358666.13997419574</v>
      </c>
      <c r="F2092" s="11">
        <f>Speed_Calc!B$5*E2092</f>
        <v>-322799.5259767762</v>
      </c>
      <c r="G2092" s="15">
        <f>Speed_Calc!G$3+Speed_Calc!G$5*A2092^2</f>
        <v>189.5081535999901</v>
      </c>
      <c r="H2092" s="7">
        <f>(F2092-G2092)/Speed_Calc!G$2*9.806</f>
        <v>-2346.0966434684951</v>
      </c>
      <c r="I2092" s="4">
        <f t="shared" si="133"/>
        <v>57.111111111109444</v>
      </c>
    </row>
    <row r="2093" spans="1:9" x14ac:dyDescent="0.2">
      <c r="A2093" s="11">
        <v>205.69999999999399</v>
      </c>
      <c r="B2093" s="15">
        <v>3.133</v>
      </c>
      <c r="C2093" s="11">
        <f t="shared" si="130"/>
        <v>26656.65028681812</v>
      </c>
      <c r="D2093" s="11">
        <f t="shared" si="131"/>
        <v>-273911.852680585</v>
      </c>
      <c r="E2093" s="11">
        <f t="shared" si="132"/>
        <v>-359534.27430121589</v>
      </c>
      <c r="F2093" s="11">
        <f>Speed_Calc!B$5*E2093</f>
        <v>-323580.84687109431</v>
      </c>
      <c r="G2093" s="15">
        <f>Speed_Calc!G$3+Speed_Calc!G$5*A2093^2</f>
        <v>189.6730848999901</v>
      </c>
      <c r="H2093" s="7">
        <f>(F2093-G2093)/Speed_Calc!G$2*9.806</f>
        <v>-2351.7731249544299</v>
      </c>
      <c r="I2093" s="4">
        <f t="shared" si="133"/>
        <v>57.138888888887216</v>
      </c>
    </row>
    <row r="2094" spans="1:9" x14ac:dyDescent="0.2">
      <c r="A2094" s="11">
        <v>205.79999999999399</v>
      </c>
      <c r="B2094" s="15">
        <v>3.133</v>
      </c>
      <c r="C2094" s="11">
        <f t="shared" si="130"/>
        <v>26669.609280637673</v>
      </c>
      <c r="D2094" s="11">
        <f t="shared" si="131"/>
        <v>-274707.91614311509</v>
      </c>
      <c r="E2094" s="11">
        <f t="shared" si="132"/>
        <v>-360403.9716163422</v>
      </c>
      <c r="F2094" s="11">
        <f>Speed_Calc!B$5*E2094</f>
        <v>-324363.57445470797</v>
      </c>
      <c r="G2094" s="15">
        <f>Speed_Calc!G$3+Speed_Calc!G$5*A2094^2</f>
        <v>189.83809639999006</v>
      </c>
      <c r="H2094" s="7">
        <f>(F2094-G2094)/Speed_Calc!G$2*9.806</f>
        <v>-2357.4598247971585</v>
      </c>
      <c r="I2094" s="4">
        <f t="shared" si="133"/>
        <v>57.166666666664995</v>
      </c>
    </row>
    <row r="2095" spans="1:9" x14ac:dyDescent="0.2">
      <c r="A2095" s="11">
        <v>205.89999999999401</v>
      </c>
      <c r="B2095" s="15">
        <v>3.133</v>
      </c>
      <c r="C2095" s="11">
        <f t="shared" si="130"/>
        <v>26682.568274457226</v>
      </c>
      <c r="D2095" s="11">
        <f t="shared" si="131"/>
        <v>-275505.81717260717</v>
      </c>
      <c r="E2095" s="11">
        <f t="shared" si="132"/>
        <v>-361275.23378633364</v>
      </c>
      <c r="F2095" s="11">
        <f>Speed_Calc!B$5*E2095</f>
        <v>-325147.71040770027</v>
      </c>
      <c r="G2095" s="15">
        <f>Speed_Calc!G$3+Speed_Calc!G$5*A2095^2</f>
        <v>190.0031880999901</v>
      </c>
      <c r="H2095" s="7">
        <f>(F2095-G2095)/Speed_Calc!G$2*9.806</f>
        <v>-2363.1567552003089</v>
      </c>
      <c r="I2095" s="4">
        <f t="shared" si="133"/>
        <v>57.19444444444278</v>
      </c>
    </row>
    <row r="2096" spans="1:9" x14ac:dyDescent="0.2">
      <c r="A2096" s="11">
        <v>205.999999999994</v>
      </c>
      <c r="B2096" s="15">
        <v>3.133</v>
      </c>
      <c r="C2096" s="11">
        <f t="shared" si="130"/>
        <v>26695.527268276779</v>
      </c>
      <c r="D2096" s="11">
        <f t="shared" si="131"/>
        <v>-276305.55893290421</v>
      </c>
      <c r="E2096" s="11">
        <f t="shared" si="132"/>
        <v>-362148.06267905969</v>
      </c>
      <c r="F2096" s="11">
        <f>Speed_Calc!B$5*E2096</f>
        <v>-325933.25641115371</v>
      </c>
      <c r="G2096" s="15">
        <f>Speed_Calc!G$3+Speed_Calc!G$5*A2096^2</f>
        <v>190.16835999999006</v>
      </c>
      <c r="H2096" s="7">
        <f>(F2096-G2096)/Speed_Calc!G$2*9.806</f>
        <v>-2368.8639283747652</v>
      </c>
      <c r="I2096" s="4">
        <f t="shared" si="133"/>
        <v>57.222222222220552</v>
      </c>
    </row>
    <row r="2097" spans="1:9" x14ac:dyDescent="0.2">
      <c r="A2097" s="11">
        <v>206.099999999994</v>
      </c>
      <c r="B2097" s="15">
        <v>3.133</v>
      </c>
      <c r="C2097" s="11">
        <f t="shared" si="130"/>
        <v>26708.486262096332</v>
      </c>
      <c r="D2097" s="11">
        <f t="shared" si="131"/>
        <v>-277107.14459146286</v>
      </c>
      <c r="E2097" s="11">
        <f t="shared" si="132"/>
        <v>-363022.460163499</v>
      </c>
      <c r="F2097" s="11">
        <f>Speed_Calc!B$5*E2097</f>
        <v>-326720.21414714912</v>
      </c>
      <c r="G2097" s="15">
        <f>Speed_Calc!G$3+Speed_Calc!G$5*A2097^2</f>
        <v>190.33361209999006</v>
      </c>
      <c r="H2097" s="7">
        <f>(F2097-G2097)/Speed_Calc!G$2*9.806</f>
        <v>-2374.5813565386638</v>
      </c>
      <c r="I2097" s="4">
        <f t="shared" si="133"/>
        <v>57.24999999999833</v>
      </c>
    </row>
    <row r="2098" spans="1:9" x14ac:dyDescent="0.2">
      <c r="A2098" s="11">
        <v>206.19999999999399</v>
      </c>
      <c r="B2098" s="15">
        <v>3.133</v>
      </c>
      <c r="C2098" s="11">
        <f t="shared" si="130"/>
        <v>26721.445255915882</v>
      </c>
      <c r="D2098" s="11">
        <f t="shared" si="131"/>
        <v>-277910.57731935655</v>
      </c>
      <c r="E2098" s="11">
        <f t="shared" si="132"/>
        <v>-363898.42810974026</v>
      </c>
      <c r="F2098" s="11">
        <f>Speed_Calc!B$5*E2098</f>
        <v>-327508.58529876627</v>
      </c>
      <c r="G2098" s="15">
        <f>Speed_Calc!G$3+Speed_Calc!G$5*A2098^2</f>
        <v>190.49894439999005</v>
      </c>
      <c r="H2098" s="7">
        <f>(F2098-G2098)/Speed_Calc!G$2*9.806</f>
        <v>-2380.3090519173988</v>
      </c>
      <c r="I2098" s="4">
        <f t="shared" si="133"/>
        <v>57.277777777776109</v>
      </c>
    </row>
    <row r="2099" spans="1:9" x14ac:dyDescent="0.2">
      <c r="A2099" s="11">
        <v>206.29999999999399</v>
      </c>
      <c r="B2099" s="15">
        <v>3.133</v>
      </c>
      <c r="C2099" s="11">
        <f t="shared" si="130"/>
        <v>26734.404249735435</v>
      </c>
      <c r="D2099" s="11">
        <f t="shared" si="131"/>
        <v>-278715.86029127822</v>
      </c>
      <c r="E2099" s="11">
        <f t="shared" si="132"/>
        <v>-364775.96838898357</v>
      </c>
      <c r="F2099" s="11">
        <f>Speed_Calc!B$5*E2099</f>
        <v>-328298.3715500852</v>
      </c>
      <c r="G2099" s="15">
        <f>Speed_Calc!G$3+Speed_Calc!G$5*A2099^2</f>
        <v>190.66435689999005</v>
      </c>
      <c r="H2099" s="7">
        <f>(F2099-G2099)/Speed_Calc!G$2*9.806</f>
        <v>-2386.0470267436272</v>
      </c>
      <c r="I2099" s="4">
        <f t="shared" si="133"/>
        <v>57.30555555555388</v>
      </c>
    </row>
    <row r="2100" spans="1:9" x14ac:dyDescent="0.2">
      <c r="A2100" s="11">
        <v>206.39999999999401</v>
      </c>
      <c r="B2100" s="15">
        <v>3.133</v>
      </c>
      <c r="C2100" s="11">
        <f t="shared" si="130"/>
        <v>26747.363243554984</v>
      </c>
      <c r="D2100" s="11">
        <f t="shared" si="131"/>
        <v>-279522.99668553995</v>
      </c>
      <c r="E2100" s="11">
        <f t="shared" si="132"/>
        <v>-365655.08287353668</v>
      </c>
      <c r="F2100" s="11">
        <f>Speed_Calc!B$5*E2100</f>
        <v>-329089.57458618301</v>
      </c>
      <c r="G2100" s="15">
        <f>Speed_Calc!G$3+Speed_Calc!G$5*A2100^2</f>
        <v>190.82984959999007</v>
      </c>
      <c r="H2100" s="7">
        <f>(F2100-G2100)/Speed_Calc!G$2*9.806</f>
        <v>-2391.7952932572498</v>
      </c>
      <c r="I2100" s="4">
        <f t="shared" si="133"/>
        <v>57.333333333331666</v>
      </c>
    </row>
    <row r="2101" spans="1:9" x14ac:dyDescent="0.2">
      <c r="A2101" s="11">
        <v>206.499999999994</v>
      </c>
      <c r="B2101" s="15">
        <v>3.133</v>
      </c>
      <c r="C2101" s="11">
        <f t="shared" si="130"/>
        <v>26760.322237374538</v>
      </c>
      <c r="D2101" s="11">
        <f t="shared" si="131"/>
        <v>-280331.9896840782</v>
      </c>
      <c r="E2101" s="11">
        <f t="shared" si="132"/>
        <v>-366535.7734368199</v>
      </c>
      <c r="F2101" s="11">
        <f>Speed_Calc!B$5*E2101</f>
        <v>-329882.1960931379</v>
      </c>
      <c r="G2101" s="15">
        <f>Speed_Calc!G$3+Speed_Calc!G$5*A2101^2</f>
        <v>190.99542249999007</v>
      </c>
      <c r="H2101" s="7">
        <f>(F2101-G2101)/Speed_Calc!G$2*9.806</f>
        <v>-2397.553863705441</v>
      </c>
      <c r="I2101" s="4">
        <f t="shared" si="133"/>
        <v>57.361111111109444</v>
      </c>
    </row>
    <row r="2102" spans="1:9" x14ac:dyDescent="0.2">
      <c r="A2102" s="11">
        <v>206.599999999994</v>
      </c>
      <c r="B2102" s="15">
        <v>3.133</v>
      </c>
      <c r="C2102" s="11">
        <f t="shared" si="130"/>
        <v>26773.281231194091</v>
      </c>
      <c r="D2102" s="11">
        <f t="shared" si="131"/>
        <v>-281142.84247245308</v>
      </c>
      <c r="E2102" s="11">
        <f t="shared" si="132"/>
        <v>-367418.04195336171</v>
      </c>
      <c r="F2102" s="11">
        <f>Speed_Calc!B$5*E2102</f>
        <v>-330676.23775802553</v>
      </c>
      <c r="G2102" s="15">
        <f>Speed_Calc!G$3+Speed_Calc!G$5*A2102^2</f>
        <v>191.16107559999003</v>
      </c>
      <c r="H2102" s="7">
        <f>(F2102-G2102)/Speed_Calc!G$2*9.806</f>
        <v>-2403.322750342616</v>
      </c>
      <c r="I2102" s="4">
        <f t="shared" si="133"/>
        <v>57.388888888887223</v>
      </c>
    </row>
    <row r="2103" spans="1:9" x14ac:dyDescent="0.2">
      <c r="A2103" s="11">
        <v>206.69999999999399</v>
      </c>
      <c r="B2103" s="15">
        <v>3.133</v>
      </c>
      <c r="C2103" s="11">
        <f t="shared" si="130"/>
        <v>26786.24022501364</v>
      </c>
      <c r="D2103" s="11">
        <f t="shared" si="131"/>
        <v>-281955.55823985173</v>
      </c>
      <c r="E2103" s="11">
        <f t="shared" si="132"/>
        <v>-368301.89029880113</v>
      </c>
      <c r="F2103" s="11">
        <f>Speed_Calc!B$5*E2103</f>
        <v>-331471.70126892102</v>
      </c>
      <c r="G2103" s="15">
        <f>Speed_Calc!G$3+Speed_Calc!G$5*A2103^2</f>
        <v>191.32680889999003</v>
      </c>
      <c r="H2103" s="7">
        <f>(F2103-G2103)/Speed_Calc!G$2*9.806</f>
        <v>-2409.1019654304541</v>
      </c>
      <c r="I2103" s="4">
        <f t="shared" si="133"/>
        <v>57.416666666664995</v>
      </c>
    </row>
    <row r="2104" spans="1:9" x14ac:dyDescent="0.2">
      <c r="A2104" s="11">
        <v>206.79999999999399</v>
      </c>
      <c r="B2104" s="15">
        <v>3.133</v>
      </c>
      <c r="C2104" s="11">
        <f t="shared" si="130"/>
        <v>26799.199218833193</v>
      </c>
      <c r="D2104" s="11">
        <f t="shared" si="131"/>
        <v>-282770.1401790909</v>
      </c>
      <c r="E2104" s="11">
        <f t="shared" si="132"/>
        <v>-369187.32034988754</v>
      </c>
      <c r="F2104" s="11">
        <f>Speed_Calc!B$5*E2104</f>
        <v>-332268.58831489878</v>
      </c>
      <c r="G2104" s="15">
        <f>Speed_Calc!G$3+Speed_Calc!G$5*A2104^2</f>
        <v>191.49262239999001</v>
      </c>
      <c r="H2104" s="7">
        <f>(F2104-G2104)/Speed_Calc!G$2*9.806</f>
        <v>-2414.8915212378897</v>
      </c>
      <c r="I2104" s="4">
        <f t="shared" si="133"/>
        <v>57.444444444442773</v>
      </c>
    </row>
    <row r="2105" spans="1:9" x14ac:dyDescent="0.2">
      <c r="A2105" s="11">
        <v>206.89999999999401</v>
      </c>
      <c r="B2105" s="15">
        <v>3.133</v>
      </c>
      <c r="C2105" s="11">
        <f t="shared" si="130"/>
        <v>26812.15821265275</v>
      </c>
      <c r="D2105" s="11">
        <f t="shared" si="131"/>
        <v>-283586.59148661763</v>
      </c>
      <c r="E2105" s="11">
        <f t="shared" si="132"/>
        <v>-370074.3339844803</v>
      </c>
      <c r="F2105" s="11">
        <f>Speed_Calc!B$5*E2105</f>
        <v>-333066.90058603225</v>
      </c>
      <c r="G2105" s="15">
        <f>Speed_Calc!G$3+Speed_Calc!G$5*A2105^2</f>
        <v>191.65851609999004</v>
      </c>
      <c r="H2105" s="7">
        <f>(F2105-G2105)/Speed_Calc!G$2*9.806</f>
        <v>-2420.6914300411172</v>
      </c>
      <c r="I2105" s="4">
        <f t="shared" si="133"/>
        <v>57.472222222220559</v>
      </c>
    </row>
    <row r="2106" spans="1:9" x14ac:dyDescent="0.2">
      <c r="A2106" s="11">
        <v>206.999999999994</v>
      </c>
      <c r="B2106" s="15">
        <v>3.133</v>
      </c>
      <c r="C2106" s="11">
        <f t="shared" si="130"/>
        <v>26825.1172064723</v>
      </c>
      <c r="D2106" s="11">
        <f t="shared" si="131"/>
        <v>-284404.91536251141</v>
      </c>
      <c r="E2106" s="11">
        <f t="shared" si="132"/>
        <v>-370962.9330815475</v>
      </c>
      <c r="F2106" s="11">
        <f>Speed_Calc!B$5*E2106</f>
        <v>-333866.63977339276</v>
      </c>
      <c r="G2106" s="15">
        <f>Speed_Calc!G$3+Speed_Calc!G$5*A2106^2</f>
        <v>191.82448999999005</v>
      </c>
      <c r="H2106" s="7">
        <f>(F2106-G2106)/Speed_Calc!G$2*9.806</f>
        <v>-2426.5017041235769</v>
      </c>
      <c r="I2106" s="4">
        <f t="shared" si="133"/>
        <v>57.49999999999833</v>
      </c>
    </row>
    <row r="2107" spans="1:9" x14ac:dyDescent="0.2">
      <c r="A2107" s="11">
        <v>207.099999999994</v>
      </c>
      <c r="B2107" s="15">
        <v>3.133</v>
      </c>
      <c r="C2107" s="11">
        <f t="shared" si="130"/>
        <v>26838.076200291849</v>
      </c>
      <c r="D2107" s="11">
        <f t="shared" si="131"/>
        <v>-285225.11501048825</v>
      </c>
      <c r="E2107" s="11">
        <f t="shared" si="132"/>
        <v>-371853.11952116882</v>
      </c>
      <c r="F2107" s="11">
        <f>Speed_Calc!B$5*E2107</f>
        <v>-334667.80756905192</v>
      </c>
      <c r="G2107" s="15">
        <f>Speed_Calc!G$3+Speed_Calc!G$5*A2107^2</f>
        <v>191.99054409999002</v>
      </c>
      <c r="H2107" s="7">
        <f>(F2107-G2107)/Speed_Calc!G$2*9.806</f>
        <v>-2432.3223557759757</v>
      </c>
      <c r="I2107" s="4">
        <f t="shared" si="133"/>
        <v>57.527777777776109</v>
      </c>
    </row>
    <row r="2108" spans="1:9" x14ac:dyDescent="0.2">
      <c r="A2108" s="11">
        <v>207.19999999999399</v>
      </c>
      <c r="B2108" s="15">
        <v>3.133</v>
      </c>
      <c r="C2108" s="11">
        <f t="shared" si="130"/>
        <v>26851.035194111406</v>
      </c>
      <c r="D2108" s="11">
        <f t="shared" si="131"/>
        <v>-286047.19363790069</v>
      </c>
      <c r="E2108" s="11">
        <f t="shared" si="132"/>
        <v>-372744.8951845339</v>
      </c>
      <c r="F2108" s="11">
        <f>Speed_Calc!B$5*E2108</f>
        <v>-335470.40566608054</v>
      </c>
      <c r="G2108" s="15">
        <f>Speed_Calc!G$3+Speed_Calc!G$5*A2108^2</f>
        <v>192.15667839999</v>
      </c>
      <c r="H2108" s="7">
        <f>(F2108-G2108)/Speed_Calc!G$2*9.806</f>
        <v>-2438.1533972962784</v>
      </c>
      <c r="I2108" s="4">
        <f t="shared" si="133"/>
        <v>57.555555555553887</v>
      </c>
    </row>
    <row r="2109" spans="1:9" x14ac:dyDescent="0.2">
      <c r="A2109" s="11">
        <v>207.29999999999399</v>
      </c>
      <c r="B2109" s="15">
        <v>3.133</v>
      </c>
      <c r="C2109" s="11">
        <f t="shared" si="130"/>
        <v>26863.994187930955</v>
      </c>
      <c r="D2109" s="11">
        <f t="shared" si="131"/>
        <v>-286871.15445573989</v>
      </c>
      <c r="E2109" s="11">
        <f t="shared" si="132"/>
        <v>-373638.2619539412</v>
      </c>
      <c r="F2109" s="11">
        <f>Speed_Calc!B$5*E2109</f>
        <v>-336274.4357585471</v>
      </c>
      <c r="G2109" s="15">
        <f>Speed_Calc!G$3+Speed_Calc!G$5*A2109^2</f>
        <v>192.32289289998999</v>
      </c>
      <c r="H2109" s="7">
        <f>(F2109-G2109)/Speed_Calc!G$2*9.806</f>
        <v>-2443.9948409896961</v>
      </c>
      <c r="I2109" s="4">
        <f t="shared" si="133"/>
        <v>57.583333333331659</v>
      </c>
    </row>
    <row r="2110" spans="1:9" x14ac:dyDescent="0.2">
      <c r="A2110" s="11">
        <v>207.39999999999401</v>
      </c>
      <c r="B2110" s="15">
        <v>3.133</v>
      </c>
      <c r="C2110" s="11">
        <f t="shared" si="130"/>
        <v>26876.953181750509</v>
      </c>
      <c r="D2110" s="11">
        <f t="shared" si="131"/>
        <v>-287697.00067863899</v>
      </c>
      <c r="E2110" s="11">
        <f t="shared" si="132"/>
        <v>-374533.22171280027</v>
      </c>
      <c r="F2110" s="11">
        <f>Speed_Calc!B$5*E2110</f>
        <v>-337079.89954152022</v>
      </c>
      <c r="G2110" s="15">
        <f>Speed_Calc!G$3+Speed_Calc!G$5*A2110^2</f>
        <v>192.48918759999</v>
      </c>
      <c r="H2110" s="7">
        <f>(F2110-G2110)/Speed_Calc!G$2*9.806</f>
        <v>-2449.8466991687055</v>
      </c>
      <c r="I2110" s="4">
        <f t="shared" si="133"/>
        <v>57.611111111109444</v>
      </c>
    </row>
    <row r="2111" spans="1:9" x14ac:dyDescent="0.2">
      <c r="A2111" s="11">
        <v>207.499999999994</v>
      </c>
      <c r="B2111" s="15">
        <v>3.133</v>
      </c>
      <c r="C2111" s="11">
        <f t="shared" si="130"/>
        <v>26889.912175570062</v>
      </c>
      <c r="D2111" s="11">
        <f t="shared" si="131"/>
        <v>-288524.73552487406</v>
      </c>
      <c r="E2111" s="11">
        <f t="shared" si="132"/>
        <v>-375429.77634563018</v>
      </c>
      <c r="F2111" s="11">
        <f>Speed_Calc!B$5*E2111</f>
        <v>-337886.79871106718</v>
      </c>
      <c r="G2111" s="15">
        <f>Speed_Calc!G$3+Speed_Calc!G$5*A2111^2</f>
        <v>192.65556249999</v>
      </c>
      <c r="H2111" s="7">
        <f>(F2111-G2111)/Speed_Calc!G$2*9.806</f>
        <v>-2455.7089841530369</v>
      </c>
      <c r="I2111" s="4">
        <f t="shared" si="133"/>
        <v>57.638888888887223</v>
      </c>
    </row>
    <row r="2112" spans="1:9" x14ac:dyDescent="0.2">
      <c r="A2112" s="11">
        <v>207.599999999994</v>
      </c>
      <c r="B2112" s="15">
        <v>3.133</v>
      </c>
      <c r="C2112" s="11">
        <f t="shared" si="130"/>
        <v>26902.871169389611</v>
      </c>
      <c r="D2112" s="11">
        <f t="shared" si="131"/>
        <v>-289354.36221636628</v>
      </c>
      <c r="E2112" s="11">
        <f t="shared" si="132"/>
        <v>-376327.92773805954</v>
      </c>
      <c r="F2112" s="11">
        <f>Speed_Calc!B$5*E2112</f>
        <v>-338695.13496425358</v>
      </c>
      <c r="G2112" s="15">
        <f>Speed_Calc!G$3+Speed_Calc!G$5*A2112^2</f>
        <v>192.82201759998998</v>
      </c>
      <c r="H2112" s="7">
        <f>(F2112-G2112)/Speed_Calc!G$2*9.806</f>
        <v>-2461.5817082696713</v>
      </c>
      <c r="I2112" s="4">
        <f t="shared" si="133"/>
        <v>57.666666666664995</v>
      </c>
    </row>
    <row r="2113" spans="1:9" x14ac:dyDescent="0.2">
      <c r="A2113" s="11">
        <v>207.69999999999399</v>
      </c>
      <c r="B2113" s="15">
        <v>3.133</v>
      </c>
      <c r="C2113" s="11">
        <f t="shared" si="130"/>
        <v>26915.830163209161</v>
      </c>
      <c r="D2113" s="11">
        <f t="shared" si="131"/>
        <v>-290185.88397868501</v>
      </c>
      <c r="E2113" s="11">
        <f t="shared" si="132"/>
        <v>-377227.67777682818</v>
      </c>
      <c r="F2113" s="11">
        <f>Speed_Calc!B$5*E2113</f>
        <v>-339504.90999914537</v>
      </c>
      <c r="G2113" s="15">
        <f>Speed_Calc!G$3+Speed_Calc!G$5*A2113^2</f>
        <v>192.98855289998997</v>
      </c>
      <c r="H2113" s="7">
        <f>(F2113-G2113)/Speed_Calc!G$2*9.806</f>
        <v>-2467.4648838528565</v>
      </c>
      <c r="I2113" s="4">
        <f t="shared" si="133"/>
        <v>57.694444444442773</v>
      </c>
    </row>
    <row r="2114" spans="1:9" x14ac:dyDescent="0.2">
      <c r="A2114" s="11">
        <v>207.79999999999399</v>
      </c>
      <c r="B2114" s="15">
        <v>3.133</v>
      </c>
      <c r="C2114" s="11">
        <f t="shared" si="130"/>
        <v>26928.78915702871</v>
      </c>
      <c r="D2114" s="11">
        <f t="shared" si="131"/>
        <v>-291019.30404104845</v>
      </c>
      <c r="E2114" s="11">
        <f t="shared" si="132"/>
        <v>-378129.02834978513</v>
      </c>
      <c r="F2114" s="11">
        <f>Speed_Calc!B$5*E2114</f>
        <v>-340316.12551480666</v>
      </c>
      <c r="G2114" s="15">
        <f>Speed_Calc!G$3+Speed_Calc!G$5*A2114^2</f>
        <v>193.15516839998998</v>
      </c>
      <c r="H2114" s="7">
        <f>(F2114-G2114)/Speed_Calc!G$2*9.806</f>
        <v>-2473.3585232440914</v>
      </c>
      <c r="I2114" s="4">
        <f t="shared" si="133"/>
        <v>57.722222222220552</v>
      </c>
    </row>
    <row r="2115" spans="1:9" x14ac:dyDescent="0.2">
      <c r="A2115" s="11">
        <v>207.89999999999401</v>
      </c>
      <c r="B2115" s="15">
        <v>3.133</v>
      </c>
      <c r="C2115" s="11">
        <f t="shared" si="130"/>
        <v>26941.748150848271</v>
      </c>
      <c r="D2115" s="11">
        <f t="shared" si="131"/>
        <v>-291854.62563632726</v>
      </c>
      <c r="E2115" s="11">
        <f t="shared" si="132"/>
        <v>-379031.9813458905</v>
      </c>
      <c r="F2115" s="11">
        <f>Speed_Calc!B$5*E2115</f>
        <v>-341128.78321130143</v>
      </c>
      <c r="G2115" s="15">
        <f>Speed_Calc!G$3+Speed_Calc!G$5*A2115^2</f>
        <v>193.32186409998999</v>
      </c>
      <c r="H2115" s="7">
        <f>(F2115-G2115)/Speed_Calc!G$2*9.806</f>
        <v>-2479.2626387921377</v>
      </c>
      <c r="I2115" s="4">
        <f t="shared" si="133"/>
        <v>57.749999999998337</v>
      </c>
    </row>
    <row r="2116" spans="1:9" x14ac:dyDescent="0.2">
      <c r="A2116" s="11">
        <v>207.999999999994</v>
      </c>
      <c r="B2116" s="15">
        <v>3.133</v>
      </c>
      <c r="C2116" s="11">
        <f t="shared" si="130"/>
        <v>26954.707144667816</v>
      </c>
      <c r="D2116" s="11">
        <f t="shared" si="131"/>
        <v>-292691.85200104321</v>
      </c>
      <c r="E2116" s="11">
        <f t="shared" si="132"/>
        <v>-379936.53865521145</v>
      </c>
      <c r="F2116" s="11">
        <f>Speed_Calc!B$5*E2116</f>
        <v>-341942.88478969032</v>
      </c>
      <c r="G2116" s="15">
        <f>Speed_Calc!G$3+Speed_Calc!G$5*A2116^2</f>
        <v>193.48863999998997</v>
      </c>
      <c r="H2116" s="7">
        <f>(F2116-G2116)/Speed_Calc!G$2*9.806</f>
        <v>-2485.1772428529948</v>
      </c>
      <c r="I2116" s="4">
        <f t="shared" si="133"/>
        <v>57.777777777776109</v>
      </c>
    </row>
    <row r="2117" spans="1:9" x14ac:dyDescent="0.2">
      <c r="A2117" s="11">
        <v>208.099999999994</v>
      </c>
      <c r="B2117" s="15">
        <v>3.133</v>
      </c>
      <c r="C2117" s="11">
        <f t="shared" si="130"/>
        <v>26967.66613848737</v>
      </c>
      <c r="D2117" s="11">
        <f t="shared" si="131"/>
        <v>-293530.98637537687</v>
      </c>
      <c r="E2117" s="11">
        <f t="shared" si="132"/>
        <v>-380842.70216892858</v>
      </c>
      <c r="F2117" s="11">
        <f>Speed_Calc!B$5*E2117</f>
        <v>-342758.43195203575</v>
      </c>
      <c r="G2117" s="15">
        <f>Speed_Calc!G$3+Speed_Calc!G$5*A2117^2</f>
        <v>193.65549609998999</v>
      </c>
      <c r="H2117" s="7">
        <f>(F2117-G2117)/Speed_Calc!G$2*9.806</f>
        <v>-2491.1023477899398</v>
      </c>
      <c r="I2117" s="4">
        <f t="shared" si="133"/>
        <v>57.805555555553887</v>
      </c>
    </row>
    <row r="2118" spans="1:9" x14ac:dyDescent="0.2">
      <c r="A2118" s="11">
        <v>208.19999999999399</v>
      </c>
      <c r="B2118" s="15">
        <v>3.133</v>
      </c>
      <c r="C2118" s="11">
        <f t="shared" si="130"/>
        <v>26980.625132306926</v>
      </c>
      <c r="D2118" s="11">
        <f t="shared" si="131"/>
        <v>-294372.0320031647</v>
      </c>
      <c r="E2118" s="11">
        <f t="shared" si="132"/>
        <v>-381750.47377933114</v>
      </c>
      <c r="F2118" s="11">
        <f>Speed_Calc!B$5*E2118</f>
        <v>-343575.42640139803</v>
      </c>
      <c r="G2118" s="15">
        <f>Speed_Calc!G$3+Speed_Calc!G$5*A2118^2</f>
        <v>193.82243239998994</v>
      </c>
      <c r="H2118" s="7">
        <f>(F2118-G2118)/Speed_Calc!G$2*9.806</f>
        <v>-2497.0379659734986</v>
      </c>
      <c r="I2118" s="4">
        <f t="shared" si="133"/>
        <v>57.833333333331666</v>
      </c>
    </row>
    <row r="2119" spans="1:9" x14ac:dyDescent="0.2">
      <c r="A2119" s="11">
        <v>208.29999999999399</v>
      </c>
      <c r="B2119" s="15">
        <v>3.133</v>
      </c>
      <c r="C2119" s="11">
        <f t="shared" si="130"/>
        <v>26993.584126126469</v>
      </c>
      <c r="D2119" s="11">
        <f t="shared" si="131"/>
        <v>-295214.99213190231</v>
      </c>
      <c r="E2119" s="11">
        <f t="shared" si="132"/>
        <v>-382659.85537981737</v>
      </c>
      <c r="F2119" s="11">
        <f>Speed_Calc!B$5*E2119</f>
        <v>-344393.86984183564</v>
      </c>
      <c r="G2119" s="15">
        <f>Speed_Calc!G$3+Speed_Calc!G$5*A2119^2</f>
        <v>193.98944889998995</v>
      </c>
      <c r="H2119" s="7">
        <f>(F2119-G2119)/Speed_Calc!G$2*9.806</f>
        <v>-2502.9841097814469</v>
      </c>
      <c r="I2119" s="4">
        <f t="shared" si="133"/>
        <v>57.861111111109437</v>
      </c>
    </row>
    <row r="2120" spans="1:9" x14ac:dyDescent="0.2">
      <c r="A2120" s="11">
        <v>208.39999999999401</v>
      </c>
      <c r="B2120" s="15">
        <v>3.133</v>
      </c>
      <c r="C2120" s="11">
        <f t="shared" si="130"/>
        <v>27006.543119946033</v>
      </c>
      <c r="D2120" s="11">
        <f t="shared" si="131"/>
        <v>-296059.87001275021</v>
      </c>
      <c r="E2120" s="11">
        <f t="shared" si="132"/>
        <v>-383570.84886489861</v>
      </c>
      <c r="F2120" s="11">
        <f>Speed_Calc!B$5*E2120</f>
        <v>-345213.76397840877</v>
      </c>
      <c r="G2120" s="15">
        <f>Speed_Calc!G$3+Speed_Calc!G$5*A2120^2</f>
        <v>194.15654559998998</v>
      </c>
      <c r="H2120" s="7">
        <f>(F2120-G2120)/Speed_Calc!G$2*9.806</f>
        <v>-2508.9407915988368</v>
      </c>
      <c r="I2120" s="4">
        <f t="shared" si="133"/>
        <v>57.888888888887223</v>
      </c>
    </row>
    <row r="2121" spans="1:9" x14ac:dyDescent="0.2">
      <c r="A2121" s="11">
        <v>208.499999999994</v>
      </c>
      <c r="B2121" s="15">
        <v>3.133</v>
      </c>
      <c r="C2121" s="11">
        <f t="shared" si="130"/>
        <v>27019.502113765586</v>
      </c>
      <c r="D2121" s="11">
        <f t="shared" si="131"/>
        <v>-296906.66890052852</v>
      </c>
      <c r="E2121" s="11">
        <f t="shared" si="132"/>
        <v>-384483.45613019186</v>
      </c>
      <c r="F2121" s="11">
        <f>Speed_Calc!B$5*E2121</f>
        <v>-346035.11051717267</v>
      </c>
      <c r="G2121" s="15">
        <f>Speed_Calc!G$3+Speed_Calc!G$5*A2121^2</f>
        <v>194.32372249998994</v>
      </c>
      <c r="H2121" s="7">
        <f>(F2121-G2121)/Speed_Calc!G$2*9.806</f>
        <v>-2514.9080238179481</v>
      </c>
      <c r="I2121" s="4">
        <f t="shared" si="133"/>
        <v>57.916666666665002</v>
      </c>
    </row>
    <row r="2122" spans="1:9" x14ac:dyDescent="0.2">
      <c r="A2122" s="11">
        <v>208.599999999994</v>
      </c>
      <c r="B2122" s="15">
        <v>3.133</v>
      </c>
      <c r="C2122" s="11">
        <f t="shared" si="130"/>
        <v>27032.461107585132</v>
      </c>
      <c r="D2122" s="11">
        <f t="shared" si="131"/>
        <v>-297755.39205372537</v>
      </c>
      <c r="E2122" s="11">
        <f t="shared" si="132"/>
        <v>-385397.67907242652</v>
      </c>
      <c r="F2122" s="11">
        <f>Speed_Calc!B$5*E2122</f>
        <v>-346857.91116518388</v>
      </c>
      <c r="G2122" s="15">
        <f>Speed_Calc!G$3+Speed_Calc!G$5*A2122^2</f>
        <v>194.49097959998994</v>
      </c>
      <c r="H2122" s="7">
        <f>(F2122-G2122)/Speed_Calc!G$2*9.806</f>
        <v>-2520.8858188383338</v>
      </c>
      <c r="I2122" s="4">
        <f t="shared" si="133"/>
        <v>57.944444444442773</v>
      </c>
    </row>
    <row r="2123" spans="1:9" x14ac:dyDescent="0.2">
      <c r="A2123" s="11">
        <v>208.69999999999399</v>
      </c>
      <c r="B2123" s="15">
        <v>3.133</v>
      </c>
      <c r="C2123" s="11">
        <f t="shared" si="130"/>
        <v>27045.420101404681</v>
      </c>
      <c r="D2123" s="11">
        <f t="shared" si="131"/>
        <v>-298606.04273449793</v>
      </c>
      <c r="E2123" s="11">
        <f t="shared" si="132"/>
        <v>-386313.51958944311</v>
      </c>
      <c r="F2123" s="11">
        <f>Speed_Calc!B$5*E2123</f>
        <v>-347682.16763049882</v>
      </c>
      <c r="G2123" s="15">
        <f>Speed_Calc!G$3+Speed_Calc!G$5*A2123^2</f>
        <v>194.65831689998993</v>
      </c>
      <c r="H2123" s="7">
        <f>(F2123-G2123)/Speed_Calc!G$2*9.806</f>
        <v>-2526.8741890668089</v>
      </c>
      <c r="I2123" s="4">
        <f t="shared" si="133"/>
        <v>57.972222222220552</v>
      </c>
    </row>
    <row r="2124" spans="1:9" x14ac:dyDescent="0.2">
      <c r="A2124" s="11">
        <v>208.79999999999399</v>
      </c>
      <c r="B2124" s="15">
        <v>3.133</v>
      </c>
      <c r="C2124" s="11">
        <f t="shared" si="130"/>
        <v>27058.379095224238</v>
      </c>
      <c r="D2124" s="11">
        <f t="shared" si="131"/>
        <v>-299458.62420867215</v>
      </c>
      <c r="E2124" s="11">
        <f t="shared" si="132"/>
        <v>-387230.97958019073</v>
      </c>
      <c r="F2124" s="11">
        <f>Speed_Calc!B$5*E2124</f>
        <v>-348507.88162217167</v>
      </c>
      <c r="G2124" s="15">
        <f>Speed_Calc!G$3+Speed_Calc!G$5*A2124^2</f>
        <v>194.82573439998993</v>
      </c>
      <c r="H2124" s="7">
        <f>(F2124-G2124)/Speed_Calc!G$2*9.806</f>
        <v>-2532.8731469174386</v>
      </c>
      <c r="I2124" s="4">
        <f t="shared" si="133"/>
        <v>57.99999999999833</v>
      </c>
    </row>
    <row r="2125" spans="1:9" x14ac:dyDescent="0.2">
      <c r="A2125" s="11">
        <v>208.89999999999401</v>
      </c>
      <c r="B2125" s="15">
        <v>3.133</v>
      </c>
      <c r="C2125" s="11">
        <f t="shared" si="130"/>
        <v>27071.338089043787</v>
      </c>
      <c r="D2125" s="11">
        <f t="shared" si="131"/>
        <v>-300313.1397457454</v>
      </c>
      <c r="E2125" s="11">
        <f t="shared" si="132"/>
        <v>-388150.06094472768</v>
      </c>
      <c r="F2125" s="11">
        <f>Speed_Calc!B$5*E2125</f>
        <v>-349335.05485025491</v>
      </c>
      <c r="G2125" s="15">
        <f>Speed_Calc!G$3+Speed_Calc!G$5*A2125^2</f>
        <v>194.99323209998994</v>
      </c>
      <c r="H2125" s="7">
        <f>(F2125-G2125)/Speed_Calc!G$2*9.806</f>
        <v>-2538.8827048115349</v>
      </c>
      <c r="I2125" s="4">
        <f t="shared" si="133"/>
        <v>58.027777777776109</v>
      </c>
    </row>
    <row r="2126" spans="1:9" x14ac:dyDescent="0.2">
      <c r="A2126" s="11">
        <v>208.999999999994</v>
      </c>
      <c r="B2126" s="15">
        <v>3.133</v>
      </c>
      <c r="C2126" s="11">
        <f t="shared" si="130"/>
        <v>27084.297082863344</v>
      </c>
      <c r="D2126" s="11">
        <f t="shared" si="131"/>
        <v>-301169.59261889098</v>
      </c>
      <c r="E2126" s="11">
        <f t="shared" si="132"/>
        <v>-389070.76558422437</v>
      </c>
      <c r="F2126" s="11">
        <f>Speed_Calc!B$5*E2126</f>
        <v>-350163.68902580196</v>
      </c>
      <c r="G2126" s="15">
        <f>Speed_Calc!G$3+Speed_Calc!G$5*A2126^2</f>
        <v>195.16080999998991</v>
      </c>
      <c r="H2126" s="7">
        <f>(F2126-G2126)/Speed_Calc!G$2*9.806</f>
        <v>-2544.9028751776841</v>
      </c>
      <c r="I2126" s="4">
        <f t="shared" si="133"/>
        <v>58.055555555553887</v>
      </c>
    </row>
    <row r="2127" spans="1:9" x14ac:dyDescent="0.2">
      <c r="A2127" s="11">
        <v>209.099999999994</v>
      </c>
      <c r="B2127" s="15">
        <v>3.133</v>
      </c>
      <c r="C2127" s="11">
        <f t="shared" ref="C2127:C2190" si="134">A2127/3.6/B$23/2/PI()*B$32*B$31*B2127*60</f>
        <v>27097.256076682897</v>
      </c>
      <c r="D2127" s="11">
        <f t="shared" ref="D2127:D2190" si="135">-4.687*10^(-17)*C2127^5+9.129*10^(-13)*C2127^4-6.175*10^(-9)*C2127^3+1.799*10^(-5)*C2127^2+6.502*10^(-3)*C2127</f>
        <v>-302027.98610495648</v>
      </c>
      <c r="E2127" s="11">
        <f t="shared" ref="E2127:E2190" si="136">D2127*75*B2127*B$31*B$32/B$23/C2127/2/PI()*60</f>
        <v>-389993.09540095925</v>
      </c>
      <c r="F2127" s="11">
        <f>Speed_Calc!B$5*E2127</f>
        <v>-350993.78586086334</v>
      </c>
      <c r="G2127" s="15">
        <f>Speed_Calc!G$3+Speed_Calc!G$5*A2127^2</f>
        <v>195.32846809998992</v>
      </c>
      <c r="H2127" s="7">
        <f>(F2127-G2127)/Speed_Calc!G$2*9.806</f>
        <v>-2550.9336704517141</v>
      </c>
      <c r="I2127" s="4">
        <f t="shared" ref="I2127:I2190" si="137">A2127/3.6</f>
        <v>58.083333333331666</v>
      </c>
    </row>
    <row r="2128" spans="1:9" x14ac:dyDescent="0.2">
      <c r="A2128" s="11">
        <v>209.19999999999399</v>
      </c>
      <c r="B2128" s="15">
        <v>3.133</v>
      </c>
      <c r="C2128" s="11">
        <f t="shared" si="134"/>
        <v>27110.215070502447</v>
      </c>
      <c r="D2128" s="11">
        <f t="shared" si="135"/>
        <v>-302888.32348446862</v>
      </c>
      <c r="E2128" s="11">
        <f t="shared" si="136"/>
        <v>-390917.05229832162</v>
      </c>
      <c r="F2128" s="11">
        <f>Speed_Calc!B$5*E2128</f>
        <v>-351825.34706848947</v>
      </c>
      <c r="G2128" s="15">
        <f>Speed_Calc!G$3+Speed_Calc!G$5*A2128^2</f>
        <v>195.49620639998992</v>
      </c>
      <c r="H2128" s="7">
        <f>(F2128-G2128)/Speed_Calc!G$2*9.806</f>
        <v>-2556.9751030767152</v>
      </c>
      <c r="I2128" s="4">
        <f t="shared" si="137"/>
        <v>58.111111111109437</v>
      </c>
    </row>
    <row r="2129" spans="1:9" x14ac:dyDescent="0.2">
      <c r="A2129" s="11">
        <v>209.29999999999399</v>
      </c>
      <c r="B2129" s="15">
        <v>3.133</v>
      </c>
      <c r="C2129" s="11">
        <f t="shared" si="134"/>
        <v>27123.174064321996</v>
      </c>
      <c r="D2129" s="11">
        <f t="shared" si="135"/>
        <v>-303750.60804163507</v>
      </c>
      <c r="E2129" s="11">
        <f t="shared" si="136"/>
        <v>-391842.63818081148</v>
      </c>
      <c r="F2129" s="11">
        <f>Speed_Calc!B$5*E2129</f>
        <v>-352658.37436273036</v>
      </c>
      <c r="G2129" s="15">
        <f>Speed_Calc!G$3+Speed_Calc!G$5*A2129^2</f>
        <v>195.66402489998987</v>
      </c>
      <c r="H2129" s="7">
        <f>(F2129-G2129)/Speed_Calc!G$2*9.806</f>
        <v>-2563.0271855030396</v>
      </c>
      <c r="I2129" s="4">
        <f t="shared" si="137"/>
        <v>58.138888888887216</v>
      </c>
    </row>
    <row r="2130" spans="1:9" x14ac:dyDescent="0.2">
      <c r="A2130" s="11">
        <v>209.39999999999401</v>
      </c>
      <c r="B2130" s="15">
        <v>3.133</v>
      </c>
      <c r="C2130" s="11">
        <f t="shared" si="134"/>
        <v>27136.133058141553</v>
      </c>
      <c r="D2130" s="11">
        <f t="shared" si="135"/>
        <v>-304614.84306434513</v>
      </c>
      <c r="E2130" s="11">
        <f t="shared" si="136"/>
        <v>-392769.85495403793</v>
      </c>
      <c r="F2130" s="11">
        <f>Speed_Calc!B$5*E2130</f>
        <v>-353492.86945863417</v>
      </c>
      <c r="G2130" s="15">
        <f>Speed_Calc!G$3+Speed_Calc!G$5*A2130^2</f>
        <v>195.83192359998992</v>
      </c>
      <c r="H2130" s="7">
        <f>(F2130-G2130)/Speed_Calc!G$2*9.806</f>
        <v>-2569.0899301882873</v>
      </c>
      <c r="I2130" s="4">
        <f t="shared" si="137"/>
        <v>58.166666666665002</v>
      </c>
    </row>
    <row r="2131" spans="1:9" x14ac:dyDescent="0.2">
      <c r="A2131" s="11">
        <v>209.499999999994</v>
      </c>
      <c r="B2131" s="15">
        <v>3.133</v>
      </c>
      <c r="C2131" s="11">
        <f t="shared" si="134"/>
        <v>27149.092051961106</v>
      </c>
      <c r="D2131" s="11">
        <f t="shared" si="135"/>
        <v>-305481.03184417222</v>
      </c>
      <c r="E2131" s="11">
        <f t="shared" si="136"/>
        <v>-393698.70452472009</v>
      </c>
      <c r="F2131" s="11">
        <f>Speed_Calc!B$5*E2131</f>
        <v>-354328.83407224808</v>
      </c>
      <c r="G2131" s="15">
        <f>Speed_Calc!G$3+Speed_Calc!G$5*A2131^2</f>
        <v>195.99990249998993</v>
      </c>
      <c r="H2131" s="7">
        <f>(F2131-G2131)/Speed_Calc!G$2*9.806</f>
        <v>-2575.1633495973183</v>
      </c>
      <c r="I2131" s="4">
        <f t="shared" si="137"/>
        <v>58.19444444444278</v>
      </c>
    </row>
    <row r="2132" spans="1:9" x14ac:dyDescent="0.2">
      <c r="A2132" s="11">
        <v>209.599999999994</v>
      </c>
      <c r="B2132" s="15">
        <v>3.133</v>
      </c>
      <c r="C2132" s="11">
        <f t="shared" si="134"/>
        <v>27162.051045780652</v>
      </c>
      <c r="D2132" s="11">
        <f t="shared" si="135"/>
        <v>-306349.17767637613</v>
      </c>
      <c r="E2132" s="11">
        <f t="shared" si="136"/>
        <v>-394629.18880068662</v>
      </c>
      <c r="F2132" s="11">
        <f>Speed_Calc!B$5*E2132</f>
        <v>-355166.26992061798</v>
      </c>
      <c r="G2132" s="15">
        <f>Speed_Calc!G$3+Speed_Calc!G$5*A2132^2</f>
        <v>196.16796159998989</v>
      </c>
      <c r="H2132" s="7">
        <f>(F2132-G2132)/Speed_Calc!G$2*9.806</f>
        <v>-2581.2474562022435</v>
      </c>
      <c r="I2132" s="4">
        <f t="shared" si="137"/>
        <v>58.222222222220552</v>
      </c>
    </row>
    <row r="2133" spans="1:9" x14ac:dyDescent="0.2">
      <c r="A2133" s="11">
        <v>209.69999999999399</v>
      </c>
      <c r="B2133" s="15">
        <v>3.133</v>
      </c>
      <c r="C2133" s="11">
        <f t="shared" si="134"/>
        <v>27175.010039600213</v>
      </c>
      <c r="D2133" s="11">
        <f t="shared" si="135"/>
        <v>-307219.28385990724</v>
      </c>
      <c r="E2133" s="11">
        <f t="shared" si="136"/>
        <v>-395561.30969087908</v>
      </c>
      <c r="F2133" s="11">
        <f>Speed_Calc!B$5*E2133</f>
        <v>-356005.17872179119</v>
      </c>
      <c r="G2133" s="15">
        <f>Speed_Calc!G$3+Speed_Calc!G$5*A2133^2</f>
        <v>196.33610089998987</v>
      </c>
      <c r="H2133" s="7">
        <f>(F2133-G2133)/Speed_Calc!G$2*9.806</f>
        <v>-2587.3422624824511</v>
      </c>
      <c r="I2133" s="4">
        <f t="shared" si="137"/>
        <v>58.24999999999833</v>
      </c>
    </row>
    <row r="2134" spans="1:9" x14ac:dyDescent="0.2">
      <c r="A2134" s="11">
        <v>209.79999999999399</v>
      </c>
      <c r="B2134" s="15">
        <v>3.133</v>
      </c>
      <c r="C2134" s="11">
        <f t="shared" si="134"/>
        <v>27187.969033419762</v>
      </c>
      <c r="D2134" s="11">
        <f t="shared" si="135"/>
        <v>-308091.35369740304</v>
      </c>
      <c r="E2134" s="11">
        <f t="shared" si="136"/>
        <v>-396495.06910534407</v>
      </c>
      <c r="F2134" s="11">
        <f>Speed_Calc!B$5*E2134</f>
        <v>-356845.56219480967</v>
      </c>
      <c r="G2134" s="15">
        <f>Speed_Calc!G$3+Speed_Calc!G$5*A2134^2</f>
        <v>196.50432039998987</v>
      </c>
      <c r="H2134" s="7">
        <f>(F2134-G2134)/Speed_Calc!G$2*9.806</f>
        <v>-2593.4477809245523</v>
      </c>
      <c r="I2134" s="4">
        <f t="shared" si="137"/>
        <v>58.277777777776109</v>
      </c>
    </row>
    <row r="2135" spans="1:9" x14ac:dyDescent="0.2">
      <c r="A2135" s="11">
        <v>209.89999999999401</v>
      </c>
      <c r="B2135" s="15">
        <v>3.133</v>
      </c>
      <c r="C2135" s="11">
        <f t="shared" si="134"/>
        <v>27200.928027239315</v>
      </c>
      <c r="D2135" s="11">
        <f t="shared" si="135"/>
        <v>-308965.39049519668</v>
      </c>
      <c r="E2135" s="11">
        <f t="shared" si="136"/>
        <v>-397430.46895524295</v>
      </c>
      <c r="F2135" s="11">
        <f>Speed_Calc!B$5*E2135</f>
        <v>-357687.42205971864</v>
      </c>
      <c r="G2135" s="15">
        <f>Speed_Calc!G$3+Speed_Calc!G$5*A2135^2</f>
        <v>196.6726200999899</v>
      </c>
      <c r="H2135" s="7">
        <f>(F2135-G2135)/Speed_Calc!G$2*9.806</f>
        <v>-2599.5640240224452</v>
      </c>
      <c r="I2135" s="4">
        <f t="shared" si="137"/>
        <v>58.305555555553887</v>
      </c>
    </row>
    <row r="2136" spans="1:9" x14ac:dyDescent="0.2">
      <c r="A2136" s="11">
        <v>209.999999999994</v>
      </c>
      <c r="B2136" s="15">
        <v>3.133</v>
      </c>
      <c r="C2136" s="11">
        <f t="shared" si="134"/>
        <v>27213.887021058868</v>
      </c>
      <c r="D2136" s="11">
        <f t="shared" si="135"/>
        <v>-309841.39756331436</v>
      </c>
      <c r="E2136" s="11">
        <f t="shared" si="136"/>
        <v>-398367.51115284406</v>
      </c>
      <c r="F2136" s="11">
        <f>Speed_Calc!B$5*E2136</f>
        <v>-358530.76003755967</v>
      </c>
      <c r="G2136" s="15">
        <f>Speed_Calc!G$3+Speed_Calc!G$5*A2136^2</f>
        <v>196.84099999998989</v>
      </c>
      <c r="H2136" s="7">
        <f>(F2136-G2136)/Speed_Calc!G$2*9.806</f>
        <v>-2605.6910042772665</v>
      </c>
      <c r="I2136" s="4">
        <f t="shared" si="137"/>
        <v>58.333333333331666</v>
      </c>
    </row>
    <row r="2137" spans="1:9" x14ac:dyDescent="0.2">
      <c r="A2137" s="11">
        <v>210.099999999994</v>
      </c>
      <c r="B2137" s="15">
        <v>3.133</v>
      </c>
      <c r="C2137" s="11">
        <f t="shared" si="134"/>
        <v>27226.846014878418</v>
      </c>
      <c r="D2137" s="11">
        <f t="shared" si="135"/>
        <v>-310719.37821547949</v>
      </c>
      <c r="E2137" s="11">
        <f t="shared" si="136"/>
        <v>-399306.19761152723</v>
      </c>
      <c r="F2137" s="11">
        <f>Speed_Calc!B$5*E2137</f>
        <v>-359375.57785037451</v>
      </c>
      <c r="G2137" s="15">
        <f>Speed_Calc!G$3+Speed_Calc!G$5*A2137^2</f>
        <v>197.00946009998987</v>
      </c>
      <c r="H2137" s="7">
        <f>(F2137-G2137)/Speed_Calc!G$2*9.806</f>
        <v>-2611.8287341974165</v>
      </c>
      <c r="I2137" s="4">
        <f t="shared" si="137"/>
        <v>58.361111111109444</v>
      </c>
    </row>
    <row r="2138" spans="1:9" x14ac:dyDescent="0.2">
      <c r="A2138" s="11">
        <v>210.19999999999399</v>
      </c>
      <c r="B2138" s="15">
        <v>3.133</v>
      </c>
      <c r="C2138" s="11">
        <f t="shared" si="134"/>
        <v>27239.805008697964</v>
      </c>
      <c r="D2138" s="11">
        <f t="shared" si="135"/>
        <v>-311599.33576911397</v>
      </c>
      <c r="E2138" s="11">
        <f t="shared" si="136"/>
        <v>-400246.53024578112</v>
      </c>
      <c r="F2138" s="11">
        <f>Speed_Calc!B$5*E2138</f>
        <v>-360221.877221203</v>
      </c>
      <c r="G2138" s="15">
        <f>Speed_Calc!G$3+Speed_Calc!G$5*A2138^2</f>
        <v>197.17800039998986</v>
      </c>
      <c r="H2138" s="7">
        <f>(F2138-G2138)/Speed_Calc!G$2*9.806</f>
        <v>-2617.9772262985471</v>
      </c>
      <c r="I2138" s="4">
        <f t="shared" si="137"/>
        <v>58.388888888887216</v>
      </c>
    </row>
    <row r="2139" spans="1:9" x14ac:dyDescent="0.2">
      <c r="A2139" s="11">
        <v>210.29999999999399</v>
      </c>
      <c r="B2139" s="15">
        <v>3.133</v>
      </c>
      <c r="C2139" s="11">
        <f t="shared" si="134"/>
        <v>27252.764002517521</v>
      </c>
      <c r="D2139" s="11">
        <f t="shared" si="135"/>
        <v>-312481.27354534197</v>
      </c>
      <c r="E2139" s="11">
        <f t="shared" si="136"/>
        <v>-401188.51097120659</v>
      </c>
      <c r="F2139" s="11">
        <f>Speed_Calc!B$5*E2139</f>
        <v>-361069.65987408592</v>
      </c>
      <c r="G2139" s="15">
        <f>Speed_Calc!G$3+Speed_Calc!G$5*A2139^2</f>
        <v>197.34662089998986</v>
      </c>
      <c r="H2139" s="7">
        <f>(F2139-G2139)/Speed_Calc!G$2*9.806</f>
        <v>-2624.1364931035787</v>
      </c>
      <c r="I2139" s="4">
        <f t="shared" si="137"/>
        <v>58.416666666664995</v>
      </c>
    </row>
    <row r="2140" spans="1:9" x14ac:dyDescent="0.2">
      <c r="A2140" s="11">
        <v>210.39999999999401</v>
      </c>
      <c r="B2140" s="15">
        <v>3.133</v>
      </c>
      <c r="C2140" s="11">
        <f t="shared" si="134"/>
        <v>27265.72299633707</v>
      </c>
      <c r="D2140" s="11">
        <f t="shared" si="135"/>
        <v>-313365.19486898842</v>
      </c>
      <c r="E2140" s="11">
        <f t="shared" si="136"/>
        <v>-402132.14170451195</v>
      </c>
      <c r="F2140" s="11">
        <f>Speed_Calc!B$5*E2140</f>
        <v>-361918.92753406079</v>
      </c>
      <c r="G2140" s="15">
        <f>Speed_Calc!G$3+Speed_Calc!G$5*A2140^2</f>
        <v>197.51532159998987</v>
      </c>
      <c r="H2140" s="7">
        <f>(F2140-G2140)/Speed_Calc!G$2*9.806</f>
        <v>-2630.3065471426739</v>
      </c>
      <c r="I2140" s="4">
        <f t="shared" si="137"/>
        <v>58.44444444444278</v>
      </c>
    </row>
    <row r="2141" spans="1:9" x14ac:dyDescent="0.2">
      <c r="A2141" s="11">
        <v>210.499999999994</v>
      </c>
      <c r="B2141" s="15">
        <v>3.133</v>
      </c>
      <c r="C2141" s="11">
        <f t="shared" si="134"/>
        <v>27278.681990156623</v>
      </c>
      <c r="D2141" s="11">
        <f t="shared" si="135"/>
        <v>-314251.10306858469</v>
      </c>
      <c r="E2141" s="11">
        <f t="shared" si="136"/>
        <v>-403077.42436351679</v>
      </c>
      <c r="F2141" s="11">
        <f>Speed_Calc!B$5*E2141</f>
        <v>-362769.68192716513</v>
      </c>
      <c r="G2141" s="15">
        <f>Speed_Calc!G$3+Speed_Calc!G$5*A2141^2</f>
        <v>197.68410249998985</v>
      </c>
      <c r="H2141" s="7">
        <f>(F2141-G2141)/Speed_Calc!G$2*9.806</f>
        <v>-2636.4874009532559</v>
      </c>
      <c r="I2141" s="4">
        <f t="shared" si="137"/>
        <v>58.472222222220552</v>
      </c>
    </row>
    <row r="2142" spans="1:9" x14ac:dyDescent="0.2">
      <c r="A2142" s="11">
        <v>210.599999999994</v>
      </c>
      <c r="B2142" s="15">
        <v>3.133</v>
      </c>
      <c r="C2142" s="11">
        <f t="shared" si="134"/>
        <v>27291.64098397618</v>
      </c>
      <c r="D2142" s="11">
        <f t="shared" si="135"/>
        <v>-315139.00147636904</v>
      </c>
      <c r="E2142" s="11">
        <f t="shared" si="136"/>
        <v>-404024.36086715129</v>
      </c>
      <c r="F2142" s="11">
        <f>Speed_Calc!B$5*E2142</f>
        <v>-363621.92478043615</v>
      </c>
      <c r="G2142" s="15">
        <f>Speed_Calc!G$3+Speed_Calc!G$5*A2142^2</f>
        <v>197.85296359998983</v>
      </c>
      <c r="H2142" s="7">
        <f>(F2142-G2142)/Speed_Calc!G$2*9.806</f>
        <v>-2642.6790670800137</v>
      </c>
      <c r="I2142" s="4">
        <f t="shared" si="137"/>
        <v>58.49999999999833</v>
      </c>
    </row>
    <row r="2143" spans="1:9" x14ac:dyDescent="0.2">
      <c r="A2143" s="11">
        <v>210.69999999999399</v>
      </c>
      <c r="B2143" s="15">
        <v>3.133</v>
      </c>
      <c r="C2143" s="11">
        <f t="shared" si="134"/>
        <v>27304.599977795733</v>
      </c>
      <c r="D2143" s="11">
        <f t="shared" si="135"/>
        <v>-316028.89342828764</v>
      </c>
      <c r="E2143" s="11">
        <f t="shared" si="136"/>
        <v>-404972.95313545363</v>
      </c>
      <c r="F2143" s="11">
        <f>Speed_Calc!B$5*E2143</f>
        <v>-364475.6578219083</v>
      </c>
      <c r="G2143" s="15">
        <f>Speed_Calc!G$3+Speed_Calc!G$5*A2143^2</f>
        <v>198.02190489998983</v>
      </c>
      <c r="H2143" s="7">
        <f>(F2143-G2143)/Speed_Calc!G$2*9.806</f>
        <v>-2648.8815580748751</v>
      </c>
      <c r="I2143" s="4">
        <f t="shared" si="137"/>
        <v>58.527777777776109</v>
      </c>
    </row>
    <row r="2144" spans="1:9" x14ac:dyDescent="0.2">
      <c r="A2144" s="11">
        <v>210.79999999999399</v>
      </c>
      <c r="B2144" s="15">
        <v>3.133</v>
      </c>
      <c r="C2144" s="11">
        <f t="shared" si="134"/>
        <v>27317.558971615279</v>
      </c>
      <c r="D2144" s="11">
        <f t="shared" si="135"/>
        <v>-316920.7822639987</v>
      </c>
      <c r="E2144" s="11">
        <f t="shared" si="136"/>
        <v>-405923.20308957348</v>
      </c>
      <c r="F2144" s="11">
        <f>Speed_Calc!B$5*E2144</f>
        <v>-365330.88278061611</v>
      </c>
      <c r="G2144" s="15">
        <f>Speed_Calc!G$3+Speed_Calc!G$5*A2144^2</f>
        <v>198.19092639998982</v>
      </c>
      <c r="H2144" s="7">
        <f>(F2144-G2144)/Speed_Calc!G$2*9.806</f>
        <v>-2655.0948864970369</v>
      </c>
      <c r="I2144" s="4">
        <f t="shared" si="137"/>
        <v>58.55555555555388</v>
      </c>
    </row>
    <row r="2145" spans="1:9" x14ac:dyDescent="0.2">
      <c r="A2145" s="11">
        <v>210.89999999999401</v>
      </c>
      <c r="B2145" s="15">
        <v>3.133</v>
      </c>
      <c r="C2145" s="11">
        <f t="shared" si="134"/>
        <v>27330.517965434839</v>
      </c>
      <c r="D2145" s="11">
        <f t="shared" si="135"/>
        <v>-317814.67132687493</v>
      </c>
      <c r="E2145" s="11">
        <f t="shared" si="136"/>
        <v>-406875.11265177175</v>
      </c>
      <c r="F2145" s="11">
        <f>Speed_Calc!B$5*E2145</f>
        <v>-366187.60138659459</v>
      </c>
      <c r="G2145" s="15">
        <f>Speed_Calc!G$3+Speed_Calc!G$5*A2145^2</f>
        <v>198.36002809998985</v>
      </c>
      <c r="H2145" s="7">
        <f>(F2145-G2145)/Speed_Calc!G$2*9.806</f>
        <v>-2661.3190649129588</v>
      </c>
      <c r="I2145" s="4">
        <f t="shared" si="137"/>
        <v>58.583333333331666</v>
      </c>
    </row>
    <row r="2146" spans="1:9" x14ac:dyDescent="0.2">
      <c r="A2146" s="11">
        <v>210.999999999994</v>
      </c>
      <c r="B2146" s="15">
        <v>3.133</v>
      </c>
      <c r="C2146" s="11">
        <f t="shared" si="134"/>
        <v>27343.476959254389</v>
      </c>
      <c r="D2146" s="11">
        <f t="shared" si="135"/>
        <v>-318710.56396400137</v>
      </c>
      <c r="E2146" s="11">
        <f t="shared" si="136"/>
        <v>-407828.68374541611</v>
      </c>
      <c r="F2146" s="11">
        <f>Speed_Calc!B$5*E2146</f>
        <v>-367045.81537087454</v>
      </c>
      <c r="G2146" s="15">
        <f>Speed_Calc!G$3+Speed_Calc!G$5*A2146^2</f>
        <v>198.52920999998983</v>
      </c>
      <c r="H2146" s="7">
        <f>(F2146-G2146)/Speed_Calc!G$2*9.806</f>
        <v>-2667.5541058963377</v>
      </c>
      <c r="I2146" s="4">
        <f t="shared" si="137"/>
        <v>58.611111111109444</v>
      </c>
    </row>
    <row r="2147" spans="1:9" x14ac:dyDescent="0.2">
      <c r="A2147" s="11">
        <v>211.099999999994</v>
      </c>
      <c r="B2147" s="15">
        <v>3.133</v>
      </c>
      <c r="C2147" s="11">
        <f t="shared" si="134"/>
        <v>27356.435953073942</v>
      </c>
      <c r="D2147" s="11">
        <f t="shared" si="135"/>
        <v>-319608.46352618246</v>
      </c>
      <c r="E2147" s="11">
        <f t="shared" si="136"/>
        <v>-408783.91829498683</v>
      </c>
      <c r="F2147" s="11">
        <f>Speed_Calc!B$5*E2147</f>
        <v>-367905.52646548813</v>
      </c>
      <c r="G2147" s="15">
        <f>Speed_Calc!G$3+Speed_Calc!G$5*A2147^2</f>
        <v>198.69847209998983</v>
      </c>
      <c r="H2147" s="7">
        <f>(F2147-G2147)/Speed_Calc!G$2*9.806</f>
        <v>-2673.8000220281397</v>
      </c>
      <c r="I2147" s="4">
        <f t="shared" si="137"/>
        <v>58.638888888887223</v>
      </c>
    </row>
    <row r="2148" spans="1:9" x14ac:dyDescent="0.2">
      <c r="A2148" s="11">
        <v>211.19999999999399</v>
      </c>
      <c r="B2148" s="15">
        <v>3.133</v>
      </c>
      <c r="C2148" s="11">
        <f t="shared" si="134"/>
        <v>27369.394946893492</v>
      </c>
      <c r="D2148" s="11">
        <f t="shared" si="135"/>
        <v>-320508.37336794147</v>
      </c>
      <c r="E2148" s="11">
        <f t="shared" si="136"/>
        <v>-409740.81822607317</v>
      </c>
      <c r="F2148" s="11">
        <f>Speed_Calc!B$5*E2148</f>
        <v>-368766.73640346585</v>
      </c>
      <c r="G2148" s="15">
        <f>Speed_Calc!G$3+Speed_Calc!G$5*A2148^2</f>
        <v>198.86781439998981</v>
      </c>
      <c r="H2148" s="7">
        <f>(F2148-G2148)/Speed_Calc!G$2*9.806</f>
        <v>-2680.0568258965873</v>
      </c>
      <c r="I2148" s="4">
        <f t="shared" si="137"/>
        <v>58.666666666664995</v>
      </c>
    </row>
    <row r="2149" spans="1:9" x14ac:dyDescent="0.2">
      <c r="A2149" s="11">
        <v>211.29999999999399</v>
      </c>
      <c r="B2149" s="15">
        <v>3.133</v>
      </c>
      <c r="C2149" s="11">
        <f t="shared" si="134"/>
        <v>27382.353940713041</v>
      </c>
      <c r="D2149" s="11">
        <f t="shared" si="135"/>
        <v>-321410.29684752284</v>
      </c>
      <c r="E2149" s="11">
        <f t="shared" si="136"/>
        <v>-410699.38546537462</v>
      </c>
      <c r="F2149" s="11">
        <f>Speed_Calc!B$5*E2149</f>
        <v>-369629.44691883714</v>
      </c>
      <c r="G2149" s="15">
        <f>Speed_Calc!G$3+Speed_Calc!G$5*A2149^2</f>
        <v>199.03723689998978</v>
      </c>
      <c r="H2149" s="7">
        <f>(F2149-G2149)/Speed_Calc!G$2*9.806</f>
        <v>-2686.3245300971544</v>
      </c>
      <c r="I2149" s="4">
        <f t="shared" si="137"/>
        <v>58.694444444442773</v>
      </c>
    </row>
    <row r="2150" spans="1:9" x14ac:dyDescent="0.2">
      <c r="A2150" s="11">
        <v>211.39999999999401</v>
      </c>
      <c r="B2150" s="15">
        <v>3.133</v>
      </c>
      <c r="C2150" s="11">
        <f t="shared" si="134"/>
        <v>27395.312934532598</v>
      </c>
      <c r="D2150" s="11">
        <f t="shared" si="135"/>
        <v>-322314.23732689564</v>
      </c>
      <c r="E2150" s="11">
        <f t="shared" si="136"/>
        <v>-411659.6219407015</v>
      </c>
      <c r="F2150" s="11">
        <f>Speed_Calc!B$5*E2150</f>
        <v>-370493.65974663134</v>
      </c>
      <c r="G2150" s="15">
        <f>Speed_Calc!G$3+Speed_Calc!G$5*A2150^2</f>
        <v>199.20673959998982</v>
      </c>
      <c r="H2150" s="7">
        <f>(F2150-G2150)/Speed_Calc!G$2*9.806</f>
        <v>-2692.6031472325808</v>
      </c>
      <c r="I2150" s="4">
        <f t="shared" si="137"/>
        <v>58.722222222220559</v>
      </c>
    </row>
    <row r="2151" spans="1:9" x14ac:dyDescent="0.2">
      <c r="A2151" s="11">
        <v>211.499999999994</v>
      </c>
      <c r="B2151" s="15">
        <v>3.133</v>
      </c>
      <c r="C2151" s="11">
        <f t="shared" si="134"/>
        <v>27408.271928352147</v>
      </c>
      <c r="D2151" s="11">
        <f t="shared" si="135"/>
        <v>-323220.19817175216</v>
      </c>
      <c r="E2151" s="11">
        <f t="shared" si="136"/>
        <v>-412621.52958097187</v>
      </c>
      <c r="F2151" s="11">
        <f>Speed_Calc!B$5*E2151</f>
        <v>-371359.3766228747</v>
      </c>
      <c r="G2151" s="15">
        <f>Speed_Calc!G$3+Speed_Calc!G$5*A2151^2</f>
        <v>199.37632249998981</v>
      </c>
      <c r="H2151" s="7">
        <f>(F2151-G2151)/Speed_Calc!G$2*9.806</f>
        <v>-2698.8926899128473</v>
      </c>
      <c r="I2151" s="4">
        <f t="shared" si="137"/>
        <v>58.74999999999833</v>
      </c>
    </row>
    <row r="2152" spans="1:9" x14ac:dyDescent="0.2">
      <c r="A2152" s="11">
        <v>211.599999999994</v>
      </c>
      <c r="B2152" s="15">
        <v>3.133</v>
      </c>
      <c r="C2152" s="11">
        <f t="shared" si="134"/>
        <v>27421.230922171701</v>
      </c>
      <c r="D2152" s="11">
        <f t="shared" si="135"/>
        <v>-324128.18275151454</v>
      </c>
      <c r="E2152" s="11">
        <f t="shared" si="136"/>
        <v>-413585.11031621648</v>
      </c>
      <c r="F2152" s="11">
        <f>Speed_Calc!B$5*E2152</f>
        <v>-372226.59928459482</v>
      </c>
      <c r="G2152" s="15">
        <f>Speed_Calc!G$3+Speed_Calc!G$5*A2152^2</f>
        <v>199.54598559998979</v>
      </c>
      <c r="H2152" s="7">
        <f>(F2152-G2152)/Speed_Calc!G$2*9.806</f>
        <v>-2705.1931707552076</v>
      </c>
      <c r="I2152" s="4">
        <f t="shared" si="137"/>
        <v>58.777777777776109</v>
      </c>
    </row>
    <row r="2153" spans="1:9" x14ac:dyDescent="0.2">
      <c r="A2153" s="11">
        <v>211.69999999999399</v>
      </c>
      <c r="B2153" s="15">
        <v>3.133</v>
      </c>
      <c r="C2153" s="11">
        <f t="shared" si="134"/>
        <v>27434.18991599125</v>
      </c>
      <c r="D2153" s="11">
        <f t="shared" si="135"/>
        <v>-325038.19443933311</v>
      </c>
      <c r="E2153" s="11">
        <f t="shared" si="136"/>
        <v>-414550.36607757414</v>
      </c>
      <c r="F2153" s="11">
        <f>Speed_Calc!B$5*E2153</f>
        <v>-373095.32946981676</v>
      </c>
      <c r="G2153" s="15">
        <f>Speed_Calc!G$3+Speed_Calc!G$5*A2153^2</f>
        <v>199.71572889998978</v>
      </c>
      <c r="H2153" s="7">
        <f>(F2153-G2153)/Speed_Calc!G$2*9.806</f>
        <v>-2711.5046023841601</v>
      </c>
      <c r="I2153" s="4">
        <f t="shared" si="137"/>
        <v>58.805555555553887</v>
      </c>
    </row>
    <row r="2154" spans="1:9" x14ac:dyDescent="0.2">
      <c r="A2154" s="11">
        <v>211.79999999999399</v>
      </c>
      <c r="B2154" s="15">
        <v>3.133</v>
      </c>
      <c r="C2154" s="11">
        <f t="shared" si="134"/>
        <v>27447.1489098108</v>
      </c>
      <c r="D2154" s="11">
        <f t="shared" si="135"/>
        <v>-325950.23661209038</v>
      </c>
      <c r="E2154" s="11">
        <f t="shared" si="136"/>
        <v>-415517.29879729415</v>
      </c>
      <c r="F2154" s="11">
        <f>Speed_Calc!B$5*E2154</f>
        <v>-373965.56891756476</v>
      </c>
      <c r="G2154" s="15">
        <f>Speed_Calc!G$3+Speed_Calc!G$5*A2154^2</f>
        <v>199.88555239998976</v>
      </c>
      <c r="H2154" s="7">
        <f>(F2154-G2154)/Speed_Calc!G$2*9.806</f>
        <v>-2717.8269974314621</v>
      </c>
      <c r="I2154" s="4">
        <f t="shared" si="137"/>
        <v>58.833333333331659</v>
      </c>
    </row>
    <row r="2155" spans="1:9" x14ac:dyDescent="0.2">
      <c r="A2155" s="11">
        <v>211.89999999999401</v>
      </c>
      <c r="B2155" s="15">
        <v>3.133</v>
      </c>
      <c r="C2155" s="11">
        <f t="shared" si="134"/>
        <v>27460.107903630364</v>
      </c>
      <c r="D2155" s="11">
        <f t="shared" si="135"/>
        <v>-326864.312650404</v>
      </c>
      <c r="E2155" s="11">
        <f t="shared" si="136"/>
        <v>-416485.91040873795</v>
      </c>
      <c r="F2155" s="11">
        <f>Speed_Calc!B$5*E2155</f>
        <v>-374837.31936786417</v>
      </c>
      <c r="G2155" s="15">
        <f>Speed_Calc!G$3+Speed_Calc!G$5*A2155^2</f>
        <v>200.05545609998981</v>
      </c>
      <c r="H2155" s="7">
        <f>(F2155-G2155)/Speed_Calc!G$2*9.806</f>
        <v>-2724.1603685361424</v>
      </c>
      <c r="I2155" s="4">
        <f t="shared" si="137"/>
        <v>58.861111111109444</v>
      </c>
    </row>
    <row r="2156" spans="1:9" x14ac:dyDescent="0.2">
      <c r="A2156" s="11">
        <v>211.999999999994</v>
      </c>
      <c r="B2156" s="15">
        <v>3.133</v>
      </c>
      <c r="C2156" s="11">
        <f t="shared" si="134"/>
        <v>27473.066897449913</v>
      </c>
      <c r="D2156" s="11">
        <f t="shared" si="135"/>
        <v>-327780.42593862413</v>
      </c>
      <c r="E2156" s="11">
        <f t="shared" si="136"/>
        <v>-417456.20284637273</v>
      </c>
      <c r="F2156" s="11">
        <f>Speed_Calc!B$5*E2156</f>
        <v>-375710.58256173547</v>
      </c>
      <c r="G2156" s="15">
        <f>Speed_Calc!G$3+Speed_Calc!G$5*A2156^2</f>
        <v>200.22543999998982</v>
      </c>
      <c r="H2156" s="7">
        <f>(F2156-G2156)/Speed_Calc!G$2*9.806</f>
        <v>-2730.5047283444578</v>
      </c>
      <c r="I2156" s="4">
        <f t="shared" si="137"/>
        <v>58.888888888887223</v>
      </c>
    </row>
    <row r="2157" spans="1:9" x14ac:dyDescent="0.2">
      <c r="A2157" s="11">
        <v>212.099999999994</v>
      </c>
      <c r="B2157" s="15">
        <v>3.133</v>
      </c>
      <c r="C2157" s="11">
        <f t="shared" si="134"/>
        <v>27486.025891269463</v>
      </c>
      <c r="D2157" s="11">
        <f t="shared" si="135"/>
        <v>-328698.57986484136</v>
      </c>
      <c r="E2157" s="11">
        <f t="shared" si="136"/>
        <v>-418428.17804577877</v>
      </c>
      <c r="F2157" s="11">
        <f>Speed_Calc!B$5*E2157</f>
        <v>-376585.36024120089</v>
      </c>
      <c r="G2157" s="15">
        <f>Speed_Calc!G$3+Speed_Calc!G$5*A2157^2</f>
        <v>200.39550409998978</v>
      </c>
      <c r="H2157" s="7">
        <f>(F2157-G2157)/Speed_Calc!G$2*9.806</f>
        <v>-2736.8600895099407</v>
      </c>
      <c r="I2157" s="4">
        <f t="shared" si="137"/>
        <v>58.916666666664995</v>
      </c>
    </row>
    <row r="2158" spans="1:9" x14ac:dyDescent="0.2">
      <c r="A2158" s="11">
        <v>212.19999999999399</v>
      </c>
      <c r="B2158" s="15">
        <v>3.133</v>
      </c>
      <c r="C2158" s="11">
        <f t="shared" si="134"/>
        <v>27498.984885089012</v>
      </c>
      <c r="D2158" s="11">
        <f t="shared" si="135"/>
        <v>-329618.77782088559</v>
      </c>
      <c r="E2158" s="11">
        <f t="shared" si="136"/>
        <v>-419401.83794364578</v>
      </c>
      <c r="F2158" s="11">
        <f>Speed_Calc!B$5*E2158</f>
        <v>-377461.65414928121</v>
      </c>
      <c r="G2158" s="15">
        <f>Speed_Calc!G$3+Speed_Calc!G$5*A2158^2</f>
        <v>200.56564839998975</v>
      </c>
      <c r="H2158" s="7">
        <f>(F2158-G2158)/Speed_Calc!G$2*9.806</f>
        <v>-2743.2264646933786</v>
      </c>
      <c r="I2158" s="4">
        <f t="shared" si="137"/>
        <v>58.944444444442773</v>
      </c>
    </row>
    <row r="2159" spans="1:9" x14ac:dyDescent="0.2">
      <c r="A2159" s="11">
        <v>212.29999999999399</v>
      </c>
      <c r="B2159" s="15">
        <v>3.133</v>
      </c>
      <c r="C2159" s="11">
        <f t="shared" si="134"/>
        <v>27511.943878908562</v>
      </c>
      <c r="D2159" s="11">
        <f t="shared" si="135"/>
        <v>-330541.02320232883</v>
      </c>
      <c r="E2159" s="11">
        <f t="shared" si="136"/>
        <v>-420377.18447777361</v>
      </c>
      <c r="F2159" s="11">
        <f>Speed_Calc!B$5*E2159</f>
        <v>-378339.46602999629</v>
      </c>
      <c r="G2159" s="15">
        <f>Speed_Calc!G$3+Speed_Calc!G$5*A2159^2</f>
        <v>200.73587289998974</v>
      </c>
      <c r="H2159" s="7">
        <f>(F2159-G2159)/Speed_Calc!G$2*9.806</f>
        <v>-2749.6038665628153</v>
      </c>
      <c r="I2159" s="4">
        <f t="shared" si="137"/>
        <v>58.972222222220552</v>
      </c>
    </row>
    <row r="2160" spans="1:9" x14ac:dyDescent="0.2">
      <c r="A2160" s="11">
        <v>212.39999999999401</v>
      </c>
      <c r="B2160" s="15">
        <v>3.133</v>
      </c>
      <c r="C2160" s="11">
        <f t="shared" si="134"/>
        <v>27524.902872728118</v>
      </c>
      <c r="D2160" s="11">
        <f t="shared" si="135"/>
        <v>-331465.31940848724</v>
      </c>
      <c r="E2160" s="11">
        <f t="shared" si="136"/>
        <v>-421354.21958707197</v>
      </c>
      <c r="F2160" s="11">
        <f>Speed_Calc!B$5*E2160</f>
        <v>-379218.79762836476</v>
      </c>
      <c r="G2160" s="15">
        <f>Speed_Calc!G$3+Speed_Calc!G$5*A2160^2</f>
        <v>200.90617759998977</v>
      </c>
      <c r="H2160" s="7">
        <f>(F2160-G2160)/Speed_Calc!G$2*9.806</f>
        <v>-2755.9923077935482</v>
      </c>
      <c r="I2160" s="4">
        <f t="shared" si="137"/>
        <v>58.999999999998337</v>
      </c>
    </row>
    <row r="2161" spans="1:9" x14ac:dyDescent="0.2">
      <c r="A2161" s="11">
        <v>212.499999999994</v>
      </c>
      <c r="B2161" s="15">
        <v>3.133</v>
      </c>
      <c r="C2161" s="11">
        <f t="shared" si="134"/>
        <v>27537.861866547668</v>
      </c>
      <c r="D2161" s="11">
        <f t="shared" si="135"/>
        <v>-332391.66984242172</v>
      </c>
      <c r="E2161" s="11">
        <f t="shared" si="136"/>
        <v>-422332.94521155965</v>
      </c>
      <c r="F2161" s="11">
        <f>Speed_Calc!B$5*E2161</f>
        <v>-380099.65069040371</v>
      </c>
      <c r="G2161" s="15">
        <f>Speed_Calc!G$3+Speed_Calc!G$5*A2161^2</f>
        <v>201.07656249998976</v>
      </c>
      <c r="H2161" s="7">
        <f>(F2161-G2161)/Speed_Calc!G$2*9.806</f>
        <v>-2762.3918010681282</v>
      </c>
      <c r="I2161" s="4">
        <f t="shared" si="137"/>
        <v>59.027777777776109</v>
      </c>
    </row>
    <row r="2162" spans="1:9" x14ac:dyDescent="0.2">
      <c r="A2162" s="11">
        <v>212.599999999994</v>
      </c>
      <c r="B2162" s="15">
        <v>3.133</v>
      </c>
      <c r="C2162" s="11">
        <f t="shared" si="134"/>
        <v>27550.820860367217</v>
      </c>
      <c r="D2162" s="11">
        <f t="shared" si="135"/>
        <v>-333320.07791094302</v>
      </c>
      <c r="E2162" s="11">
        <f t="shared" si="136"/>
        <v>-423313.36329236673</v>
      </c>
      <c r="F2162" s="11">
        <f>Speed_Calc!B$5*E2162</f>
        <v>-380982.02696313005</v>
      </c>
      <c r="G2162" s="15">
        <f>Speed_Calc!G$3+Speed_Calc!G$5*A2162^2</f>
        <v>201.24702759998976</v>
      </c>
      <c r="H2162" s="7">
        <f>(F2162-G2162)/Speed_Calc!G$2*9.806</f>
        <v>-2768.8023590763692</v>
      </c>
      <c r="I2162" s="4">
        <f t="shared" si="137"/>
        <v>59.055555555553887</v>
      </c>
    </row>
    <row r="2163" spans="1:9" x14ac:dyDescent="0.2">
      <c r="A2163" s="11">
        <v>212.69999999999399</v>
      </c>
      <c r="B2163" s="15">
        <v>3.133</v>
      </c>
      <c r="C2163" s="11">
        <f t="shared" si="134"/>
        <v>27563.779854186774</v>
      </c>
      <c r="D2163" s="11">
        <f t="shared" si="135"/>
        <v>-334250.54702461156</v>
      </c>
      <c r="E2163" s="11">
        <f t="shared" si="136"/>
        <v>-424295.47577173333</v>
      </c>
      <c r="F2163" s="11">
        <f>Speed_Calc!B$5*E2163</f>
        <v>-381865.92819455999</v>
      </c>
      <c r="G2163" s="15">
        <f>Speed_Calc!G$3+Speed_Calc!G$5*A2163^2</f>
        <v>201.41757289998975</v>
      </c>
      <c r="H2163" s="7">
        <f>(F2163-G2163)/Speed_Calc!G$2*9.806</f>
        <v>-2775.2239945153428</v>
      </c>
      <c r="I2163" s="4">
        <f t="shared" si="137"/>
        <v>59.083333333331666</v>
      </c>
    </row>
    <row r="2164" spans="1:9" x14ac:dyDescent="0.2">
      <c r="A2164" s="11">
        <v>212.79999999999399</v>
      </c>
      <c r="B2164" s="15">
        <v>3.133</v>
      </c>
      <c r="C2164" s="11">
        <f t="shared" si="134"/>
        <v>27576.73884800632</v>
      </c>
      <c r="D2164" s="11">
        <f t="shared" si="135"/>
        <v>-335183.08059773879</v>
      </c>
      <c r="E2164" s="11">
        <f t="shared" si="136"/>
        <v>-425279.28459300764</v>
      </c>
      <c r="F2164" s="11">
        <f>Speed_Calc!B$5*E2164</f>
        <v>-382751.35613370687</v>
      </c>
      <c r="G2164" s="15">
        <f>Speed_Calc!G$3+Speed_Calc!G$5*A2164^2</f>
        <v>201.58819839998972</v>
      </c>
      <c r="H2164" s="7">
        <f>(F2164-G2164)/Speed_Calc!G$2*9.806</f>
        <v>-2781.6567200893624</v>
      </c>
      <c r="I2164" s="4">
        <f t="shared" si="137"/>
        <v>59.111111111109437</v>
      </c>
    </row>
    <row r="2165" spans="1:9" x14ac:dyDescent="0.2">
      <c r="A2165" s="11">
        <v>212.89999999999401</v>
      </c>
      <c r="B2165" s="15">
        <v>3.133</v>
      </c>
      <c r="C2165" s="11">
        <f t="shared" si="134"/>
        <v>27589.697841825877</v>
      </c>
      <c r="D2165" s="11">
        <f t="shared" si="135"/>
        <v>-336117.68204839266</v>
      </c>
      <c r="E2165" s="11">
        <f t="shared" si="136"/>
        <v>-426264.791700651</v>
      </c>
      <c r="F2165" s="11">
        <f>Speed_Calc!B$5*E2165</f>
        <v>-383638.31253058591</v>
      </c>
      <c r="G2165" s="15">
        <f>Speed_Calc!G$3+Speed_Calc!G$5*A2165^2</f>
        <v>201.75890409998976</v>
      </c>
      <c r="H2165" s="7">
        <f>(F2165-G2165)/Speed_Calc!G$2*9.806</f>
        <v>-2788.1005485100218</v>
      </c>
      <c r="I2165" s="4">
        <f t="shared" si="137"/>
        <v>59.138888888887223</v>
      </c>
    </row>
    <row r="2166" spans="1:9" x14ac:dyDescent="0.2">
      <c r="A2166" s="11">
        <v>212.999999999994</v>
      </c>
      <c r="B2166" s="15">
        <v>3.133</v>
      </c>
      <c r="C2166" s="11">
        <f t="shared" si="134"/>
        <v>27602.656835645437</v>
      </c>
      <c r="D2166" s="11">
        <f t="shared" si="135"/>
        <v>-337054.35479839647</v>
      </c>
      <c r="E2166" s="11">
        <f t="shared" si="136"/>
        <v>-427251.99904023285</v>
      </c>
      <c r="F2166" s="11">
        <f>Speed_Calc!B$5*E2166</f>
        <v>-384526.79913620959</v>
      </c>
      <c r="G2166" s="15">
        <f>Speed_Calc!G$3+Speed_Calc!G$5*A2166^2</f>
        <v>201.92968999998973</v>
      </c>
      <c r="H2166" s="7">
        <f>(F2166-G2166)/Speed_Calc!G$2*9.806</f>
        <v>-2794.5554924961561</v>
      </c>
      <c r="I2166" s="4">
        <f t="shared" si="137"/>
        <v>59.166666666665002</v>
      </c>
    </row>
    <row r="2167" spans="1:9" x14ac:dyDescent="0.2">
      <c r="A2167" s="11">
        <v>213.099999999994</v>
      </c>
      <c r="B2167" s="15">
        <v>3.133</v>
      </c>
      <c r="C2167" s="11">
        <f t="shared" si="134"/>
        <v>27615.615829464983</v>
      </c>
      <c r="D2167" s="11">
        <f t="shared" si="135"/>
        <v>-337993.10227332968</v>
      </c>
      <c r="E2167" s="11">
        <f t="shared" si="136"/>
        <v>-428240.90855843079</v>
      </c>
      <c r="F2167" s="11">
        <f>Speed_Calc!B$5*E2167</f>
        <v>-385416.81770258769</v>
      </c>
      <c r="G2167" s="15">
        <f>Speed_Calc!G$3+Speed_Calc!G$5*A2167^2</f>
        <v>202.10055609998972</v>
      </c>
      <c r="H2167" s="7">
        <f>(F2167-G2167)/Speed_Calc!G$2*9.806</f>
        <v>-2801.0215647738451</v>
      </c>
      <c r="I2167" s="4">
        <f t="shared" si="137"/>
        <v>59.194444444442773</v>
      </c>
    </row>
    <row r="2168" spans="1:9" x14ac:dyDescent="0.2">
      <c r="A2168" s="11">
        <v>213.19999999999399</v>
      </c>
      <c r="B2168" s="15">
        <v>3.133</v>
      </c>
      <c r="C2168" s="11">
        <f t="shared" si="134"/>
        <v>27628.574823284533</v>
      </c>
      <c r="D2168" s="11">
        <f t="shared" si="135"/>
        <v>-338933.92790253594</v>
      </c>
      <c r="E2168" s="11">
        <f t="shared" si="136"/>
        <v>-429231.52220303612</v>
      </c>
      <c r="F2168" s="11">
        <f>Speed_Calc!B$5*E2168</f>
        <v>-386308.36998273252</v>
      </c>
      <c r="G2168" s="15">
        <f>Speed_Calc!G$3+Speed_Calc!G$5*A2168^2</f>
        <v>202.27150239998971</v>
      </c>
      <c r="H2168" s="7">
        <f>(F2168-G2168)/Speed_Calc!G$2*9.806</f>
        <v>-2807.4987780764509</v>
      </c>
      <c r="I2168" s="4">
        <f t="shared" si="137"/>
        <v>59.222222222220552</v>
      </c>
    </row>
    <row r="2169" spans="1:9" x14ac:dyDescent="0.2">
      <c r="A2169" s="11">
        <v>213.29999999999399</v>
      </c>
      <c r="B2169" s="15">
        <v>3.133</v>
      </c>
      <c r="C2169" s="11">
        <f t="shared" si="134"/>
        <v>27641.533817104089</v>
      </c>
      <c r="D2169" s="11">
        <f t="shared" si="135"/>
        <v>-339876.83511912002</v>
      </c>
      <c r="E2169" s="11">
        <f t="shared" si="136"/>
        <v>-430223.84192294889</v>
      </c>
      <c r="F2169" s="11">
        <f>Speed_Calc!B$5*E2169</f>
        <v>-387201.45773065399</v>
      </c>
      <c r="G2169" s="15">
        <f>Speed_Calc!G$3+Speed_Calc!G$5*A2169^2</f>
        <v>202.4425288999897</v>
      </c>
      <c r="H2169" s="7">
        <f>(F2169-G2169)/Speed_Calc!G$2*9.806</f>
        <v>-2813.9871451445824</v>
      </c>
      <c r="I2169" s="4">
        <f t="shared" si="137"/>
        <v>59.24999999999833</v>
      </c>
    </row>
    <row r="2170" spans="1:9" x14ac:dyDescent="0.2">
      <c r="A2170" s="11">
        <v>213.39999999999401</v>
      </c>
      <c r="B2170" s="15">
        <v>3.133</v>
      </c>
      <c r="C2170" s="11">
        <f t="shared" si="134"/>
        <v>27654.492810923639</v>
      </c>
      <c r="D2170" s="11">
        <f t="shared" si="135"/>
        <v>-340821.82735995011</v>
      </c>
      <c r="E2170" s="11">
        <f t="shared" si="136"/>
        <v>-431217.86966817774</v>
      </c>
      <c r="F2170" s="11">
        <f>Speed_Calc!B$5*E2170</f>
        <v>-388096.08270135999</v>
      </c>
      <c r="G2170" s="15">
        <f>Speed_Calc!G$3+Speed_Calc!G$5*A2170^2</f>
        <v>202.61363559998975</v>
      </c>
      <c r="H2170" s="7">
        <f>(F2170-G2170)/Speed_Calc!G$2*9.806</f>
        <v>-2820.4866787260953</v>
      </c>
      <c r="I2170" s="4">
        <f t="shared" si="137"/>
        <v>59.277777777776109</v>
      </c>
    </row>
    <row r="2171" spans="1:9" x14ac:dyDescent="0.2">
      <c r="A2171" s="11">
        <v>213.499999999994</v>
      </c>
      <c r="B2171" s="15">
        <v>3.133</v>
      </c>
      <c r="C2171" s="11">
        <f t="shared" si="134"/>
        <v>27667.451804743188</v>
      </c>
      <c r="D2171" s="11">
        <f t="shared" si="135"/>
        <v>-341768.90806566214</v>
      </c>
      <c r="E2171" s="11">
        <f t="shared" si="136"/>
        <v>-432213.60738984245</v>
      </c>
      <c r="F2171" s="11">
        <f>Speed_Calc!B$5*E2171</f>
        <v>-388992.2466508582</v>
      </c>
      <c r="G2171" s="15">
        <f>Speed_Calc!G$3+Speed_Calc!G$5*A2171^2</f>
        <v>202.7848224999897</v>
      </c>
      <c r="H2171" s="7">
        <f>(F2171-G2171)/Speed_Calc!G$2*9.806</f>
        <v>-2826.9973915761111</v>
      </c>
      <c r="I2171" s="4">
        <f t="shared" si="137"/>
        <v>59.305555555553887</v>
      </c>
    </row>
    <row r="2172" spans="1:9" x14ac:dyDescent="0.2">
      <c r="A2172" s="11">
        <v>213.599999999994</v>
      </c>
      <c r="B2172" s="15">
        <v>3.133</v>
      </c>
      <c r="C2172" s="11">
        <f t="shared" si="134"/>
        <v>27680.410798562749</v>
      </c>
      <c r="D2172" s="11">
        <f t="shared" si="135"/>
        <v>-342718.0806806616</v>
      </c>
      <c r="E2172" s="11">
        <f t="shared" si="136"/>
        <v>-433211.05704017438</v>
      </c>
      <c r="F2172" s="11">
        <f>Speed_Calc!B$5*E2172</f>
        <v>-389889.95133615693</v>
      </c>
      <c r="G2172" s="15">
        <f>Speed_Calc!G$3+Speed_Calc!G$5*A2172^2</f>
        <v>202.95608959998972</v>
      </c>
      <c r="H2172" s="7">
        <f>(F2172-G2172)/Speed_Calc!G$2*9.806</f>
        <v>-2833.5192964570165</v>
      </c>
      <c r="I2172" s="4">
        <f t="shared" si="137"/>
        <v>59.333333333331666</v>
      </c>
    </row>
    <row r="2173" spans="1:9" x14ac:dyDescent="0.2">
      <c r="A2173" s="11">
        <v>213.69999999999399</v>
      </c>
      <c r="B2173" s="15">
        <v>3.133</v>
      </c>
      <c r="C2173" s="11">
        <f t="shared" si="134"/>
        <v>27693.369792382295</v>
      </c>
      <c r="D2173" s="11">
        <f t="shared" si="135"/>
        <v>-343669.34865312173</v>
      </c>
      <c r="E2173" s="11">
        <f t="shared" si="136"/>
        <v>-434210.2205725105</v>
      </c>
      <c r="F2173" s="11">
        <f>Speed_Calc!B$5*E2173</f>
        <v>-390789.19851525949</v>
      </c>
      <c r="G2173" s="15">
        <f>Speed_Calc!G$3+Speed_Calc!G$5*A2173^2</f>
        <v>203.1274368999897</v>
      </c>
      <c r="H2173" s="7">
        <f>(F2173-G2173)/Speed_Calc!G$2*9.806</f>
        <v>-2840.0524061384267</v>
      </c>
      <c r="I2173" s="4">
        <f t="shared" si="137"/>
        <v>59.361111111109437</v>
      </c>
    </row>
    <row r="2174" spans="1:9" x14ac:dyDescent="0.2">
      <c r="A2174" s="11">
        <v>213.79999999999399</v>
      </c>
      <c r="B2174" s="15">
        <v>3.133</v>
      </c>
      <c r="C2174" s="11">
        <f t="shared" si="134"/>
        <v>27706.328786201844</v>
      </c>
      <c r="D2174" s="11">
        <f t="shared" si="135"/>
        <v>-344622.71543499181</v>
      </c>
      <c r="E2174" s="11">
        <f t="shared" si="136"/>
        <v>-435211.09994130227</v>
      </c>
      <c r="F2174" s="11">
        <f>Speed_Calc!B$5*E2174</f>
        <v>-391689.98994717206</v>
      </c>
      <c r="G2174" s="15">
        <f>Speed_Calc!G$3+Speed_Calc!G$5*A2174^2</f>
        <v>203.29886439998967</v>
      </c>
      <c r="H2174" s="7">
        <f>(F2174-G2174)/Speed_Calc!G$2*9.806</f>
        <v>-2846.5967333972408</v>
      </c>
      <c r="I2174" s="4">
        <f t="shared" si="137"/>
        <v>59.388888888887216</v>
      </c>
    </row>
    <row r="2175" spans="1:9" x14ac:dyDescent="0.2">
      <c r="A2175" s="11">
        <v>213.89999999999401</v>
      </c>
      <c r="B2175" s="15">
        <v>3.133</v>
      </c>
      <c r="C2175" s="11">
        <f t="shared" si="134"/>
        <v>27719.287780021401</v>
      </c>
      <c r="D2175" s="11">
        <f t="shared" si="135"/>
        <v>-345578.18448199466</v>
      </c>
      <c r="E2175" s="11">
        <f t="shared" si="136"/>
        <v>-436213.69710210932</v>
      </c>
      <c r="F2175" s="11">
        <f>Speed_Calc!B$5*E2175</f>
        <v>-392592.32739189838</v>
      </c>
      <c r="G2175" s="15">
        <f>Speed_Calc!G$3+Speed_Calc!G$5*A2175^2</f>
        <v>203.4703720999897</v>
      </c>
      <c r="H2175" s="7">
        <f>(F2175-G2175)/Speed_Calc!G$2*9.806</f>
        <v>-2853.1522910176054</v>
      </c>
      <c r="I2175" s="4">
        <f t="shared" si="137"/>
        <v>59.416666666665002</v>
      </c>
    </row>
    <row r="2176" spans="1:9" x14ac:dyDescent="0.2">
      <c r="A2176" s="11">
        <v>213.999999999994</v>
      </c>
      <c r="B2176" s="15">
        <v>3.133</v>
      </c>
      <c r="C2176" s="11">
        <f t="shared" si="134"/>
        <v>27732.246773840958</v>
      </c>
      <c r="D2176" s="11">
        <f t="shared" si="135"/>
        <v>-346535.75925362989</v>
      </c>
      <c r="E2176" s="11">
        <f t="shared" si="136"/>
        <v>-437218.01401160134</v>
      </c>
      <c r="F2176" s="11">
        <f>Speed_Calc!B$5*E2176</f>
        <v>-393496.2126104412</v>
      </c>
      <c r="G2176" s="15">
        <f>Speed_Calc!G$3+Speed_Calc!G$5*A2176^2</f>
        <v>203.64195999998969</v>
      </c>
      <c r="H2176" s="7">
        <f>(F2176-G2176)/Speed_Calc!G$2*9.806</f>
        <v>-2859.7190917909229</v>
      </c>
      <c r="I2176" s="4">
        <f t="shared" si="137"/>
        <v>59.44444444444278</v>
      </c>
    </row>
    <row r="2177" spans="1:9" x14ac:dyDescent="0.2">
      <c r="A2177" s="11">
        <v>214.099999999994</v>
      </c>
      <c r="B2177" s="15">
        <v>3.133</v>
      </c>
      <c r="C2177" s="11">
        <f t="shared" si="134"/>
        <v>27745.205767660504</v>
      </c>
      <c r="D2177" s="11">
        <f t="shared" si="135"/>
        <v>-347495.44321317517</v>
      </c>
      <c r="E2177" s="11">
        <f t="shared" si="136"/>
        <v>-438224.05262755696</v>
      </c>
      <c r="F2177" s="11">
        <f>Speed_Calc!B$5*E2177</f>
        <v>-394401.64736480126</v>
      </c>
      <c r="G2177" s="15">
        <f>Speed_Calc!G$3+Speed_Calc!G$5*A2177^2</f>
        <v>203.81362809998967</v>
      </c>
      <c r="H2177" s="7">
        <f>(F2177-G2177)/Speed_Calc!G$2*9.806</f>
        <v>-2866.2971485158437</v>
      </c>
      <c r="I2177" s="4">
        <f t="shared" si="137"/>
        <v>59.472222222220552</v>
      </c>
    </row>
    <row r="2178" spans="1:9" x14ac:dyDescent="0.2">
      <c r="A2178" s="11">
        <v>214.19999999999399</v>
      </c>
      <c r="B2178" s="15">
        <v>3.133</v>
      </c>
      <c r="C2178" s="11">
        <f t="shared" si="134"/>
        <v>27758.16476148006</v>
      </c>
      <c r="D2178" s="11">
        <f t="shared" si="135"/>
        <v>-348457.23982769164</v>
      </c>
      <c r="E2178" s="11">
        <f t="shared" si="136"/>
        <v>-439231.81490886729</v>
      </c>
      <c r="F2178" s="11">
        <f>Speed_Calc!B$5*E2178</f>
        <v>-395308.63341798057</v>
      </c>
      <c r="G2178" s="15">
        <f>Speed_Calc!G$3+Speed_Calc!G$5*A2178^2</f>
        <v>203.98537639998966</v>
      </c>
      <c r="H2178" s="7">
        <f>(F2178-G2178)/Speed_Calc!G$2*9.806</f>
        <v>-2872.8864739982932</v>
      </c>
      <c r="I2178" s="4">
        <f t="shared" si="137"/>
        <v>59.49999999999833</v>
      </c>
    </row>
    <row r="2179" spans="1:9" x14ac:dyDescent="0.2">
      <c r="A2179" s="11">
        <v>214.29999999999399</v>
      </c>
      <c r="B2179" s="15">
        <v>3.133</v>
      </c>
      <c r="C2179" s="11">
        <f t="shared" si="134"/>
        <v>27771.12375529961</v>
      </c>
      <c r="D2179" s="11">
        <f t="shared" si="135"/>
        <v>-349421.15256802115</v>
      </c>
      <c r="E2179" s="11">
        <f t="shared" si="136"/>
        <v>-440241.30281553132</v>
      </c>
      <c r="F2179" s="11">
        <f>Speed_Calc!B$5*E2179</f>
        <v>-396217.17253397818</v>
      </c>
      <c r="G2179" s="15">
        <f>Speed_Calc!G$3+Speed_Calc!G$5*A2179^2</f>
        <v>204.15720489998964</v>
      </c>
      <c r="H2179" s="7">
        <f>(F2179-G2179)/Speed_Calc!G$2*9.806</f>
        <v>-2879.4870810514367</v>
      </c>
      <c r="I2179" s="4">
        <f t="shared" si="137"/>
        <v>59.527777777776109</v>
      </c>
    </row>
    <row r="2180" spans="1:9" x14ac:dyDescent="0.2">
      <c r="A2180" s="11">
        <v>214.39999999999401</v>
      </c>
      <c r="B2180" s="15">
        <v>3.133</v>
      </c>
      <c r="C2180" s="11">
        <f t="shared" si="134"/>
        <v>27784.082749119159</v>
      </c>
      <c r="D2180" s="11">
        <f t="shared" si="135"/>
        <v>-350387.18490879197</v>
      </c>
      <c r="E2180" s="11">
        <f t="shared" si="136"/>
        <v>-441252.51830865908</v>
      </c>
      <c r="F2180" s="11">
        <f>Speed_Calc!B$5*E2180</f>
        <v>-397127.26647779316</v>
      </c>
      <c r="G2180" s="15">
        <f>Speed_Calc!G$3+Speed_Calc!G$5*A2180^2</f>
        <v>204.32911359998968</v>
      </c>
      <c r="H2180" s="7">
        <f>(F2180-G2180)/Speed_Calc!G$2*9.806</f>
        <v>-2886.0989824957041</v>
      </c>
      <c r="I2180" s="4">
        <f t="shared" si="137"/>
        <v>59.555555555553887</v>
      </c>
    </row>
    <row r="2181" spans="1:9" x14ac:dyDescent="0.2">
      <c r="A2181" s="11">
        <v>214.499999999994</v>
      </c>
      <c r="B2181" s="15">
        <v>3.133</v>
      </c>
      <c r="C2181" s="11">
        <f t="shared" si="134"/>
        <v>27797.04174293872</v>
      </c>
      <c r="D2181" s="11">
        <f t="shared" si="135"/>
        <v>-351355.34032841981</v>
      </c>
      <c r="E2181" s="11">
        <f t="shared" si="136"/>
        <v>-442265.46335047076</v>
      </c>
      <c r="F2181" s="11">
        <f>Speed_Calc!B$5*E2181</f>
        <v>-398038.91701542371</v>
      </c>
      <c r="G2181" s="15">
        <f>Speed_Calc!G$3+Speed_Calc!G$5*A2181^2</f>
        <v>204.50110249998966</v>
      </c>
      <c r="H2181" s="7">
        <f>(F2181-G2181)/Speed_Calc!G$2*9.806</f>
        <v>-2892.7221911587849</v>
      </c>
      <c r="I2181" s="4">
        <f t="shared" si="137"/>
        <v>59.583333333331666</v>
      </c>
    </row>
    <row r="2182" spans="1:9" x14ac:dyDescent="0.2">
      <c r="A2182" s="11">
        <v>214.599999999994</v>
      </c>
      <c r="B2182" s="15">
        <v>3.133</v>
      </c>
      <c r="C2182" s="11">
        <f t="shared" si="134"/>
        <v>27810.000736758273</v>
      </c>
      <c r="D2182" s="11">
        <f t="shared" si="135"/>
        <v>-352325.62230910809</v>
      </c>
      <c r="E2182" s="11">
        <f t="shared" si="136"/>
        <v>-443280.1399042955</v>
      </c>
      <c r="F2182" s="11">
        <f>Speed_Calc!B$5*E2182</f>
        <v>-398952.12591386598</v>
      </c>
      <c r="G2182" s="15">
        <f>Speed_Calc!G$3+Speed_Calc!G$5*A2182^2</f>
        <v>204.67317159998964</v>
      </c>
      <c r="H2182" s="7">
        <f>(F2182-G2182)/Speed_Calc!G$2*9.806</f>
        <v>-2899.3567198756141</v>
      </c>
      <c r="I2182" s="4">
        <f t="shared" si="137"/>
        <v>59.611111111109444</v>
      </c>
    </row>
    <row r="2183" spans="1:9" x14ac:dyDescent="0.2">
      <c r="A2183" s="11">
        <v>214.69999999999399</v>
      </c>
      <c r="B2183" s="15">
        <v>3.133</v>
      </c>
      <c r="C2183" s="11">
        <f t="shared" si="134"/>
        <v>27822.959730577815</v>
      </c>
      <c r="D2183" s="11">
        <f t="shared" si="135"/>
        <v>-353298.03433685179</v>
      </c>
      <c r="E2183" s="11">
        <f t="shared" si="136"/>
        <v>-444296.54993457219</v>
      </c>
      <c r="F2183" s="11">
        <f>Speed_Calc!B$5*E2183</f>
        <v>-399866.894941115</v>
      </c>
      <c r="G2183" s="15">
        <f>Speed_Calc!G$3+Speed_Calc!G$5*A2183^2</f>
        <v>204.84532089998964</v>
      </c>
      <c r="H2183" s="7">
        <f>(F2183-G2183)/Speed_Calc!G$2*9.806</f>
        <v>-2906.0025814883838</v>
      </c>
      <c r="I2183" s="4">
        <f t="shared" si="137"/>
        <v>59.638888888887216</v>
      </c>
    </row>
    <row r="2184" spans="1:9" x14ac:dyDescent="0.2">
      <c r="A2184" s="11">
        <v>214.79999999999399</v>
      </c>
      <c r="B2184" s="15">
        <v>3.133</v>
      </c>
      <c r="C2184" s="11">
        <f t="shared" si="134"/>
        <v>27835.918724397372</v>
      </c>
      <c r="D2184" s="11">
        <f t="shared" si="135"/>
        <v>-354272.57990144187</v>
      </c>
      <c r="E2184" s="11">
        <f t="shared" si="136"/>
        <v>-445314.69540685276</v>
      </c>
      <c r="F2184" s="11">
        <f>Speed_Calc!B$5*E2184</f>
        <v>-400783.22586616752</v>
      </c>
      <c r="G2184" s="15">
        <f>Speed_Calc!G$3+Speed_Calc!G$5*A2184^2</f>
        <v>205.01755039998963</v>
      </c>
      <c r="H2184" s="7">
        <f>(F2184-G2184)/Speed_Calc!G$2*9.806</f>
        <v>-2912.6597888465635</v>
      </c>
      <c r="I2184" s="4">
        <f t="shared" si="137"/>
        <v>59.666666666664995</v>
      </c>
    </row>
    <row r="2185" spans="1:9" x14ac:dyDescent="0.2">
      <c r="A2185" s="11">
        <v>214.89999999999401</v>
      </c>
      <c r="B2185" s="15">
        <v>3.133</v>
      </c>
      <c r="C2185" s="11">
        <f t="shared" si="134"/>
        <v>27848.877718216929</v>
      </c>
      <c r="D2185" s="11">
        <f t="shared" si="135"/>
        <v>-355249.26249646203</v>
      </c>
      <c r="E2185" s="11">
        <f t="shared" si="136"/>
        <v>-446334.57828779623</v>
      </c>
      <c r="F2185" s="11">
        <f>Speed_Calc!B$5*E2185</f>
        <v>-401701.12045901665</v>
      </c>
      <c r="G2185" s="15">
        <f>Speed_Calc!G$3+Speed_Calc!G$5*A2185^2</f>
        <v>205.18986009998966</v>
      </c>
      <c r="H2185" s="7">
        <f>(F2185-G2185)/Speed_Calc!G$2*9.806</f>
        <v>-2919.3283548068575</v>
      </c>
      <c r="I2185" s="4">
        <f t="shared" si="137"/>
        <v>59.69444444444278</v>
      </c>
    </row>
    <row r="2186" spans="1:9" x14ac:dyDescent="0.2">
      <c r="A2186" s="11">
        <v>214.999999999994</v>
      </c>
      <c r="B2186" s="15">
        <v>3.133</v>
      </c>
      <c r="C2186" s="11">
        <f t="shared" si="134"/>
        <v>27861.836712036471</v>
      </c>
      <c r="D2186" s="11">
        <f t="shared" si="135"/>
        <v>-356228.08561929257</v>
      </c>
      <c r="E2186" s="11">
        <f t="shared" si="136"/>
        <v>-447356.20054517069</v>
      </c>
      <c r="F2186" s="11">
        <f>Speed_Calc!B$5*E2186</f>
        <v>-402620.58049065364</v>
      </c>
      <c r="G2186" s="15">
        <f>Speed_Calc!G$3+Speed_Calc!G$5*A2186^2</f>
        <v>205.36224999998964</v>
      </c>
      <c r="H2186" s="7">
        <f>(F2186-G2186)/Speed_Calc!G$2*9.806</f>
        <v>-2926.0082922332217</v>
      </c>
      <c r="I2186" s="4">
        <f t="shared" si="137"/>
        <v>59.722222222220552</v>
      </c>
    </row>
    <row r="2187" spans="1:9" x14ac:dyDescent="0.2">
      <c r="A2187" s="11">
        <v>215.099999999994</v>
      </c>
      <c r="B2187" s="15">
        <v>3.133</v>
      </c>
      <c r="C2187" s="11">
        <f t="shared" si="134"/>
        <v>27874.795705856028</v>
      </c>
      <c r="D2187" s="11">
        <f t="shared" si="135"/>
        <v>-357209.05277111748</v>
      </c>
      <c r="E2187" s="11">
        <f t="shared" si="136"/>
        <v>-448379.56414785882</v>
      </c>
      <c r="F2187" s="11">
        <f>Speed_Calc!B$5*E2187</f>
        <v>-403541.60773307295</v>
      </c>
      <c r="G2187" s="15">
        <f>Speed_Calc!G$3+Speed_Calc!G$5*A2187^2</f>
        <v>205.53472009998964</v>
      </c>
      <c r="H2187" s="7">
        <f>(F2187-G2187)/Speed_Calc!G$2*9.806</f>
        <v>-2932.6996139968992</v>
      </c>
      <c r="I2187" s="4">
        <f t="shared" si="137"/>
        <v>59.74999999999833</v>
      </c>
    </row>
    <row r="2188" spans="1:9" x14ac:dyDescent="0.2">
      <c r="A2188" s="11">
        <v>215.19999999999399</v>
      </c>
      <c r="B2188" s="15">
        <v>3.133</v>
      </c>
      <c r="C2188" s="11">
        <f t="shared" si="134"/>
        <v>27887.754699675577</v>
      </c>
      <c r="D2188" s="11">
        <f t="shared" si="135"/>
        <v>-358192.16745691776</v>
      </c>
      <c r="E2188" s="11">
        <f t="shared" si="136"/>
        <v>-449404.67106584809</v>
      </c>
      <c r="F2188" s="11">
        <f>Speed_Calc!B$5*E2188</f>
        <v>-404464.20395926328</v>
      </c>
      <c r="G2188" s="15">
        <f>Speed_Calc!G$3+Speed_Calc!G$5*A2188^2</f>
        <v>205.7072703999896</v>
      </c>
      <c r="H2188" s="7">
        <f>(F2188-G2188)/Speed_Calc!G$2*9.806</f>
        <v>-2939.402332976354</v>
      </c>
      <c r="I2188" s="4">
        <f t="shared" si="137"/>
        <v>59.777777777776109</v>
      </c>
    </row>
    <row r="2189" spans="1:9" x14ac:dyDescent="0.2">
      <c r="A2189" s="11">
        <v>215.29999999999399</v>
      </c>
      <c r="B2189" s="15">
        <v>3.133</v>
      </c>
      <c r="C2189" s="11">
        <f t="shared" si="134"/>
        <v>27900.713693495127</v>
      </c>
      <c r="D2189" s="11">
        <f t="shared" si="135"/>
        <v>-359177.43318548071</v>
      </c>
      <c r="E2189" s="11">
        <f t="shared" si="136"/>
        <v>-450431.52327023936</v>
      </c>
      <c r="F2189" s="11">
        <f>Speed_Calc!B$5*E2189</f>
        <v>-405388.37094321544</v>
      </c>
      <c r="G2189" s="15">
        <f>Speed_Calc!G$3+Speed_Calc!G$5*A2189^2</f>
        <v>205.87990089998962</v>
      </c>
      <c r="H2189" s="7">
        <f>(F2189-G2189)/Speed_Calc!G$2*9.806</f>
        <v>-2946.11646205733</v>
      </c>
      <c r="I2189" s="4">
        <f t="shared" si="137"/>
        <v>59.80555555555388</v>
      </c>
    </row>
    <row r="2190" spans="1:9" x14ac:dyDescent="0.2">
      <c r="A2190" s="11">
        <v>215.39999999999401</v>
      </c>
      <c r="B2190" s="15">
        <v>3.133</v>
      </c>
      <c r="C2190" s="11">
        <f t="shared" si="134"/>
        <v>27913.672687314687</v>
      </c>
      <c r="D2190" s="11">
        <f t="shared" si="135"/>
        <v>-360164.85346939974</v>
      </c>
      <c r="E2190" s="11">
        <f t="shared" si="136"/>
        <v>-451460.12273324328</v>
      </c>
      <c r="F2190" s="11">
        <f>Speed_Calc!B$5*E2190</f>
        <v>-406314.11045991897</v>
      </c>
      <c r="G2190" s="15">
        <f>Speed_Calc!G$3+Speed_Calc!G$5*A2190^2</f>
        <v>206.05261159998963</v>
      </c>
      <c r="H2190" s="7">
        <f>(F2190-G2190)/Speed_Calc!G$2*9.806</f>
        <v>-2952.8420141328256</v>
      </c>
      <c r="I2190" s="4">
        <f t="shared" si="137"/>
        <v>59.833333333331666</v>
      </c>
    </row>
    <row r="2191" spans="1:9" x14ac:dyDescent="0.2">
      <c r="A2191" s="11">
        <v>215.499999999994</v>
      </c>
      <c r="B2191" s="15">
        <v>3.133</v>
      </c>
      <c r="C2191" s="11">
        <f t="shared" ref="C2191:C2236" si="138">A2191/3.6/B$23/2/PI()*B$32*B$31*B2191*60</f>
        <v>27926.631681134244</v>
      </c>
      <c r="D2191" s="11">
        <f t="shared" ref="D2191:D2236" si="139">-4.687*10^(-17)*C2191^5+9.129*10^(-13)*C2191^4-6.175*10^(-9)*C2191^3+1.799*10^(-5)*C2191^2+6.502*10^(-3)*C2191</f>
        <v>-361154.43182507326</v>
      </c>
      <c r="E2191" s="11">
        <f t="shared" ref="E2191:E2236" si="140">D2191*75*B2191*B$31*B$32/B$23/C2191/2/PI()*60</f>
        <v>-452490.47142817848</v>
      </c>
      <c r="F2191" s="11">
        <f>Speed_Calc!B$5*E2191</f>
        <v>-407241.42428536067</v>
      </c>
      <c r="G2191" s="15">
        <f>Speed_Calc!G$3+Speed_Calc!G$5*A2191^2</f>
        <v>206.22540249998963</v>
      </c>
      <c r="H2191" s="7">
        <f>(F2191-G2191)/Speed_Calc!G$2*9.806</f>
        <v>-2959.5790021030825</v>
      </c>
      <c r="I2191" s="4">
        <f t="shared" ref="I2191:I2236" si="141">A2191/3.6</f>
        <v>59.861111111109444</v>
      </c>
    </row>
    <row r="2192" spans="1:9" x14ac:dyDescent="0.2">
      <c r="A2192" s="11">
        <v>215.599999999994</v>
      </c>
      <c r="B2192" s="15">
        <v>3.133</v>
      </c>
      <c r="C2192" s="11">
        <f t="shared" si="138"/>
        <v>27939.590674953786</v>
      </c>
      <c r="D2192" s="11">
        <f t="shared" si="139"/>
        <v>-362146.17177271063</v>
      </c>
      <c r="E2192" s="11">
        <f t="shared" si="140"/>
        <v>-453522.57132947398</v>
      </c>
      <c r="F2192" s="11">
        <f>Speed_Calc!B$5*E2192</f>
        <v>-408170.3141965266</v>
      </c>
      <c r="G2192" s="15">
        <f>Speed_Calc!G$3+Speed_Calc!G$5*A2192^2</f>
        <v>206.39827359998961</v>
      </c>
      <c r="H2192" s="7">
        <f>(F2192-G2192)/Speed_Calc!G$2*9.806</f>
        <v>-2966.3274388756004</v>
      </c>
      <c r="I2192" s="4">
        <f t="shared" si="141"/>
        <v>59.888888888887223</v>
      </c>
    </row>
    <row r="2193" spans="1:9" x14ac:dyDescent="0.2">
      <c r="A2193" s="11">
        <v>215.69999999999399</v>
      </c>
      <c r="B2193" s="15">
        <v>3.133</v>
      </c>
      <c r="C2193" s="11">
        <f t="shared" si="138"/>
        <v>27952.549668773343</v>
      </c>
      <c r="D2193" s="11">
        <f t="shared" si="139"/>
        <v>-363140.07683633582</v>
      </c>
      <c r="E2193" s="11">
        <f t="shared" si="140"/>
        <v>-454556.42441267218</v>
      </c>
      <c r="F2193" s="11">
        <f>Speed_Calc!B$5*E2193</f>
        <v>-409100.78197140497</v>
      </c>
      <c r="G2193" s="15">
        <f>Speed_Calc!G$3+Speed_Calc!G$5*A2193^2</f>
        <v>206.5712248999896</v>
      </c>
      <c r="H2193" s="7">
        <f>(F2193-G2193)/Speed_Calc!G$2*9.806</f>
        <v>-2973.0873373651598</v>
      </c>
      <c r="I2193" s="4">
        <f t="shared" si="141"/>
        <v>59.916666666664995</v>
      </c>
    </row>
    <row r="2194" spans="1:9" x14ac:dyDescent="0.2">
      <c r="A2194" s="11">
        <v>215.79999999999399</v>
      </c>
      <c r="B2194" s="15">
        <v>3.133</v>
      </c>
      <c r="C2194" s="11">
        <f t="shared" si="138"/>
        <v>27965.508662592885</v>
      </c>
      <c r="D2194" s="11">
        <f t="shared" si="139"/>
        <v>-364136.15054378187</v>
      </c>
      <c r="E2194" s="11">
        <f t="shared" si="140"/>
        <v>-455592.03265442018</v>
      </c>
      <c r="F2194" s="11">
        <f>Speed_Calc!B$5*E2194</f>
        <v>-410032.82938897819</v>
      </c>
      <c r="G2194" s="15">
        <f>Speed_Calc!G$3+Speed_Calc!G$5*A2194^2</f>
        <v>206.74425639998955</v>
      </c>
      <c r="H2194" s="7">
        <f>(F2194-G2194)/Speed_Calc!G$2*9.806</f>
        <v>-2979.8587104937615</v>
      </c>
      <c r="I2194" s="4">
        <f t="shared" si="141"/>
        <v>59.944444444442773</v>
      </c>
    </row>
    <row r="2195" spans="1:9" x14ac:dyDescent="0.2">
      <c r="A2195" s="11">
        <v>215.89999999999401</v>
      </c>
      <c r="B2195" s="15">
        <v>3.133</v>
      </c>
      <c r="C2195" s="11">
        <f t="shared" si="138"/>
        <v>27978.467656412449</v>
      </c>
      <c r="D2195" s="11">
        <f t="shared" si="139"/>
        <v>-365134.39642670355</v>
      </c>
      <c r="E2195" s="11">
        <f t="shared" si="140"/>
        <v>-456629.39803248114</v>
      </c>
      <c r="F2195" s="11">
        <f>Speed_Calc!B$5*E2195</f>
        <v>-410966.45822923305</v>
      </c>
      <c r="G2195" s="15">
        <f>Speed_Calc!G$3+Speed_Calc!G$5*A2195^2</f>
        <v>206.91736809998963</v>
      </c>
      <c r="H2195" s="7">
        <f>(F2195-G2195)/Speed_Calc!G$2*9.806</f>
        <v>-2986.6415711907016</v>
      </c>
      <c r="I2195" s="4">
        <f t="shared" si="141"/>
        <v>59.972222222220559</v>
      </c>
    </row>
    <row r="2196" spans="1:9" x14ac:dyDescent="0.2">
      <c r="A2196" s="11">
        <v>215.999999999994</v>
      </c>
      <c r="B2196" s="15">
        <v>3.133</v>
      </c>
      <c r="C2196" s="11">
        <f t="shared" si="138"/>
        <v>27991.426650232002</v>
      </c>
      <c r="D2196" s="11">
        <f t="shared" si="139"/>
        <v>-366134.81802056736</v>
      </c>
      <c r="E2196" s="11">
        <f t="shared" si="140"/>
        <v>-457668.52252572187</v>
      </c>
      <c r="F2196" s="11">
        <f>Speed_Calc!B$5*E2196</f>
        <v>-411901.67027314968</v>
      </c>
      <c r="G2196" s="15">
        <f>Speed_Calc!G$3+Speed_Calc!G$5*A2196^2</f>
        <v>207.09055999998961</v>
      </c>
      <c r="H2196" s="7">
        <f>(F2196-G2196)/Speed_Calc!G$2*9.806</f>
        <v>-2993.4359323924928</v>
      </c>
      <c r="I2196" s="4">
        <f t="shared" si="141"/>
        <v>59.99999999999833</v>
      </c>
    </row>
    <row r="2197" spans="1:9" x14ac:dyDescent="0.2">
      <c r="A2197" s="11">
        <v>216.099999999994</v>
      </c>
      <c r="B2197" s="15">
        <v>3.133</v>
      </c>
      <c r="C2197" s="11">
        <f t="shared" si="138"/>
        <v>28004.385644051548</v>
      </c>
      <c r="D2197" s="11">
        <f t="shared" si="139"/>
        <v>-367137.41886466416</v>
      </c>
      <c r="E2197" s="11">
        <f t="shared" si="140"/>
        <v>-458709.40811412345</v>
      </c>
      <c r="F2197" s="11">
        <f>Speed_Calc!B$5*E2197</f>
        <v>-412838.4673027111</v>
      </c>
      <c r="G2197" s="15">
        <f>Speed_Calc!G$3+Speed_Calc!G$5*A2197^2</f>
        <v>207.2638320999896</v>
      </c>
      <c r="H2197" s="7">
        <f>(F2197-G2197)/Speed_Calc!G$2*9.806</f>
        <v>-3000.2418070429312</v>
      </c>
      <c r="I2197" s="4">
        <f t="shared" si="141"/>
        <v>60.027777777776109</v>
      </c>
    </row>
    <row r="2198" spans="1:9" x14ac:dyDescent="0.2">
      <c r="A2198" s="11">
        <v>216.19999999999399</v>
      </c>
      <c r="B2198" s="15">
        <v>3.133</v>
      </c>
      <c r="C2198" s="11">
        <f t="shared" si="138"/>
        <v>28017.344637871105</v>
      </c>
      <c r="D2198" s="11">
        <f t="shared" si="139"/>
        <v>-368142.20250210637</v>
      </c>
      <c r="E2198" s="11">
        <f t="shared" si="140"/>
        <v>-459752.0567787764</v>
      </c>
      <c r="F2198" s="11">
        <f>Speed_Calc!B$5*E2198</f>
        <v>-413776.85110089876</v>
      </c>
      <c r="G2198" s="15">
        <f>Speed_Calc!G$3+Speed_Calc!G$5*A2198^2</f>
        <v>207.43718439998958</v>
      </c>
      <c r="H2198" s="7">
        <f>(F2198-G2198)/Speed_Calc!G$2*9.806</f>
        <v>-3007.059208093066</v>
      </c>
      <c r="I2198" s="4">
        <f t="shared" si="141"/>
        <v>60.055555555553887</v>
      </c>
    </row>
    <row r="2199" spans="1:9" x14ac:dyDescent="0.2">
      <c r="A2199" s="11">
        <v>216.29999999999399</v>
      </c>
      <c r="B2199" s="15">
        <v>3.133</v>
      </c>
      <c r="C2199" s="11">
        <f t="shared" si="138"/>
        <v>28030.303631690651</v>
      </c>
      <c r="D2199" s="11">
        <f t="shared" si="139"/>
        <v>-369149.17247982841</v>
      </c>
      <c r="E2199" s="11">
        <f t="shared" si="140"/>
        <v>-460796.47050187911</v>
      </c>
      <c r="F2199" s="11">
        <f>Speed_Calc!B$5*E2199</f>
        <v>-414716.82345169119</v>
      </c>
      <c r="G2199" s="15">
        <f>Speed_Calc!G$3+Speed_Calc!G$5*A2199^2</f>
        <v>207.61061689998954</v>
      </c>
      <c r="H2199" s="7">
        <f>(F2199-G2199)/Speed_Calc!G$2*9.806</f>
        <v>-3013.8881485011889</v>
      </c>
      <c r="I2199" s="4">
        <f t="shared" si="141"/>
        <v>60.083333333331659</v>
      </c>
    </row>
    <row r="2200" spans="1:9" x14ac:dyDescent="0.2">
      <c r="A2200" s="11">
        <v>216.39999999999401</v>
      </c>
      <c r="B2200" s="15">
        <v>3.133</v>
      </c>
      <c r="C2200" s="11">
        <f t="shared" si="138"/>
        <v>28043.262625510211</v>
      </c>
      <c r="D2200" s="11">
        <f t="shared" si="139"/>
        <v>-370158.33234859508</v>
      </c>
      <c r="E2200" s="11">
        <f t="shared" si="140"/>
        <v>-461842.65126674407</v>
      </c>
      <c r="F2200" s="11">
        <f>Speed_Calc!B$5*E2200</f>
        <v>-415658.38614006969</v>
      </c>
      <c r="G2200" s="15">
        <f>Speed_Calc!G$3+Speed_Calc!G$5*A2200^2</f>
        <v>207.7841295999896</v>
      </c>
      <c r="H2200" s="7">
        <f>(F2200-G2200)/Speed_Calc!G$2*9.806</f>
        <v>-3020.728641232874</v>
      </c>
      <c r="I2200" s="4">
        <f t="shared" si="141"/>
        <v>60.111111111109444</v>
      </c>
    </row>
    <row r="2201" spans="1:9" x14ac:dyDescent="0.2">
      <c r="A2201" s="11">
        <v>216.499999999994</v>
      </c>
      <c r="B2201" s="15">
        <v>3.133</v>
      </c>
      <c r="C2201" s="11">
        <f t="shared" si="138"/>
        <v>28056.221619329757</v>
      </c>
      <c r="D2201" s="11">
        <f t="shared" si="139"/>
        <v>-371169.68566299387</v>
      </c>
      <c r="E2201" s="11">
        <f t="shared" si="140"/>
        <v>-462890.60105778824</v>
      </c>
      <c r="F2201" s="11">
        <f>Speed_Calc!B$5*E2201</f>
        <v>-416601.54095200944</v>
      </c>
      <c r="G2201" s="15">
        <f>Speed_Calc!G$3+Speed_Calc!G$5*A2201^2</f>
        <v>207.95772249998956</v>
      </c>
      <c r="H2201" s="7">
        <f>(F2201-G2201)/Speed_Calc!G$2*9.806</f>
        <v>-3027.5806992609178</v>
      </c>
      <c r="I2201" s="4">
        <f t="shared" si="141"/>
        <v>60.138888888887223</v>
      </c>
    </row>
    <row r="2202" spans="1:9" x14ac:dyDescent="0.2">
      <c r="A2202" s="11">
        <v>216.599999999994</v>
      </c>
      <c r="B2202" s="15">
        <v>3.133</v>
      </c>
      <c r="C2202" s="11">
        <f t="shared" si="138"/>
        <v>28069.180613149314</v>
      </c>
      <c r="D2202" s="11">
        <f t="shared" si="139"/>
        <v>-372183.23598144803</v>
      </c>
      <c r="E2202" s="11">
        <f t="shared" si="140"/>
        <v>-463940.32186054363</v>
      </c>
      <c r="F2202" s="11">
        <f>Speed_Calc!B$5*E2202</f>
        <v>-417546.28967448929</v>
      </c>
      <c r="G2202" s="15">
        <f>Speed_Calc!G$3+Speed_Calc!G$5*A2202^2</f>
        <v>208.13139559998956</v>
      </c>
      <c r="H2202" s="7">
        <f>(F2202-G2202)/Speed_Calc!G$2*9.806</f>
        <v>-3034.4443355654039</v>
      </c>
      <c r="I2202" s="4">
        <f t="shared" si="141"/>
        <v>60.166666666664995</v>
      </c>
    </row>
    <row r="2203" spans="1:9" x14ac:dyDescent="0.2">
      <c r="A2203" s="11">
        <v>216.69999999999399</v>
      </c>
      <c r="B2203" s="15">
        <v>3.133</v>
      </c>
      <c r="C2203" s="11">
        <f t="shared" si="138"/>
        <v>28082.13960696886</v>
      </c>
      <c r="D2203" s="11">
        <f t="shared" si="139"/>
        <v>-373198.98686620925</v>
      </c>
      <c r="E2203" s="11">
        <f t="shared" si="140"/>
        <v>-464991.81566164887</v>
      </c>
      <c r="F2203" s="11">
        <f>Speed_Calc!B$5*E2203</f>
        <v>-418492.63409548398</v>
      </c>
      <c r="G2203" s="15">
        <f>Speed_Calc!G$3+Speed_Calc!G$5*A2203^2</f>
        <v>208.30514889998955</v>
      </c>
      <c r="H2203" s="7">
        <f>(F2203-G2203)/Speed_Calc!G$2*9.806</f>
        <v>-3041.3195631336512</v>
      </c>
      <c r="I2203" s="4">
        <f t="shared" si="141"/>
        <v>60.194444444442773</v>
      </c>
    </row>
    <row r="2204" spans="1:9" x14ac:dyDescent="0.2">
      <c r="A2204" s="11">
        <v>216.79999999999399</v>
      </c>
      <c r="B2204" s="15">
        <v>3.133</v>
      </c>
      <c r="C2204" s="11">
        <f t="shared" si="138"/>
        <v>28095.098600788413</v>
      </c>
      <c r="D2204" s="11">
        <f t="shared" si="139"/>
        <v>-374216.94188336632</v>
      </c>
      <c r="E2204" s="11">
        <f t="shared" si="140"/>
        <v>-466045.08444885479</v>
      </c>
      <c r="F2204" s="11">
        <f>Speed_Calc!B$5*E2204</f>
        <v>-419440.5760039693</v>
      </c>
      <c r="G2204" s="15">
        <f>Speed_Calc!G$3+Speed_Calc!G$5*A2204^2</f>
        <v>208.47898239998952</v>
      </c>
      <c r="H2204" s="7">
        <f>(F2204-G2204)/Speed_Calc!G$2*9.806</f>
        <v>-3048.2063949602498</v>
      </c>
      <c r="I2204" s="4">
        <f t="shared" si="141"/>
        <v>60.222222222220552</v>
      </c>
    </row>
    <row r="2205" spans="1:9" x14ac:dyDescent="0.2">
      <c r="A2205" s="11">
        <v>216.89999999999401</v>
      </c>
      <c r="B2205" s="15">
        <v>3.133</v>
      </c>
      <c r="C2205" s="11">
        <f t="shared" si="138"/>
        <v>28108.057594607963</v>
      </c>
      <c r="D2205" s="11">
        <f t="shared" si="139"/>
        <v>-375237.10460284323</v>
      </c>
      <c r="E2205" s="11">
        <f t="shared" si="140"/>
        <v>-467100.13021102123</v>
      </c>
      <c r="F2205" s="11">
        <f>Speed_Calc!B$5*E2205</f>
        <v>-420390.11718991911</v>
      </c>
      <c r="G2205" s="15">
        <f>Speed_Calc!G$3+Speed_Calc!G$5*A2205^2</f>
        <v>208.65289609998956</v>
      </c>
      <c r="H2205" s="7">
        <f>(F2205-G2205)/Speed_Calc!G$2*9.806</f>
        <v>-3055.1048440470395</v>
      </c>
      <c r="I2205" s="4">
        <f t="shared" si="141"/>
        <v>60.249999999998337</v>
      </c>
    </row>
    <row r="2206" spans="1:9" x14ac:dyDescent="0.2">
      <c r="A2206" s="11">
        <v>216.999999999994</v>
      </c>
      <c r="B2206" s="15">
        <v>3.133</v>
      </c>
      <c r="C2206" s="11">
        <f t="shared" si="138"/>
        <v>28121.016588427519</v>
      </c>
      <c r="D2206" s="11">
        <f t="shared" si="139"/>
        <v>-376259.4785984034</v>
      </c>
      <c r="E2206" s="11">
        <f t="shared" si="140"/>
        <v>-468156.95493811858</v>
      </c>
      <c r="F2206" s="11">
        <f>Speed_Calc!B$5*E2206</f>
        <v>-421341.25944430672</v>
      </c>
      <c r="G2206" s="15">
        <f>Speed_Calc!G$3+Speed_Calc!G$5*A2206^2</f>
        <v>208.82688999998953</v>
      </c>
      <c r="H2206" s="7">
        <f>(F2206-G2206)/Speed_Calc!G$2*9.806</f>
        <v>-3062.0149234031192</v>
      </c>
      <c r="I2206" s="4">
        <f t="shared" si="141"/>
        <v>60.277777777776109</v>
      </c>
    </row>
    <row r="2207" spans="1:9" x14ac:dyDescent="0.2">
      <c r="A2207" s="11">
        <v>217.099999999994</v>
      </c>
      <c r="B2207" s="15">
        <v>3.133</v>
      </c>
      <c r="C2207" s="11">
        <f t="shared" si="138"/>
        <v>28133.975582247076</v>
      </c>
      <c r="D2207" s="11">
        <f t="shared" si="139"/>
        <v>-377284.06744764984</v>
      </c>
      <c r="E2207" s="11">
        <f t="shared" si="140"/>
        <v>-469215.56062122644</v>
      </c>
      <c r="F2207" s="11">
        <f>Speed_Calc!B$5*E2207</f>
        <v>-422294.00455910381</v>
      </c>
      <c r="G2207" s="15">
        <f>Speed_Calc!G$3+Speed_Calc!G$5*A2207^2</f>
        <v>209.00096409998952</v>
      </c>
      <c r="H2207" s="7">
        <f>(F2207-G2207)/Speed_Calc!G$2*9.806</f>
        <v>-3068.9366460448418</v>
      </c>
      <c r="I2207" s="4">
        <f t="shared" si="141"/>
        <v>60.305555555553887</v>
      </c>
    </row>
    <row r="2208" spans="1:9" x14ac:dyDescent="0.2">
      <c r="A2208" s="11">
        <v>217.19999999999399</v>
      </c>
      <c r="B2208" s="15">
        <v>3.133</v>
      </c>
      <c r="C2208" s="11">
        <f t="shared" si="138"/>
        <v>28146.934576066626</v>
      </c>
      <c r="D2208" s="11">
        <f t="shared" si="139"/>
        <v>-378310.87473202799</v>
      </c>
      <c r="E2208" s="11">
        <f t="shared" si="140"/>
        <v>-470275.94925253402</v>
      </c>
      <c r="F2208" s="11">
        <f>Speed_Calc!B$5*E2208</f>
        <v>-423248.3543272806</v>
      </c>
      <c r="G2208" s="15">
        <f>Speed_Calc!G$3+Speed_Calc!G$5*A2208^2</f>
        <v>209.17511839998951</v>
      </c>
      <c r="H2208" s="7">
        <f>(F2208-G2208)/Speed_Calc!G$2*9.806</f>
        <v>-3075.8700249958101</v>
      </c>
      <c r="I2208" s="4">
        <f t="shared" si="141"/>
        <v>60.333333333331666</v>
      </c>
    </row>
    <row r="2209" spans="1:9" x14ac:dyDescent="0.2">
      <c r="A2209" s="11">
        <v>217.29999999999399</v>
      </c>
      <c r="B2209" s="15">
        <v>3.133</v>
      </c>
      <c r="C2209" s="11">
        <f t="shared" si="138"/>
        <v>28159.893569886175</v>
      </c>
      <c r="D2209" s="11">
        <f t="shared" si="139"/>
        <v>-379339.9040368296</v>
      </c>
      <c r="E2209" s="11">
        <f t="shared" si="140"/>
        <v>-471338.12282534211</v>
      </c>
      <c r="F2209" s="11">
        <f>Speed_Calc!B$5*E2209</f>
        <v>-424204.31054280791</v>
      </c>
      <c r="G2209" s="15">
        <f>Speed_Calc!G$3+Speed_Calc!G$5*A2209^2</f>
        <v>209.34935289998953</v>
      </c>
      <c r="H2209" s="7">
        <f>(F2209-G2209)/Speed_Calc!G$2*9.806</f>
        <v>-3082.8150732868971</v>
      </c>
      <c r="I2209" s="4">
        <f t="shared" si="141"/>
        <v>60.361111111109437</v>
      </c>
    </row>
    <row r="2210" spans="1:9" x14ac:dyDescent="0.2">
      <c r="A2210" s="11">
        <v>217.39999999999401</v>
      </c>
      <c r="B2210" s="15">
        <v>3.133</v>
      </c>
      <c r="C2210" s="11">
        <f t="shared" si="138"/>
        <v>28172.852563705725</v>
      </c>
      <c r="D2210" s="11">
        <f t="shared" si="139"/>
        <v>-380371.15895119222</v>
      </c>
      <c r="E2210" s="11">
        <f t="shared" si="140"/>
        <v>-472402.0833340605</v>
      </c>
      <c r="F2210" s="11">
        <f>Speed_Calc!B$5*E2210</f>
        <v>-425161.87500065449</v>
      </c>
      <c r="G2210" s="15">
        <f>Speed_Calc!G$3+Speed_Calc!G$5*A2210^2</f>
        <v>209.52366759998955</v>
      </c>
      <c r="H2210" s="7">
        <f>(F2210-G2210)/Speed_Calc!G$2*9.806</f>
        <v>-3089.7718039562246</v>
      </c>
      <c r="I2210" s="4">
        <f t="shared" si="141"/>
        <v>60.388888888887223</v>
      </c>
    </row>
    <row r="2211" spans="1:9" x14ac:dyDescent="0.2">
      <c r="A2211" s="11">
        <v>217.499999999994</v>
      </c>
      <c r="B2211" s="15">
        <v>3.133</v>
      </c>
      <c r="C2211" s="11">
        <f t="shared" si="138"/>
        <v>28185.811557525281</v>
      </c>
      <c r="D2211" s="11">
        <f t="shared" si="139"/>
        <v>-381404.64306810324</v>
      </c>
      <c r="E2211" s="11">
        <f t="shared" si="140"/>
        <v>-473467.8327742102</v>
      </c>
      <c r="F2211" s="11">
        <f>Speed_Calc!B$5*E2211</f>
        <v>-426121.04949678917</v>
      </c>
      <c r="G2211" s="15">
        <f>Speed_Calc!G$3+Speed_Calc!G$5*A2211^2</f>
        <v>209.6980624999895</v>
      </c>
      <c r="H2211" s="7">
        <f>(F2211-G2211)/Speed_Calc!G$2*9.806</f>
        <v>-3096.7402300491772</v>
      </c>
      <c r="I2211" s="4">
        <f t="shared" si="141"/>
        <v>60.416666666665002</v>
      </c>
    </row>
    <row r="2212" spans="1:9" x14ac:dyDescent="0.2">
      <c r="A2212" s="11">
        <v>217.599999999994</v>
      </c>
      <c r="B2212" s="15">
        <v>3.133</v>
      </c>
      <c r="C2212" s="11">
        <f t="shared" si="138"/>
        <v>28198.770551344831</v>
      </c>
      <c r="D2212" s="11">
        <f t="shared" si="139"/>
        <v>-382440.35998439859</v>
      </c>
      <c r="E2212" s="11">
        <f t="shared" si="140"/>
        <v>-474535.37314241938</v>
      </c>
      <c r="F2212" s="11">
        <f>Speed_Calc!B$5*E2212</f>
        <v>-427081.83582817746</v>
      </c>
      <c r="G2212" s="15">
        <f>Speed_Calc!G$3+Speed_Calc!G$5*A2212^2</f>
        <v>209.87253759998953</v>
      </c>
      <c r="H2212" s="7">
        <f>(F2212-G2212)/Speed_Calc!G$2*9.806</f>
        <v>-3103.7203646183802</v>
      </c>
      <c r="I2212" s="4">
        <f t="shared" si="141"/>
        <v>60.444444444442773</v>
      </c>
    </row>
    <row r="2213" spans="1:9" x14ac:dyDescent="0.2">
      <c r="A2213" s="11">
        <v>217.69999999999399</v>
      </c>
      <c r="B2213" s="15">
        <v>3.133</v>
      </c>
      <c r="C2213" s="11">
        <f t="shared" si="138"/>
        <v>28211.729545164384</v>
      </c>
      <c r="D2213" s="11">
        <f t="shared" si="139"/>
        <v>-383478.31330077024</v>
      </c>
      <c r="E2213" s="11">
        <f t="shared" si="140"/>
        <v>-475604.70643642999</v>
      </c>
      <c r="F2213" s="11">
        <f>Speed_Calc!B$5*E2213</f>
        <v>-428044.23579278699</v>
      </c>
      <c r="G2213" s="15">
        <f>Speed_Calc!G$3+Speed_Calc!G$5*A2213^2</f>
        <v>210.04709289998948</v>
      </c>
      <c r="H2213" s="7">
        <f>(F2213-G2213)/Speed_Calc!G$2*9.806</f>
        <v>-3110.7122207237376</v>
      </c>
      <c r="I2213" s="4">
        <f t="shared" si="141"/>
        <v>60.472222222220552</v>
      </c>
    </row>
    <row r="2214" spans="1:9" x14ac:dyDescent="0.2">
      <c r="A2214" s="11">
        <v>217.79999999999399</v>
      </c>
      <c r="B2214" s="15">
        <v>3.133</v>
      </c>
      <c r="C2214" s="11">
        <f t="shared" si="138"/>
        <v>28224.688538983941</v>
      </c>
      <c r="D2214" s="11">
        <f t="shared" si="139"/>
        <v>-384518.50662176299</v>
      </c>
      <c r="E2214" s="11">
        <f t="shared" si="140"/>
        <v>-476675.83465509122</v>
      </c>
      <c r="F2214" s="11">
        <f>Speed_Calc!B$5*E2214</f>
        <v>-429008.25118958211</v>
      </c>
      <c r="G2214" s="15">
        <f>Speed_Calc!G$3+Speed_Calc!G$5*A2214^2</f>
        <v>210.22172839998947</v>
      </c>
      <c r="H2214" s="7">
        <f>(F2214-G2214)/Speed_Calc!G$2*9.806</f>
        <v>-3117.7158114323938</v>
      </c>
      <c r="I2214" s="4">
        <f t="shared" si="141"/>
        <v>60.49999999999833</v>
      </c>
    </row>
    <row r="2215" spans="1:9" x14ac:dyDescent="0.2">
      <c r="A2215" s="11">
        <v>217.89999999999401</v>
      </c>
      <c r="B2215" s="15">
        <v>3.133</v>
      </c>
      <c r="C2215" s="11">
        <f t="shared" si="138"/>
        <v>28237.64753280349</v>
      </c>
      <c r="D2215" s="11">
        <f t="shared" si="139"/>
        <v>-385560.94355577882</v>
      </c>
      <c r="E2215" s="11">
        <f t="shared" si="140"/>
        <v>-477748.75979836227</v>
      </c>
      <c r="F2215" s="11">
        <f>Speed_Calc!B$5*E2215</f>
        <v>-429973.88381852605</v>
      </c>
      <c r="G2215" s="15">
        <f>Speed_Calc!G$3+Speed_Calc!G$5*A2215^2</f>
        <v>210.39644409998954</v>
      </c>
      <c r="H2215" s="7">
        <f>(F2215-G2215)/Speed_Calc!G$2*9.806</f>
        <v>-3124.7311498187487</v>
      </c>
      <c r="I2215" s="4">
        <f t="shared" si="141"/>
        <v>60.527777777776109</v>
      </c>
    </row>
    <row r="2216" spans="1:9" x14ac:dyDescent="0.2">
      <c r="A2216" s="11">
        <v>217.999999999994</v>
      </c>
      <c r="B2216" s="15">
        <v>3.133</v>
      </c>
      <c r="C2216" s="11">
        <f t="shared" si="138"/>
        <v>28250.60652662304</v>
      </c>
      <c r="D2216" s="11">
        <f t="shared" si="139"/>
        <v>-386605.62771508022</v>
      </c>
      <c r="E2216" s="11">
        <f t="shared" si="140"/>
        <v>-478823.48386731447</v>
      </c>
      <c r="F2216" s="11">
        <f>Speed_Calc!B$5*E2216</f>
        <v>-430941.13548058301</v>
      </c>
      <c r="G2216" s="15">
        <f>Speed_Calc!G$3+Speed_Calc!G$5*A2216^2</f>
        <v>210.5712399999895</v>
      </c>
      <c r="H2216" s="7">
        <f>(F2216-G2216)/Speed_Calc!G$2*9.806</f>
        <v>-3131.758248964471</v>
      </c>
      <c r="I2216" s="4">
        <f t="shared" si="141"/>
        <v>60.555555555553887</v>
      </c>
    </row>
    <row r="2217" spans="1:9" x14ac:dyDescent="0.2">
      <c r="A2217" s="11">
        <v>218.099999999994</v>
      </c>
      <c r="B2217" s="15">
        <v>3.133</v>
      </c>
      <c r="C2217" s="11">
        <f t="shared" si="138"/>
        <v>28263.565520442589</v>
      </c>
      <c r="D2217" s="11">
        <f t="shared" si="139"/>
        <v>-387652.56271578971</v>
      </c>
      <c r="E2217" s="11">
        <f t="shared" si="140"/>
        <v>-479900.00886412704</v>
      </c>
      <c r="F2217" s="11">
        <f>Speed_Calc!B$5*E2217</f>
        <v>-431910.00797771435</v>
      </c>
      <c r="G2217" s="15">
        <f>Speed_Calc!G$3+Speed_Calc!G$5*A2217^2</f>
        <v>210.74611609998948</v>
      </c>
      <c r="H2217" s="7">
        <f>(F2217-G2217)/Speed_Calc!G$2*9.806</f>
        <v>-3138.7971219584765</v>
      </c>
      <c r="I2217" s="4">
        <f t="shared" si="141"/>
        <v>60.583333333331666</v>
      </c>
    </row>
    <row r="2218" spans="1:9" x14ac:dyDescent="0.2">
      <c r="A2218" s="11">
        <v>218.19999999999399</v>
      </c>
      <c r="B2218" s="15">
        <v>3.133</v>
      </c>
      <c r="C2218" s="11">
        <f t="shared" si="138"/>
        <v>28276.524514262146</v>
      </c>
      <c r="D2218" s="11">
        <f t="shared" si="139"/>
        <v>-388701.75217789452</v>
      </c>
      <c r="E2218" s="11">
        <f t="shared" si="140"/>
        <v>-480978.33679209172</v>
      </c>
      <c r="F2218" s="11">
        <f>Speed_Calc!B$5*E2218</f>
        <v>-432880.50311288255</v>
      </c>
      <c r="G2218" s="15">
        <f>Speed_Calc!G$3+Speed_Calc!G$5*A2218^2</f>
        <v>210.92107239998947</v>
      </c>
      <c r="H2218" s="7">
        <f>(F2218-G2218)/Speed_Calc!G$2*9.806</f>
        <v>-3145.8477818969482</v>
      </c>
      <c r="I2218" s="4">
        <f t="shared" si="141"/>
        <v>60.611111111109437</v>
      </c>
    </row>
    <row r="2219" spans="1:9" x14ac:dyDescent="0.2">
      <c r="A2219" s="11">
        <v>218.29999999999399</v>
      </c>
      <c r="B2219" s="15">
        <v>3.133</v>
      </c>
      <c r="C2219" s="11">
        <f t="shared" si="138"/>
        <v>28289.483508081696</v>
      </c>
      <c r="D2219" s="11">
        <f t="shared" si="139"/>
        <v>-389753.19972524431</v>
      </c>
      <c r="E2219" s="11">
        <f t="shared" si="140"/>
        <v>-482058.46965560631</v>
      </c>
      <c r="F2219" s="11">
        <f>Speed_Calc!B$5*E2219</f>
        <v>-433852.62269004568</v>
      </c>
      <c r="G2219" s="15">
        <f>Speed_Calc!G$3+Speed_Calc!G$5*A2219^2</f>
        <v>211.09610889998945</v>
      </c>
      <c r="H2219" s="7">
        <f>(F2219-G2219)/Speed_Calc!G$2*9.806</f>
        <v>-3152.9102418833045</v>
      </c>
      <c r="I2219" s="4">
        <f t="shared" si="141"/>
        <v>60.638888888887216</v>
      </c>
    </row>
    <row r="2220" spans="1:9" x14ac:dyDescent="0.2">
      <c r="A2220" s="11">
        <v>218.39999999999401</v>
      </c>
      <c r="B2220" s="15">
        <v>3.133</v>
      </c>
      <c r="C2220" s="11">
        <f t="shared" si="138"/>
        <v>28302.442501901252</v>
      </c>
      <c r="D2220" s="11">
        <f t="shared" si="139"/>
        <v>-390806.9089855593</v>
      </c>
      <c r="E2220" s="11">
        <f t="shared" si="140"/>
        <v>-483140.40946018283</v>
      </c>
      <c r="F2220" s="11">
        <f>Speed_Calc!B$5*E2220</f>
        <v>-434826.36851416453</v>
      </c>
      <c r="G2220" s="15">
        <f>Speed_Calc!G$3+Speed_Calc!G$5*A2220^2</f>
        <v>211.27122559998949</v>
      </c>
      <c r="H2220" s="7">
        <f>(F2220-G2220)/Speed_Calc!G$2*9.806</f>
        <v>-3159.9845150282449</v>
      </c>
      <c r="I2220" s="4">
        <f t="shared" si="141"/>
        <v>60.666666666665002</v>
      </c>
    </row>
    <row r="2221" spans="1:9" x14ac:dyDescent="0.2">
      <c r="A2221" s="11">
        <v>218.499999999994</v>
      </c>
      <c r="B2221" s="15">
        <v>3.133</v>
      </c>
      <c r="C2221" s="11">
        <f t="shared" si="138"/>
        <v>28315.401495720809</v>
      </c>
      <c r="D2221" s="11">
        <f t="shared" si="139"/>
        <v>-391862.88359042717</v>
      </c>
      <c r="E2221" s="11">
        <f t="shared" si="140"/>
        <v>-484224.15821244032</v>
      </c>
      <c r="F2221" s="11">
        <f>Speed_Calc!B$5*E2221</f>
        <v>-435801.74239119631</v>
      </c>
      <c r="G2221" s="15">
        <f>Speed_Calc!G$3+Speed_Calc!G$5*A2221^2</f>
        <v>211.44642249998947</v>
      </c>
      <c r="H2221" s="7">
        <f>(F2221-G2221)/Speed_Calc!G$2*9.806</f>
        <v>-3167.0706144497076</v>
      </c>
      <c r="I2221" s="4">
        <f t="shared" si="141"/>
        <v>60.69444444444278</v>
      </c>
    </row>
    <row r="2222" spans="1:9" x14ac:dyDescent="0.2">
      <c r="A2222" s="11">
        <v>218.599999999994</v>
      </c>
      <c r="B2222" s="15">
        <v>3.133</v>
      </c>
      <c r="C2222" s="11">
        <f t="shared" si="138"/>
        <v>28328.360489540351</v>
      </c>
      <c r="D2222" s="11">
        <f t="shared" si="139"/>
        <v>-392921.1271753062</v>
      </c>
      <c r="E2222" s="11">
        <f t="shared" si="140"/>
        <v>-485309.71792010794</v>
      </c>
      <c r="F2222" s="11">
        <f>Speed_Calc!B$5*E2222</f>
        <v>-436778.74612809718</v>
      </c>
      <c r="G2222" s="15">
        <f>Speed_Calc!G$3+Speed_Calc!G$5*A2222^2</f>
        <v>211.62169959998946</v>
      </c>
      <c r="H2222" s="7">
        <f>(F2222-G2222)/Speed_Calc!G$2*9.806</f>
        <v>-3174.1685532728879</v>
      </c>
      <c r="I2222" s="4">
        <f t="shared" si="141"/>
        <v>60.722222222220552</v>
      </c>
    </row>
    <row r="2223" spans="1:9" x14ac:dyDescent="0.2">
      <c r="A2223" s="11">
        <v>218.69999999999399</v>
      </c>
      <c r="B2223" s="15">
        <v>3.133</v>
      </c>
      <c r="C2223" s="11">
        <f t="shared" si="138"/>
        <v>28341.319483359908</v>
      </c>
      <c r="D2223" s="11">
        <f t="shared" si="139"/>
        <v>-393981.64337953232</v>
      </c>
      <c r="E2223" s="11">
        <f t="shared" si="140"/>
        <v>-486397.09059202851</v>
      </c>
      <c r="F2223" s="11">
        <f>Speed_Calc!B$5*E2223</f>
        <v>-437757.38153282565</v>
      </c>
      <c r="G2223" s="15">
        <f>Speed_Calc!G$3+Speed_Calc!G$5*A2223^2</f>
        <v>211.79705689998943</v>
      </c>
      <c r="H2223" s="7">
        <f>(F2223-G2223)/Speed_Calc!G$2*9.806</f>
        <v>-3181.2783446302587</v>
      </c>
      <c r="I2223" s="4">
        <f t="shared" si="141"/>
        <v>60.74999999999833</v>
      </c>
    </row>
    <row r="2224" spans="1:9" x14ac:dyDescent="0.2">
      <c r="A2224" s="11">
        <v>218.79999999999399</v>
      </c>
      <c r="B2224" s="15">
        <v>3.133</v>
      </c>
      <c r="C2224" s="11">
        <f t="shared" si="138"/>
        <v>28354.278477179461</v>
      </c>
      <c r="D2224" s="11">
        <f t="shared" si="139"/>
        <v>-395044.43584631244</v>
      </c>
      <c r="E2224" s="11">
        <f t="shared" si="140"/>
        <v>-487486.27823815029</v>
      </c>
      <c r="F2224" s="11">
        <f>Speed_Calc!B$5*E2224</f>
        <v>-438737.65041433525</v>
      </c>
      <c r="G2224" s="15">
        <f>Speed_Calc!G$3+Speed_Calc!G$5*A2224^2</f>
        <v>211.97249439998944</v>
      </c>
      <c r="H2224" s="7">
        <f>(F2224-G2224)/Speed_Calc!G$2*9.806</f>
        <v>-3188.4000016615241</v>
      </c>
      <c r="I2224" s="4">
        <f t="shared" si="141"/>
        <v>60.777777777776109</v>
      </c>
    </row>
    <row r="2225" spans="1:9" x14ac:dyDescent="0.2">
      <c r="A2225" s="11">
        <v>218.89999999999401</v>
      </c>
      <c r="B2225" s="15">
        <v>3.133</v>
      </c>
      <c r="C2225" s="11">
        <f t="shared" si="138"/>
        <v>28367.237470999011</v>
      </c>
      <c r="D2225" s="11">
        <f t="shared" si="139"/>
        <v>-396109.5082227331</v>
      </c>
      <c r="E2225" s="11">
        <f t="shared" si="140"/>
        <v>-488577.28286953346</v>
      </c>
      <c r="F2225" s="11">
        <f>Speed_Calc!B$5*E2225</f>
        <v>-439719.55458258011</v>
      </c>
      <c r="G2225" s="15">
        <f>Speed_Calc!G$3+Speed_Calc!G$5*A2225^2</f>
        <v>212.14801209998947</v>
      </c>
      <c r="H2225" s="7">
        <f>(F2225-G2225)/Speed_Calc!G$2*9.806</f>
        <v>-3195.5335375136538</v>
      </c>
      <c r="I2225" s="4">
        <f t="shared" si="141"/>
        <v>60.805555555553887</v>
      </c>
    </row>
    <row r="2226" spans="1:9" x14ac:dyDescent="0.2">
      <c r="A2226" s="11">
        <v>218.999999999994</v>
      </c>
      <c r="B2226" s="15">
        <v>3.133</v>
      </c>
      <c r="C2226" s="11">
        <f t="shared" si="138"/>
        <v>28380.19646481856</v>
      </c>
      <c r="D2226" s="11">
        <f t="shared" si="139"/>
        <v>-397176.86415976059</v>
      </c>
      <c r="E2226" s="11">
        <f t="shared" si="140"/>
        <v>-489670.10649834858</v>
      </c>
      <c r="F2226" s="11">
        <f>Speed_Calc!B$5*E2226</f>
        <v>-440703.09584851371</v>
      </c>
      <c r="G2226" s="15">
        <f>Speed_Calc!G$3+Speed_Calc!G$5*A2226^2</f>
        <v>212.32360999998946</v>
      </c>
      <c r="H2226" s="7">
        <f>(F2226-G2226)/Speed_Calc!G$2*9.806</f>
        <v>-3202.6789653408778</v>
      </c>
      <c r="I2226" s="4">
        <f t="shared" si="141"/>
        <v>60.833333333331666</v>
      </c>
    </row>
    <row r="2227" spans="1:9" x14ac:dyDescent="0.2">
      <c r="A2227" s="11">
        <v>219.099999999994</v>
      </c>
      <c r="B2227" s="15">
        <v>3.133</v>
      </c>
      <c r="C2227" s="11">
        <f t="shared" si="138"/>
        <v>28393.155458638117</v>
      </c>
      <c r="D2227" s="11">
        <f t="shared" si="139"/>
        <v>-398246.50731224357</v>
      </c>
      <c r="E2227" s="11">
        <f t="shared" si="140"/>
        <v>-490764.7511378763</v>
      </c>
      <c r="F2227" s="11">
        <f>Speed_Calc!B$5*E2227</f>
        <v>-441688.27602408867</v>
      </c>
      <c r="G2227" s="15">
        <f>Speed_Calc!G$3+Speed_Calc!G$5*A2227^2</f>
        <v>212.49928809998943</v>
      </c>
      <c r="H2227" s="7">
        <f>(F2227-G2227)/Speed_Calc!G$2*9.806</f>
        <v>-3209.8362983046827</v>
      </c>
      <c r="I2227" s="4">
        <f t="shared" si="141"/>
        <v>60.861111111109444</v>
      </c>
    </row>
    <row r="2228" spans="1:9" x14ac:dyDescent="0.2">
      <c r="A2228" s="11">
        <v>219.19999999999399</v>
      </c>
      <c r="B2228" s="15">
        <v>3.133</v>
      </c>
      <c r="C2228" s="11">
        <f t="shared" si="138"/>
        <v>28406.114452457663</v>
      </c>
      <c r="D2228" s="11">
        <f t="shared" si="139"/>
        <v>-399318.441338912</v>
      </c>
      <c r="E2228" s="11">
        <f t="shared" si="140"/>
        <v>-491861.21880250552</v>
      </c>
      <c r="F2228" s="11">
        <f>Speed_Calc!B$5*E2228</f>
        <v>-442675.096922255</v>
      </c>
      <c r="G2228" s="15">
        <f>Speed_Calc!G$3+Speed_Calc!G$5*A2228^2</f>
        <v>212.67504639998941</v>
      </c>
      <c r="H2228" s="7">
        <f>(F2228-G2228)/Speed_Calc!G$2*9.806</f>
        <v>-3217.0055495738006</v>
      </c>
      <c r="I2228" s="4">
        <f t="shared" si="141"/>
        <v>60.888888888887216</v>
      </c>
    </row>
    <row r="2229" spans="1:9" x14ac:dyDescent="0.2">
      <c r="A2229" s="11">
        <v>219.29999999999399</v>
      </c>
      <c r="B2229" s="15">
        <v>3.133</v>
      </c>
      <c r="C2229" s="11">
        <f t="shared" si="138"/>
        <v>28419.073446277216</v>
      </c>
      <c r="D2229" s="11">
        <f t="shared" si="139"/>
        <v>-400392.66990238481</v>
      </c>
      <c r="E2229" s="11">
        <f t="shared" si="140"/>
        <v>-492959.51150773762</v>
      </c>
      <c r="F2229" s="11">
        <f>Speed_Calc!B$5*E2229</f>
        <v>-443663.56035696389</v>
      </c>
      <c r="G2229" s="15">
        <f>Speed_Calc!G$3+Speed_Calc!G$5*A2229^2</f>
        <v>212.85088489998941</v>
      </c>
      <c r="H2229" s="7">
        <f>(F2229-G2229)/Speed_Calc!G$2*9.806</f>
        <v>-3224.1867323242345</v>
      </c>
      <c r="I2229" s="4">
        <f t="shared" si="141"/>
        <v>60.916666666664995</v>
      </c>
    </row>
    <row r="2230" spans="1:9" x14ac:dyDescent="0.2">
      <c r="A2230" s="11">
        <v>219.39999999999401</v>
      </c>
      <c r="B2230" s="15">
        <v>3.133</v>
      </c>
      <c r="C2230" s="11">
        <f t="shared" si="138"/>
        <v>28432.03244009678</v>
      </c>
      <c r="D2230" s="11">
        <f t="shared" si="139"/>
        <v>-401469.19666916766</v>
      </c>
      <c r="E2230" s="11">
        <f t="shared" si="140"/>
        <v>-494059.63127018331</v>
      </c>
      <c r="F2230" s="11">
        <f>Speed_Calc!B$5*E2230</f>
        <v>-444653.66814316501</v>
      </c>
      <c r="G2230" s="15">
        <f>Speed_Calc!G$3+Speed_Calc!G$5*A2230^2</f>
        <v>213.02680359998945</v>
      </c>
      <c r="H2230" s="7">
        <f>(F2230-G2230)/Speed_Calc!G$2*9.806</f>
        <v>-3231.379859739242</v>
      </c>
      <c r="I2230" s="4">
        <f t="shared" si="141"/>
        <v>60.94444444444278</v>
      </c>
    </row>
    <row r="2231" spans="1:9" x14ac:dyDescent="0.2">
      <c r="A2231" s="11">
        <v>219.499999999994</v>
      </c>
      <c r="B2231" s="15">
        <v>3.133</v>
      </c>
      <c r="C2231" s="11">
        <f t="shared" si="138"/>
        <v>28444.991433916322</v>
      </c>
      <c r="D2231" s="11">
        <f t="shared" si="139"/>
        <v>-402548.02530965355</v>
      </c>
      <c r="E2231" s="11">
        <f t="shared" si="140"/>
        <v>-495161.58010756009</v>
      </c>
      <c r="F2231" s="11">
        <f>Speed_Calc!B$5*E2231</f>
        <v>-445645.42209680408</v>
      </c>
      <c r="G2231" s="15">
        <f>Speed_Calc!G$3+Speed_Calc!G$5*A2231^2</f>
        <v>213.20280249998942</v>
      </c>
      <c r="H2231" s="7">
        <f>(F2231-G2231)/Speed_Calc!G$2*9.806</f>
        <v>-3238.5849450093151</v>
      </c>
      <c r="I2231" s="4">
        <f t="shared" si="141"/>
        <v>60.972222222220552</v>
      </c>
    </row>
    <row r="2232" spans="1:9" x14ac:dyDescent="0.2">
      <c r="A2232" s="11">
        <v>219.599999999994</v>
      </c>
      <c r="B2232" s="15">
        <v>3.133</v>
      </c>
      <c r="C2232" s="11">
        <f t="shared" si="138"/>
        <v>28457.950427735879</v>
      </c>
      <c r="D2232" s="11">
        <f t="shared" si="139"/>
        <v>-403629.15949813259</v>
      </c>
      <c r="E2232" s="11">
        <f t="shared" si="140"/>
        <v>-496265.36003870115</v>
      </c>
      <c r="F2232" s="11">
        <f>Speed_Calc!B$5*E2232</f>
        <v>-446638.82403483102</v>
      </c>
      <c r="G2232" s="15">
        <f>Speed_Calc!G$3+Speed_Calc!G$5*A2232^2</f>
        <v>213.3788815999894</v>
      </c>
      <c r="H2232" s="7">
        <f>(F2232-G2232)/Speed_Calc!G$2*9.806</f>
        <v>-3245.8020013322384</v>
      </c>
      <c r="I2232" s="4">
        <f t="shared" si="141"/>
        <v>60.99999999999833</v>
      </c>
    </row>
    <row r="2233" spans="1:9" x14ac:dyDescent="0.2">
      <c r="A2233" s="11">
        <v>219.69999999999399</v>
      </c>
      <c r="B2233" s="15">
        <v>3.133</v>
      </c>
      <c r="C2233" s="11">
        <f t="shared" si="138"/>
        <v>28470.909421555429</v>
      </c>
      <c r="D2233" s="11">
        <f t="shared" si="139"/>
        <v>-404712.60291278426</v>
      </c>
      <c r="E2233" s="11">
        <f t="shared" si="140"/>
        <v>-497370.97308354458</v>
      </c>
      <c r="F2233" s="11">
        <f>Speed_Calc!B$5*E2233</f>
        <v>-447633.87577519013</v>
      </c>
      <c r="G2233" s="15">
        <f>Speed_Calc!G$3+Speed_Calc!G$5*A2233^2</f>
        <v>213.55504089998942</v>
      </c>
      <c r="H2233" s="7">
        <f>(F2233-G2233)/Speed_Calc!G$2*9.806</f>
        <v>-3253.0310419130215</v>
      </c>
      <c r="I2233" s="4">
        <f t="shared" si="141"/>
        <v>61.027777777776109</v>
      </c>
    </row>
    <row r="2234" spans="1:9" x14ac:dyDescent="0.2">
      <c r="A2234" s="11">
        <v>219.79999999999399</v>
      </c>
      <c r="B2234" s="15">
        <v>3.133</v>
      </c>
      <c r="C2234" s="11">
        <f t="shared" si="138"/>
        <v>28483.868415374978</v>
      </c>
      <c r="D2234" s="11">
        <f t="shared" si="139"/>
        <v>-405798.35923568718</v>
      </c>
      <c r="E2234" s="11">
        <f t="shared" si="140"/>
        <v>-498478.42126314167</v>
      </c>
      <c r="F2234" s="11">
        <f>Speed_Calc!B$5*E2234</f>
        <v>-448630.57913682749</v>
      </c>
      <c r="G2234" s="15">
        <f>Speed_Calc!G$3+Speed_Calc!G$5*A2234^2</f>
        <v>213.7312803999894</v>
      </c>
      <c r="H2234" s="7">
        <f>(F2234-G2234)/Speed_Calc!G$2*9.806</f>
        <v>-3260.2720799639501</v>
      </c>
      <c r="I2234" s="4">
        <f t="shared" si="141"/>
        <v>61.05555555555388</v>
      </c>
    </row>
    <row r="2235" spans="1:9" x14ac:dyDescent="0.2">
      <c r="A2235" s="11">
        <v>219.89999999999401</v>
      </c>
      <c r="B2235" s="15">
        <v>3.133</v>
      </c>
      <c r="C2235" s="11">
        <f t="shared" si="138"/>
        <v>28496.827409194528</v>
      </c>
      <c r="D2235" s="11">
        <f t="shared" si="139"/>
        <v>-406886.43215281679</v>
      </c>
      <c r="E2235" s="11">
        <f t="shared" si="140"/>
        <v>-499587.70659965242</v>
      </c>
      <c r="F2235" s="11">
        <f>Speed_Calc!B$5*E2235</f>
        <v>-449628.93593968719</v>
      </c>
      <c r="G2235" s="15">
        <f>Speed_Calc!G$3+Speed_Calc!G$5*A2235^2</f>
        <v>213.90760009998942</v>
      </c>
      <c r="H2235" s="7">
        <f>(F2235-G2235)/Speed_Calc!G$2*9.806</f>
        <v>-3267.5251287045576</v>
      </c>
      <c r="I2235" s="4">
        <f t="shared" si="141"/>
        <v>61.083333333331666</v>
      </c>
    </row>
    <row r="2236" spans="1:9" x14ac:dyDescent="0.2">
      <c r="A2236" s="11">
        <v>219.999999999994</v>
      </c>
      <c r="B2236" s="15">
        <v>3.133</v>
      </c>
      <c r="C2236" s="11">
        <f t="shared" si="138"/>
        <v>28509.786403014084</v>
      </c>
      <c r="D2236" s="11">
        <f t="shared" si="139"/>
        <v>-407976.82535404974</v>
      </c>
      <c r="E2236" s="11">
        <f t="shared" si="140"/>
        <v>-500698.83111634746</v>
      </c>
      <c r="F2236" s="11">
        <f>Speed_Calc!B$5*E2236</f>
        <v>-450628.9480047127</v>
      </c>
      <c r="G2236" s="15">
        <f>Speed_Calc!G$3+Speed_Calc!G$5*A2236^2</f>
        <v>214.0839999999894</v>
      </c>
      <c r="H2236" s="7">
        <f>(F2236-G2236)/Speed_Calc!G$2*9.806</f>
        <v>-3274.790201361639</v>
      </c>
      <c r="I2236" s="4">
        <f t="shared" si="141"/>
        <v>61.111111111109444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topLeftCell="A52" zoomScale="70" zoomScaleNormal="70" workbookViewId="0">
      <selection activeCell="E26" sqref="E26"/>
    </sheetView>
  </sheetViews>
  <sheetFormatPr defaultRowHeight="13" x14ac:dyDescent="0.2"/>
  <cols>
    <col min="1" max="1" width="10.7265625" bestFit="1" customWidth="1"/>
    <col min="5" max="5" width="10.36328125" bestFit="1" customWidth="1"/>
    <col min="6" max="6" width="9" customWidth="1"/>
    <col min="8" max="8" width="11.453125" bestFit="1" customWidth="1"/>
  </cols>
  <sheetData>
    <row r="1" spans="1:2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2">
      <c r="A2" s="2" t="s">
        <v>23</v>
      </c>
      <c r="B2" s="3">
        <v>1.1499999999999999</v>
      </c>
      <c r="C2" s="2" t="s">
        <v>37</v>
      </c>
      <c r="E2" s="16" t="s">
        <v>30</v>
      </c>
      <c r="F2" s="16"/>
      <c r="G2" s="3">
        <v>1350</v>
      </c>
      <c r="H2" s="2" t="s">
        <v>34</v>
      </c>
    </row>
    <row r="3" spans="1:22" x14ac:dyDescent="0.2">
      <c r="A3" s="2" t="s">
        <v>24</v>
      </c>
      <c r="B3" s="3">
        <v>0.85</v>
      </c>
      <c r="C3" s="2" t="s">
        <v>38</v>
      </c>
      <c r="E3" s="16" t="s">
        <v>31</v>
      </c>
      <c r="F3" s="16"/>
      <c r="G3" s="3">
        <v>20</v>
      </c>
      <c r="H3" s="2" t="s">
        <v>35</v>
      </c>
    </row>
    <row r="4" spans="1:22" x14ac:dyDescent="0.2">
      <c r="A4" s="2" t="s">
        <v>25</v>
      </c>
      <c r="B4" s="3">
        <v>0.45</v>
      </c>
      <c r="C4" s="2" t="s">
        <v>39</v>
      </c>
      <c r="E4" s="16" t="s">
        <v>32</v>
      </c>
      <c r="F4" s="16"/>
      <c r="G4" s="3">
        <v>150</v>
      </c>
      <c r="H4" s="2" t="s">
        <v>35</v>
      </c>
    </row>
    <row r="5" spans="1:22" x14ac:dyDescent="0.2">
      <c r="A5" s="2" t="s">
        <v>26</v>
      </c>
      <c r="B5" s="3">
        <v>0.9</v>
      </c>
      <c r="C5" s="2" t="s">
        <v>40</v>
      </c>
      <c r="E5" s="16" t="s">
        <v>33</v>
      </c>
      <c r="F5" s="16"/>
      <c r="G5" s="19">
        <v>4.0099999999999997E-3</v>
      </c>
      <c r="H5" s="2" t="s">
        <v>36</v>
      </c>
    </row>
    <row r="6" spans="1:22" x14ac:dyDescent="0.2">
      <c r="A6" s="2" t="s">
        <v>27</v>
      </c>
      <c r="B6" s="3">
        <v>0.05</v>
      </c>
      <c r="C6" s="2" t="s">
        <v>41</v>
      </c>
    </row>
    <row r="7" spans="1:22" x14ac:dyDescent="0.2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2">
      <c r="E8" s="17" t="s">
        <v>45</v>
      </c>
      <c r="F8" s="18"/>
      <c r="G8" s="2"/>
    </row>
    <row r="9" spans="1:22" x14ac:dyDescent="0.2">
      <c r="A9" s="2" t="s">
        <v>29</v>
      </c>
      <c r="B9" s="3">
        <v>80</v>
      </c>
      <c r="C9" s="2" t="s">
        <v>43</v>
      </c>
      <c r="E9" s="17" t="s">
        <v>46</v>
      </c>
      <c r="F9" s="18"/>
      <c r="G9" s="2">
        <v>15</v>
      </c>
    </row>
    <row r="11" spans="1:22" x14ac:dyDescent="0.2">
      <c r="A11" s="2"/>
      <c r="B11" s="20" t="s">
        <v>59</v>
      </c>
      <c r="C11" s="20"/>
      <c r="D11" s="20"/>
      <c r="E11" s="20"/>
      <c r="F11" s="20"/>
      <c r="G11" s="20"/>
      <c r="H11" s="23" t="s">
        <v>60</v>
      </c>
      <c r="I11" s="23"/>
      <c r="J11" s="23"/>
      <c r="K11" s="23"/>
      <c r="L11" s="23"/>
      <c r="M11" s="23"/>
      <c r="N11" s="23"/>
      <c r="O11" s="26" t="s">
        <v>61</v>
      </c>
      <c r="P11" s="27"/>
      <c r="Q11" s="27"/>
      <c r="R11" s="27"/>
      <c r="S11" s="28"/>
      <c r="T11" s="12"/>
      <c r="U11" s="12"/>
      <c r="V11" s="12"/>
    </row>
    <row r="12" spans="1:22" ht="26" x14ac:dyDescent="0.2">
      <c r="A12" s="10" t="s">
        <v>48</v>
      </c>
      <c r="B12" s="21" t="s">
        <v>49</v>
      </c>
      <c r="C12" s="21" t="s">
        <v>50</v>
      </c>
      <c r="D12" s="21" t="s">
        <v>51</v>
      </c>
      <c r="E12" s="21" t="s">
        <v>52</v>
      </c>
      <c r="F12" s="21" t="s">
        <v>53</v>
      </c>
      <c r="G12" s="22" t="s">
        <v>54</v>
      </c>
      <c r="H12" s="24" t="s">
        <v>49</v>
      </c>
      <c r="I12" s="24" t="s">
        <v>50</v>
      </c>
      <c r="J12" s="24" t="s">
        <v>51</v>
      </c>
      <c r="K12" s="24" t="s">
        <v>52</v>
      </c>
      <c r="L12" s="24" t="s">
        <v>53</v>
      </c>
      <c r="M12" s="24" t="s">
        <v>55</v>
      </c>
      <c r="N12" s="25" t="s">
        <v>56</v>
      </c>
      <c r="O12" s="29" t="s">
        <v>57</v>
      </c>
      <c r="P12" s="29" t="s">
        <v>58</v>
      </c>
      <c r="Q12" s="29" t="s">
        <v>52</v>
      </c>
      <c r="R12" s="29" t="s">
        <v>53</v>
      </c>
      <c r="S12" s="30" t="s">
        <v>54</v>
      </c>
      <c r="T12" s="10" t="str">
        <f>Traveling_Line!B2</f>
        <v>距離</v>
      </c>
      <c r="U12" s="10" t="str">
        <f>Traveling_Line!C2</f>
        <v>曲率半径</v>
      </c>
      <c r="V12" s="10" t="str">
        <f>Traveling_Line!D2</f>
        <v>距離</v>
      </c>
    </row>
    <row r="13" spans="1:22" x14ac:dyDescent="0.2">
      <c r="A13" s="10" t="s">
        <v>62</v>
      </c>
      <c r="B13" s="21" t="s">
        <v>64</v>
      </c>
      <c r="C13" s="21" t="s">
        <v>66</v>
      </c>
      <c r="D13" s="21" t="s">
        <v>68</v>
      </c>
      <c r="E13" s="21" t="s">
        <v>70</v>
      </c>
      <c r="F13" s="21" t="s">
        <v>72</v>
      </c>
      <c r="G13" s="21" t="s">
        <v>74</v>
      </c>
      <c r="H13" s="24" t="s">
        <v>64</v>
      </c>
      <c r="I13" s="24" t="s">
        <v>66</v>
      </c>
      <c r="J13" s="24" t="s">
        <v>68</v>
      </c>
      <c r="K13" s="24" t="s">
        <v>70</v>
      </c>
      <c r="L13" s="24" t="s">
        <v>72</v>
      </c>
      <c r="M13" s="24" t="s">
        <v>76</v>
      </c>
      <c r="N13" s="24" t="s">
        <v>74</v>
      </c>
      <c r="O13" s="29" t="s">
        <v>77</v>
      </c>
      <c r="P13" s="29" t="s">
        <v>79</v>
      </c>
      <c r="Q13" s="29" t="s">
        <v>70</v>
      </c>
      <c r="R13" s="29" t="s">
        <v>72</v>
      </c>
      <c r="S13" s="29" t="s">
        <v>74</v>
      </c>
      <c r="T13" s="10" t="str">
        <f>Traveling_Line!B3</f>
        <v>L</v>
      </c>
      <c r="U13" s="10" t="str">
        <f>Traveling_Line!C3</f>
        <v>m</v>
      </c>
      <c r="V13" s="10" t="str">
        <f>Traveling_Line!D3</f>
        <v>ΔL</v>
      </c>
    </row>
    <row r="14" spans="1:22" x14ac:dyDescent="0.2">
      <c r="A14" s="10" t="s">
        <v>63</v>
      </c>
      <c r="B14" s="21" t="s">
        <v>81</v>
      </c>
      <c r="C14" s="21" t="s">
        <v>67</v>
      </c>
      <c r="D14" s="21" t="s">
        <v>69</v>
      </c>
      <c r="E14" s="21" t="s">
        <v>71</v>
      </c>
      <c r="F14" s="21" t="s">
        <v>73</v>
      </c>
      <c r="G14" s="21" t="s">
        <v>75</v>
      </c>
      <c r="H14" s="24" t="s">
        <v>65</v>
      </c>
      <c r="I14" s="24" t="s">
        <v>67</v>
      </c>
      <c r="J14" s="24" t="s">
        <v>69</v>
      </c>
      <c r="K14" s="24" t="s">
        <v>71</v>
      </c>
      <c r="L14" s="24" t="s">
        <v>73</v>
      </c>
      <c r="M14" s="24" t="s">
        <v>73</v>
      </c>
      <c r="N14" s="24" t="s">
        <v>75</v>
      </c>
      <c r="O14" s="29" t="s">
        <v>78</v>
      </c>
      <c r="P14" s="29" t="s">
        <v>80</v>
      </c>
      <c r="Q14" s="29" t="s">
        <v>71</v>
      </c>
      <c r="R14" s="29" t="s">
        <v>73</v>
      </c>
      <c r="S14" s="29" t="s">
        <v>75</v>
      </c>
      <c r="T14" s="10" t="str">
        <f>Traveling_Line!B4</f>
        <v>m</v>
      </c>
      <c r="U14" s="10" t="str">
        <f>Traveling_Line!C4</f>
        <v>m</v>
      </c>
      <c r="V14" s="10" t="str">
        <f>Traveling_Line!D4</f>
        <v>m</v>
      </c>
    </row>
    <row r="15" spans="1:22" x14ac:dyDescent="0.2">
      <c r="A15" s="11">
        <f>IF((ABS(U17)*B$2*9.806)^0.5&gt;B$7/3.6,B$7/3.6,(ABS(U17)*B$2*9.806)^0.5)</f>
        <v>41.666666666666664</v>
      </c>
      <c r="B15" s="2">
        <v>28.483709236146705</v>
      </c>
      <c r="C15" s="2"/>
      <c r="D15" s="2"/>
      <c r="E15" s="2"/>
      <c r="F15" s="2"/>
      <c r="G15" s="2"/>
      <c r="H15" s="2"/>
      <c r="I15" s="2">
        <v>41.666666666666664</v>
      </c>
      <c r="J15" s="2"/>
      <c r="K15" s="2"/>
      <c r="L15" s="2"/>
      <c r="M15" s="2">
        <v>-0.14527407407407406</v>
      </c>
      <c r="N15" s="2"/>
      <c r="O15" s="2"/>
      <c r="P15" s="2"/>
      <c r="Q15" s="9"/>
      <c r="R15" s="9"/>
      <c r="S15" s="9"/>
      <c r="T15" s="2">
        <f>Traveling_Line!B5</f>
        <v>0</v>
      </c>
      <c r="U15" s="2">
        <f>Traveling_Line!C5</f>
        <v>1000</v>
      </c>
      <c r="V15" s="9">
        <f>Traveling_Line!D5</f>
        <v>0</v>
      </c>
    </row>
    <row r="16" spans="1:22" x14ac:dyDescent="0.2">
      <c r="A16" s="11">
        <f t="shared" ref="A16:A79" si="0">IF((ABS(U18)*B$2*9.806)^0.5&gt;B$7/3.6,B$7/3.6,(ABS(U18)*B$2*9.806)^0.5)</f>
        <v>41.666666666666664</v>
      </c>
      <c r="B16" s="2">
        <v>26.996787485535602</v>
      </c>
      <c r="C16" s="2">
        <v>-1.4869217506111028</v>
      </c>
      <c r="D16" s="2">
        <v>0.18024351963114102</v>
      </c>
      <c r="E16" s="2">
        <v>0.8113216918493491</v>
      </c>
      <c r="F16" s="2">
        <v>-8.2495157310177412</v>
      </c>
      <c r="G16" s="2">
        <v>0.99234354329535523</v>
      </c>
      <c r="H16" s="2"/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Traveling_Line!B6</f>
        <v>5</v>
      </c>
      <c r="U16" s="2">
        <f>Traveling_Line!C6</f>
        <v>900</v>
      </c>
      <c r="V16" s="9">
        <f>Traveling_Line!D6</f>
        <v>5</v>
      </c>
    </row>
    <row r="17" spans="1:22" x14ac:dyDescent="0.2">
      <c r="A17" s="11">
        <f t="shared" si="0"/>
        <v>41.666666666666664</v>
      </c>
      <c r="B17" s="2">
        <v>25.423100904181322</v>
      </c>
      <c r="C17" s="2">
        <v>-1.5736865813542806</v>
      </c>
      <c r="D17" s="2">
        <v>0.19076728904218107</v>
      </c>
      <c r="E17" s="2">
        <v>0.8098072605990797</v>
      </c>
      <c r="F17" s="2">
        <v>-8.2492474954986577</v>
      </c>
      <c r="G17" s="2">
        <v>0.99230171881133922</v>
      </c>
      <c r="H17" s="2"/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Traveling_Line!B7</f>
        <v>10</v>
      </c>
      <c r="U17" s="2">
        <f>Traveling_Line!C7</f>
        <v>800</v>
      </c>
      <c r="V17" s="9">
        <f>Traveling_Line!D7</f>
        <v>5</v>
      </c>
    </row>
    <row r="18" spans="1:22" x14ac:dyDescent="0.2">
      <c r="A18" s="11">
        <f t="shared" si="0"/>
        <v>23.745420611141</v>
      </c>
      <c r="B18" s="2">
        <v>23.745420611141</v>
      </c>
      <c r="C18" s="2">
        <v>-1.6776802930403214</v>
      </c>
      <c r="D18" s="2">
        <v>0.20338215776701182</v>
      </c>
      <c r="E18" s="2">
        <v>0.80791757448023149</v>
      </c>
      <c r="F18" s="2">
        <v>-8.2489059584185309</v>
      </c>
      <c r="G18" s="2">
        <v>0.99224873721484075</v>
      </c>
      <c r="H18" s="2"/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Traveling_Line!B8</f>
        <v>15</v>
      </c>
      <c r="U18" s="2">
        <f>Traveling_Line!C8</f>
        <v>700</v>
      </c>
      <c r="V18" s="9">
        <f>Traveling_Line!D8</f>
        <v>5</v>
      </c>
    </row>
    <row r="19" spans="1:22" x14ac:dyDescent="0.2">
      <c r="A19" s="11">
        <f t="shared" si="0"/>
        <v>23.745420611141</v>
      </c>
      <c r="B19" s="2">
        <v>23.745420611141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9"/>
      <c r="R19" s="9"/>
      <c r="S19" s="9"/>
      <c r="T19" s="2">
        <f>Traveling_Line!B9</f>
        <v>20</v>
      </c>
      <c r="U19" s="2">
        <f>Traveling_Line!C9</f>
        <v>600</v>
      </c>
      <c r="V19" s="9">
        <f>Traveling_Line!D9</f>
        <v>5</v>
      </c>
    </row>
    <row r="20" spans="1:22" x14ac:dyDescent="0.2">
      <c r="A20" s="11">
        <f t="shared" si="0"/>
        <v>23.745420611141</v>
      </c>
      <c r="B20" s="2">
        <v>23.745420611141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9"/>
      <c r="R20" s="9"/>
      <c r="S20" s="9"/>
      <c r="T20" s="2">
        <f>Traveling_Line!B10</f>
        <v>25</v>
      </c>
      <c r="U20" s="2">
        <f>Traveling_Line!C10</f>
        <v>50</v>
      </c>
      <c r="V20" s="9">
        <f>Traveling_Line!D10</f>
        <v>5</v>
      </c>
    </row>
    <row r="21" spans="1:22" x14ac:dyDescent="0.2">
      <c r="A21" s="11">
        <f t="shared" si="0"/>
        <v>23.745420611141</v>
      </c>
      <c r="B21" s="2">
        <v>23.745420611141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9"/>
      <c r="R21" s="9"/>
      <c r="S21" s="9"/>
      <c r="T21" s="2">
        <f>Traveling_Line!B11</f>
        <v>30</v>
      </c>
      <c r="U21" s="2">
        <f>Traveling_Line!C11</f>
        <v>50</v>
      </c>
      <c r="V21" s="9">
        <f>Traveling_Line!D11</f>
        <v>5</v>
      </c>
    </row>
    <row r="22" spans="1:22" x14ac:dyDescent="0.2">
      <c r="A22" s="11">
        <f t="shared" si="0"/>
        <v>23.745420611141</v>
      </c>
      <c r="B22" s="2">
        <v>23.745420611141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9"/>
      <c r="R22" s="9"/>
      <c r="S22" s="9"/>
      <c r="T22" s="2">
        <f>Traveling_Line!B12</f>
        <v>35</v>
      </c>
      <c r="U22" s="2">
        <f>Traveling_Line!C12</f>
        <v>50</v>
      </c>
      <c r="V22" s="9">
        <f>Traveling_Line!D12</f>
        <v>5</v>
      </c>
    </row>
    <row r="23" spans="1:22" x14ac:dyDescent="0.2">
      <c r="A23" s="11">
        <f t="shared" si="0"/>
        <v>23.745420611141</v>
      </c>
      <c r="B23" s="2">
        <v>23.745420611141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9"/>
      <c r="R23" s="9"/>
      <c r="S23" s="9"/>
      <c r="T23" s="2">
        <f>Traveling_Line!B13</f>
        <v>40</v>
      </c>
      <c r="U23" s="2">
        <f>Traveling_Line!C13</f>
        <v>50</v>
      </c>
      <c r="V23" s="9">
        <f>Traveling_Line!D13</f>
        <v>5</v>
      </c>
    </row>
    <row r="24" spans="1:22" x14ac:dyDescent="0.2">
      <c r="A24" s="11">
        <f t="shared" si="0"/>
        <v>23.745420611141</v>
      </c>
      <c r="B24" s="2">
        <v>23.745420611141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9"/>
      <c r="R24" s="9"/>
      <c r="S24" s="9"/>
      <c r="T24" s="2">
        <f>Traveling_Line!B14</f>
        <v>45</v>
      </c>
      <c r="U24" s="2">
        <f>Traveling_Line!C14</f>
        <v>50</v>
      </c>
      <c r="V24" s="9">
        <f>Traveling_Line!D14</f>
        <v>5</v>
      </c>
    </row>
    <row r="25" spans="1:22" x14ac:dyDescent="0.2">
      <c r="A25" s="11">
        <f t="shared" si="0"/>
        <v>23.745420611141</v>
      </c>
      <c r="B25" s="2">
        <v>23.745420611141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9"/>
      <c r="R25" s="9"/>
      <c r="S25" s="9"/>
      <c r="T25" s="2">
        <f>Traveling_Line!B15</f>
        <v>50</v>
      </c>
      <c r="U25" s="2">
        <f>Traveling_Line!C15</f>
        <v>50</v>
      </c>
      <c r="V25" s="9">
        <f>Traveling_Line!D15</f>
        <v>5</v>
      </c>
    </row>
    <row r="26" spans="1:22" x14ac:dyDescent="0.2">
      <c r="A26" s="11">
        <f t="shared" si="0"/>
        <v>23.745420611141</v>
      </c>
      <c r="B26" s="2">
        <v>23.745420611141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9"/>
      <c r="R26" s="9"/>
      <c r="S26" s="9"/>
      <c r="T26" s="2">
        <f>Traveling_Line!B16</f>
        <v>55</v>
      </c>
      <c r="U26" s="2">
        <f>Traveling_Line!C16</f>
        <v>50</v>
      </c>
      <c r="V26" s="9">
        <f>Traveling_Line!D16</f>
        <v>5</v>
      </c>
    </row>
    <row r="27" spans="1:22" x14ac:dyDescent="0.2">
      <c r="A27" s="11">
        <f t="shared" si="0"/>
        <v>23.745420611141</v>
      </c>
      <c r="B27" s="2">
        <v>23.745420611141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9"/>
      <c r="R27" s="9"/>
      <c r="S27" s="9"/>
      <c r="T27" s="2">
        <f>Traveling_Line!B17</f>
        <v>60</v>
      </c>
      <c r="U27" s="2">
        <f>Traveling_Line!C17</f>
        <v>50</v>
      </c>
      <c r="V27" s="9">
        <f>Traveling_Line!D17</f>
        <v>5</v>
      </c>
    </row>
    <row r="28" spans="1:22" x14ac:dyDescent="0.2">
      <c r="A28" s="11">
        <f t="shared" si="0"/>
        <v>23.745420611141</v>
      </c>
      <c r="B28" s="2">
        <v>23.745420611141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9"/>
      <c r="R28" s="9"/>
      <c r="S28" s="9"/>
      <c r="T28" s="2">
        <f>Traveling_Line!B18</f>
        <v>65</v>
      </c>
      <c r="U28" s="2">
        <f>Traveling_Line!C18</f>
        <v>50</v>
      </c>
      <c r="V28" s="9">
        <f>Traveling_Line!D18</f>
        <v>5</v>
      </c>
    </row>
    <row r="29" spans="1:22" x14ac:dyDescent="0.2">
      <c r="A29" s="11">
        <f t="shared" si="0"/>
        <v>33.581095872529232</v>
      </c>
      <c r="B29" s="2">
        <v>33.556700407147076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9"/>
      <c r="R29" s="9"/>
      <c r="S29" s="9"/>
      <c r="T29" s="2">
        <f>Traveling_Line!B19</f>
        <v>70</v>
      </c>
      <c r="U29" s="2">
        <f>Traveling_Line!C19</f>
        <v>50</v>
      </c>
      <c r="V29" s="9">
        <f>Traveling_Line!D19</f>
        <v>5</v>
      </c>
    </row>
    <row r="30" spans="1:22" x14ac:dyDescent="0.2">
      <c r="A30" s="11">
        <f t="shared" si="0"/>
        <v>33.581095872529232</v>
      </c>
      <c r="B30" s="2">
        <v>33.55670895782778</v>
      </c>
      <c r="C30" s="2">
        <v>8.5506807039337218E-6</v>
      </c>
      <c r="D30" s="2">
        <v>0.14900151988432284</v>
      </c>
      <c r="E30" s="2">
        <v>22.521042844300496</v>
      </c>
      <c r="F30" s="2">
        <v>5.7386533443229526E-5</v>
      </c>
      <c r="G30" s="2">
        <v>1.9970951985416501</v>
      </c>
      <c r="H30" s="2"/>
      <c r="I30" s="2"/>
      <c r="J30" s="2"/>
      <c r="K30" s="2"/>
      <c r="L30" s="2"/>
      <c r="M30" s="2"/>
      <c r="N30" s="2"/>
      <c r="O30" s="2"/>
      <c r="P30" s="2"/>
      <c r="Q30" s="9"/>
      <c r="R30" s="9"/>
      <c r="S30" s="9"/>
      <c r="T30" s="2">
        <f>Traveling_Line!B20</f>
        <v>75</v>
      </c>
      <c r="U30" s="2">
        <f>Traveling_Line!C20</f>
        <v>50</v>
      </c>
      <c r="V30" s="9">
        <f>Traveling_Line!D20</f>
        <v>5</v>
      </c>
    </row>
    <row r="31" spans="1:22" x14ac:dyDescent="0.2">
      <c r="A31" s="11">
        <f t="shared" si="0"/>
        <v>33.581095872529232</v>
      </c>
      <c r="B31" s="2">
        <v>33.568902413675211</v>
      </c>
      <c r="C31" s="2">
        <v>1.2193455847430812E-2</v>
      </c>
      <c r="D31" s="2">
        <v>0.14897443458139326</v>
      </c>
      <c r="E31" s="2">
        <v>22.521054321607185</v>
      </c>
      <c r="F31" s="2">
        <v>8.1849317849022135E-2</v>
      </c>
      <c r="G31" s="2">
        <v>1.9971203585037918</v>
      </c>
      <c r="H31" s="2"/>
      <c r="I31" s="2"/>
      <c r="J31" s="2"/>
      <c r="K31" s="2"/>
      <c r="L31" s="2"/>
      <c r="M31" s="2"/>
      <c r="N31" s="2"/>
      <c r="O31" s="2"/>
      <c r="P31" s="2"/>
      <c r="Q31" s="9"/>
      <c r="R31" s="9"/>
      <c r="S31" s="9"/>
      <c r="T31" s="2">
        <f>Traveling_Line!B21</f>
        <v>80</v>
      </c>
      <c r="U31" s="2">
        <f>Traveling_Line!C21</f>
        <v>100</v>
      </c>
      <c r="V31" s="9">
        <f>Traveling_Line!D21</f>
        <v>5</v>
      </c>
    </row>
    <row r="32" spans="1:22" x14ac:dyDescent="0.2">
      <c r="A32" s="11">
        <f t="shared" si="0"/>
        <v>33.581095872529232</v>
      </c>
      <c r="B32" s="2">
        <v>33.568898124738382</v>
      </c>
      <c r="C32" s="2">
        <v>-4.2889368288001606E-6</v>
      </c>
      <c r="D32" s="2">
        <v>0.14894738760883888</v>
      </c>
      <c r="E32" s="2">
        <v>11.268712092588494</v>
      </c>
      <c r="F32" s="2">
        <v>-2.8794978533384129E-5</v>
      </c>
      <c r="G32" s="2">
        <v>0.99927392214667488</v>
      </c>
      <c r="H32" s="2"/>
      <c r="I32" s="2"/>
      <c r="J32" s="2"/>
      <c r="K32" s="2"/>
      <c r="L32" s="2"/>
      <c r="M32" s="2"/>
      <c r="N32" s="2"/>
      <c r="O32" s="2"/>
      <c r="P32" s="2"/>
      <c r="Q32" s="9"/>
      <c r="R32" s="9"/>
      <c r="S32" s="9"/>
      <c r="T32" s="2">
        <f>Traveling_Line!B22</f>
        <v>85</v>
      </c>
      <c r="U32" s="2">
        <f>Traveling_Line!C22</f>
        <v>100</v>
      </c>
      <c r="V32" s="9">
        <f>Traveling_Line!D22</f>
        <v>5</v>
      </c>
    </row>
    <row r="33" spans="1:22" x14ac:dyDescent="0.2">
      <c r="A33" s="11">
        <f t="shared" si="0"/>
        <v>33.581095872529232</v>
      </c>
      <c r="B33" s="2">
        <v>33.556665907492942</v>
      </c>
      <c r="C33" s="2">
        <v>-1.2232217245440324E-2</v>
      </c>
      <c r="D33" s="2">
        <v>0.14897453964332208</v>
      </c>
      <c r="E33" s="2">
        <v>11.26870921309064</v>
      </c>
      <c r="F33" s="2">
        <v>-8.2109448196496876E-2</v>
      </c>
      <c r="G33" s="2">
        <v>0.99932222243200386</v>
      </c>
      <c r="H33" s="2"/>
      <c r="I33" s="2"/>
      <c r="J33" s="2"/>
      <c r="K33" s="2"/>
      <c r="L33" s="2"/>
      <c r="M33" s="2"/>
      <c r="N33" s="2"/>
      <c r="O33" s="2"/>
      <c r="P33" s="2"/>
      <c r="Q33" s="9"/>
      <c r="R33" s="9"/>
      <c r="S33" s="9"/>
      <c r="T33" s="2">
        <f>Traveling_Line!B23</f>
        <v>90</v>
      </c>
      <c r="U33" s="2">
        <f>Traveling_Line!C23</f>
        <v>100</v>
      </c>
      <c r="V33" s="9">
        <f>Traveling_Line!D23</f>
        <v>5</v>
      </c>
    </row>
    <row r="34" spans="1:22" x14ac:dyDescent="0.2">
      <c r="A34" s="11">
        <f t="shared" si="0"/>
        <v>33.581095872529232</v>
      </c>
      <c r="B34" s="2">
        <v>33.507596879168474</v>
      </c>
      <c r="C34" s="2">
        <v>-4.9069028324467467E-2</v>
      </c>
      <c r="D34" s="2">
        <v>0.14911071238956383</v>
      </c>
      <c r="E34" s="2">
        <v>11.260498268270991</v>
      </c>
      <c r="F34" s="2">
        <v>-0.32907782102382188</v>
      </c>
      <c r="G34" s="2">
        <v>0.99932574990241818</v>
      </c>
      <c r="H34" s="2"/>
      <c r="I34" s="2"/>
      <c r="J34" s="2"/>
      <c r="K34" s="2"/>
      <c r="L34" s="2"/>
      <c r="M34" s="2"/>
      <c r="N34" s="2"/>
      <c r="O34" s="2"/>
      <c r="P34" s="2"/>
      <c r="Q34" s="9"/>
      <c r="R34" s="9"/>
      <c r="S34" s="9"/>
      <c r="T34" s="2">
        <f>Traveling_Line!B24</f>
        <v>95</v>
      </c>
      <c r="U34" s="2">
        <f>Traveling_Line!C24</f>
        <v>100</v>
      </c>
      <c r="V34" s="9">
        <f>Traveling_Line!D24</f>
        <v>5</v>
      </c>
    </row>
    <row r="35" spans="1:22" x14ac:dyDescent="0.2">
      <c r="A35" s="11">
        <f t="shared" si="0"/>
        <v>33.581095872529232</v>
      </c>
      <c r="B35" s="2">
        <v>33.408790662915649</v>
      </c>
      <c r="C35" s="2">
        <v>-9.8806216252825152E-2</v>
      </c>
      <c r="D35" s="2">
        <v>0.14944022484344271</v>
      </c>
      <c r="E35" s="2">
        <v>11.227590486168609</v>
      </c>
      <c r="F35" s="2">
        <v>-0.6611755058341019</v>
      </c>
      <c r="G35" s="2">
        <v>0.99878237390949975</v>
      </c>
      <c r="H35" s="2"/>
      <c r="I35" s="2"/>
      <c r="J35" s="2"/>
      <c r="K35" s="2"/>
      <c r="L35" s="2"/>
      <c r="M35" s="2"/>
      <c r="N35" s="2"/>
      <c r="O35" s="2"/>
      <c r="P35" s="2"/>
      <c r="Q35" s="9"/>
      <c r="R35" s="9"/>
      <c r="S35" s="9"/>
      <c r="T35" s="2">
        <f>Traveling_Line!B25</f>
        <v>100</v>
      </c>
      <c r="U35" s="2">
        <f>Traveling_Line!C25</f>
        <v>100</v>
      </c>
      <c r="V35" s="9">
        <f>Traveling_Line!D25</f>
        <v>5</v>
      </c>
    </row>
    <row r="36" spans="1:22" x14ac:dyDescent="0.2">
      <c r="A36" s="11">
        <f t="shared" si="0"/>
        <v>33.581095872529232</v>
      </c>
      <c r="B36" s="2">
        <v>33.246455899336731</v>
      </c>
      <c r="C36" s="2">
        <v>-0.16233476357891874</v>
      </c>
      <c r="D36" s="2">
        <v>0.15002569963732026</v>
      </c>
      <c r="E36" s="2">
        <v>11.161472935585198</v>
      </c>
      <c r="F36" s="2">
        <v>-1.0820463691977777</v>
      </c>
      <c r="G36" s="2">
        <v>0.99824149203394041</v>
      </c>
      <c r="H36" s="2"/>
      <c r="I36" s="2"/>
      <c r="J36" s="2"/>
      <c r="K36" s="2"/>
      <c r="L36" s="2"/>
      <c r="M36" s="2"/>
      <c r="N36" s="2"/>
      <c r="O36" s="2"/>
      <c r="P36" s="2"/>
      <c r="Q36" s="9"/>
      <c r="R36" s="9"/>
      <c r="S36" s="9"/>
      <c r="T36" s="2">
        <f>Traveling_Line!B26</f>
        <v>105</v>
      </c>
      <c r="U36" s="2">
        <f>Traveling_Line!C26</f>
        <v>100</v>
      </c>
      <c r="V36" s="9">
        <f>Traveling_Line!D26</f>
        <v>5</v>
      </c>
    </row>
    <row r="37" spans="1:22" x14ac:dyDescent="0.2">
      <c r="A37" s="11">
        <f t="shared" si="0"/>
        <v>33.581095872529232</v>
      </c>
      <c r="B37" s="2">
        <v>33.005642692488948</v>
      </c>
      <c r="C37" s="2">
        <v>-0.24081320684778262</v>
      </c>
      <c r="D37" s="2">
        <v>0.15093861496538047</v>
      </c>
      <c r="E37" s="2">
        <v>11.05326829866542</v>
      </c>
      <c r="F37" s="2">
        <v>-1.5954380322293003</v>
      </c>
      <c r="G37" s="2">
        <v>0.9986840860581262</v>
      </c>
      <c r="H37" s="2"/>
      <c r="I37" s="2"/>
      <c r="J37" s="2"/>
      <c r="K37" s="2"/>
      <c r="L37" s="2"/>
      <c r="M37" s="2"/>
      <c r="N37" s="2"/>
      <c r="O37" s="2"/>
      <c r="P37" s="2"/>
      <c r="Q37" s="9"/>
      <c r="R37" s="9"/>
      <c r="S37" s="9"/>
      <c r="T37" s="2">
        <f>Traveling_Line!B27</f>
        <v>110</v>
      </c>
      <c r="U37" s="2">
        <f>Traveling_Line!C27</f>
        <v>100</v>
      </c>
      <c r="V37" s="9">
        <f>Traveling_Line!D27</f>
        <v>5</v>
      </c>
    </row>
    <row r="38" spans="1:22" x14ac:dyDescent="0.2">
      <c r="A38" s="11">
        <f t="shared" si="0"/>
        <v>33.581095872529232</v>
      </c>
      <c r="B38" s="2">
        <v>32.688651230329938</v>
      </c>
      <c r="C38" s="2">
        <v>-0.31699146215900953</v>
      </c>
      <c r="D38" s="2">
        <v>0.15222022192290438</v>
      </c>
      <c r="E38" s="2">
        <v>10.893724495442491</v>
      </c>
      <c r="F38" s="2">
        <v>-2.0824530286098093</v>
      </c>
      <c r="G38" s="2">
        <v>0.99780643756384912</v>
      </c>
      <c r="H38" s="2"/>
      <c r="I38" s="2"/>
      <c r="J38" s="2"/>
      <c r="K38" s="2"/>
      <c r="L38" s="2"/>
      <c r="M38" s="2"/>
      <c r="N38" s="2"/>
      <c r="O38" s="2"/>
      <c r="P38" s="2"/>
      <c r="Q38" s="9"/>
      <c r="R38" s="9"/>
      <c r="S38" s="9"/>
      <c r="T38" s="2">
        <f>Traveling_Line!B28</f>
        <v>115</v>
      </c>
      <c r="U38" s="2">
        <f>Traveling_Line!C28</f>
        <v>100</v>
      </c>
      <c r="V38" s="9">
        <f>Traveling_Line!D28</f>
        <v>5</v>
      </c>
    </row>
    <row r="39" spans="1:22" x14ac:dyDescent="0.2">
      <c r="A39" s="11">
        <f t="shared" si="0"/>
        <v>33.581095872529232</v>
      </c>
      <c r="B39" s="2">
        <v>32.283500610765429</v>
      </c>
      <c r="C39" s="2">
        <v>-0.40515061956450893</v>
      </c>
      <c r="D39" s="2">
        <v>0.15391209489963245</v>
      </c>
      <c r="E39" s="2">
        <v>10.685479192581511</v>
      </c>
      <c r="F39" s="2">
        <v>-2.6323507572859137</v>
      </c>
      <c r="G39" s="2">
        <v>0.99879880008710931</v>
      </c>
      <c r="H39" s="2"/>
      <c r="I39" s="2"/>
      <c r="J39" s="2"/>
      <c r="K39" s="2"/>
      <c r="L39" s="2"/>
      <c r="M39" s="2"/>
      <c r="N39" s="2"/>
      <c r="O39" s="2"/>
      <c r="P39" s="2"/>
      <c r="Q39" s="9"/>
      <c r="R39" s="9"/>
      <c r="S39" s="9"/>
      <c r="T39" s="2">
        <f>Traveling_Line!B29</f>
        <v>120</v>
      </c>
      <c r="U39" s="2">
        <f>Traveling_Line!C29</f>
        <v>100</v>
      </c>
      <c r="V39" s="9">
        <f>Traveling_Line!D29</f>
        <v>5</v>
      </c>
    </row>
    <row r="40" spans="1:22" x14ac:dyDescent="0.2">
      <c r="A40" s="11">
        <f t="shared" si="0"/>
        <v>33.581095872529232</v>
      </c>
      <c r="B40" s="2">
        <v>31.795281588255513</v>
      </c>
      <c r="C40" s="2">
        <v>-0.48821902250991656</v>
      </c>
      <c r="D40" s="2">
        <v>0.1560578971201608</v>
      </c>
      <c r="E40" s="2">
        <v>10.422244116852919</v>
      </c>
      <c r="F40" s="2">
        <v>-3.1284480408831841</v>
      </c>
      <c r="G40" s="2">
        <v>0.99751853109025257</v>
      </c>
      <c r="H40" s="2"/>
      <c r="I40" s="2"/>
      <c r="J40" s="2"/>
      <c r="K40" s="2"/>
      <c r="L40" s="2"/>
      <c r="M40" s="2"/>
      <c r="N40" s="2"/>
      <c r="O40" s="2"/>
      <c r="P40" s="2"/>
      <c r="Q40" s="9"/>
      <c r="R40" s="9"/>
      <c r="S40" s="9"/>
      <c r="T40" s="2">
        <f>Traveling_Line!B30</f>
        <v>125</v>
      </c>
      <c r="U40" s="2">
        <f>Traveling_Line!C30</f>
        <v>100</v>
      </c>
      <c r="V40" s="9">
        <f>Traveling_Line!D30</f>
        <v>5</v>
      </c>
    </row>
    <row r="41" spans="1:22" x14ac:dyDescent="0.2">
      <c r="A41" s="11">
        <f t="shared" si="0"/>
        <v>33.581095872529232</v>
      </c>
      <c r="B41" s="2">
        <v>31.219973381702694</v>
      </c>
      <c r="C41" s="2">
        <v>-0.575308206552819</v>
      </c>
      <c r="D41" s="2">
        <v>0.15869173273626178</v>
      </c>
      <c r="E41" s="2">
        <v>10.1093993127646</v>
      </c>
      <c r="F41" s="2">
        <v>-3.6253193322235271</v>
      </c>
      <c r="G41" s="2">
        <v>0.9964115951979714</v>
      </c>
      <c r="H41" s="2"/>
      <c r="I41" s="2"/>
      <c r="J41" s="2"/>
      <c r="K41" s="2"/>
      <c r="L41" s="2"/>
      <c r="M41" s="2"/>
      <c r="N41" s="2"/>
      <c r="O41" s="2"/>
      <c r="P41" s="2"/>
      <c r="Q41" s="9"/>
      <c r="R41" s="9"/>
      <c r="S41" s="9"/>
      <c r="T41" s="2">
        <f>Traveling_Line!B31</f>
        <v>130</v>
      </c>
      <c r="U41" s="2">
        <f>Traveling_Line!C31</f>
        <v>100</v>
      </c>
      <c r="V41" s="9">
        <f>Traveling_Line!D31</f>
        <v>5</v>
      </c>
    </row>
    <row r="42" spans="1:22" x14ac:dyDescent="0.2">
      <c r="A42" s="11">
        <f t="shared" si="0"/>
        <v>33.581095872529232</v>
      </c>
      <c r="B42" s="2">
        <v>30.552524061831921</v>
      </c>
      <c r="C42" s="2">
        <v>-0.66744931987077294</v>
      </c>
      <c r="D42" s="2">
        <v>0.16188434034322249</v>
      </c>
      <c r="E42" s="2">
        <v>9.7468673795422482</v>
      </c>
      <c r="F42" s="2">
        <v>-4.1230011405406239</v>
      </c>
      <c r="G42" s="2">
        <v>0.99585919221599695</v>
      </c>
      <c r="H42" s="2"/>
      <c r="I42" s="2"/>
      <c r="J42" s="2"/>
      <c r="K42" s="2"/>
      <c r="L42" s="2"/>
      <c r="M42" s="2"/>
      <c r="N42" s="2"/>
      <c r="O42" s="2"/>
      <c r="P42" s="2"/>
      <c r="Q42" s="9"/>
      <c r="R42" s="9"/>
      <c r="S42" s="9"/>
      <c r="T42" s="2">
        <f>Traveling_Line!B32</f>
        <v>135</v>
      </c>
      <c r="U42" s="2">
        <f>Traveling_Line!C32</f>
        <v>100</v>
      </c>
      <c r="V42" s="9">
        <f>Traveling_Line!D32</f>
        <v>5</v>
      </c>
    </row>
    <row r="43" spans="1:22" x14ac:dyDescent="0.2">
      <c r="A43" s="11">
        <f t="shared" si="0"/>
        <v>33.581095872529232</v>
      </c>
      <c r="B43" s="2">
        <v>29.78659273006927</v>
      </c>
      <c r="C43" s="2">
        <v>-0.76593133176265127</v>
      </c>
      <c r="D43" s="2">
        <v>0.16572996973900381</v>
      </c>
      <c r="E43" s="2">
        <v>9.3345672654881859</v>
      </c>
      <c r="F43" s="2">
        <v>-4.6215620081803026</v>
      </c>
      <c r="G43" s="2">
        <v>0.99630495171162847</v>
      </c>
      <c r="H43" s="2"/>
      <c r="I43" s="2"/>
      <c r="J43" s="2"/>
      <c r="K43" s="2"/>
      <c r="L43" s="2"/>
      <c r="M43" s="2"/>
      <c r="N43" s="2"/>
      <c r="O43" s="2"/>
      <c r="P43" s="2"/>
      <c r="Q43" s="9"/>
      <c r="R43" s="9"/>
      <c r="S43" s="9"/>
      <c r="T43" s="2">
        <f>Traveling_Line!B33</f>
        <v>140</v>
      </c>
      <c r="U43" s="2">
        <f>Traveling_Line!C33</f>
        <v>100</v>
      </c>
      <c r="V43" s="9">
        <f>Traveling_Line!D33</f>
        <v>5</v>
      </c>
    </row>
    <row r="44" spans="1:22" x14ac:dyDescent="0.2">
      <c r="A44" s="11">
        <f t="shared" si="0"/>
        <v>41.666666666666664</v>
      </c>
      <c r="B44" s="2">
        <v>28.9141827925332</v>
      </c>
      <c r="C44" s="2">
        <v>-0.87240993753606944</v>
      </c>
      <c r="D44" s="2">
        <v>0.17035550060406859</v>
      </c>
      <c r="E44" s="2">
        <v>8.8724110646701551</v>
      </c>
      <c r="F44" s="2">
        <v>-5.1211139906992456</v>
      </c>
      <c r="G44" s="2">
        <v>0.99825366823477657</v>
      </c>
      <c r="H44" s="2"/>
      <c r="I44" s="2"/>
      <c r="J44" s="2"/>
      <c r="K44" s="2"/>
      <c r="L44" s="2"/>
      <c r="M44" s="2"/>
      <c r="N44" s="2"/>
      <c r="O44" s="2"/>
      <c r="P44" s="2"/>
      <c r="Q44" s="9"/>
      <c r="R44" s="9"/>
      <c r="S44" s="9"/>
      <c r="T44" s="2">
        <f>Traveling_Line!B34</f>
        <v>145</v>
      </c>
      <c r="U44" s="2">
        <f>Traveling_Line!C34</f>
        <v>100</v>
      </c>
      <c r="V44" s="9">
        <f>Traveling_Line!D34</f>
        <v>5</v>
      </c>
    </row>
    <row r="45" spans="1:22" x14ac:dyDescent="0.2">
      <c r="A45" s="11">
        <f t="shared" si="0"/>
        <v>41.666666666666664</v>
      </c>
      <c r="B45" s="2">
        <v>27.94015183550313</v>
      </c>
      <c r="C45" s="2">
        <v>-0.97403095703007025</v>
      </c>
      <c r="D45" s="2">
        <v>0.17588808426699526</v>
      </c>
      <c r="E45" s="2">
        <v>8.3602996656002304</v>
      </c>
      <c r="F45" s="2">
        <v>-5.5377881969054084</v>
      </c>
      <c r="G45" s="2">
        <v>0.99551051537012569</v>
      </c>
      <c r="H45" s="2"/>
      <c r="I45" s="2"/>
      <c r="J45" s="2"/>
      <c r="K45" s="2"/>
      <c r="L45" s="2"/>
      <c r="M45" s="2"/>
      <c r="N45" s="2"/>
      <c r="O45" s="2"/>
      <c r="P45" s="2"/>
      <c r="Q45" s="9"/>
      <c r="R45" s="9"/>
      <c r="S45" s="9"/>
      <c r="T45" s="2">
        <f>Traveling_Line!B35</f>
        <v>150</v>
      </c>
      <c r="U45" s="2">
        <f>Traveling_Line!C35</f>
        <v>100</v>
      </c>
      <c r="V45" s="9">
        <f>Traveling_Line!D35</f>
        <v>5</v>
      </c>
    </row>
    <row r="46" spans="1:22" x14ac:dyDescent="0.2">
      <c r="A46" s="11">
        <f t="shared" si="0"/>
        <v>41.666666666666664</v>
      </c>
      <c r="B46" s="2">
        <v>26.853281989638067</v>
      </c>
      <c r="C46" s="2">
        <v>-1.0868698458650634</v>
      </c>
      <c r="D46" s="2">
        <v>0.18250361953792429</v>
      </c>
      <c r="E46" s="2">
        <v>7.8065208459096889</v>
      </c>
      <c r="F46" s="2">
        <v>-5.9553330975948757</v>
      </c>
      <c r="G46" s="2">
        <v>0.99484397705237937</v>
      </c>
      <c r="H46" s="2"/>
      <c r="I46" s="2"/>
      <c r="J46" s="2"/>
      <c r="K46" s="2"/>
      <c r="L46" s="2"/>
      <c r="M46" s="2"/>
      <c r="N46" s="2"/>
      <c r="O46" s="2"/>
      <c r="P46" s="2"/>
      <c r="Q46" s="9"/>
      <c r="R46" s="9"/>
      <c r="S46" s="9"/>
      <c r="T46" s="2">
        <f>Traveling_Line!B36</f>
        <v>155</v>
      </c>
      <c r="U46" s="2">
        <f>Traveling_Line!C36</f>
        <v>200</v>
      </c>
      <c r="V46" s="9">
        <f>Traveling_Line!D36</f>
        <v>5</v>
      </c>
    </row>
    <row r="47" spans="1:22" x14ac:dyDescent="0.2">
      <c r="A47" s="11">
        <f t="shared" si="0"/>
        <v>41.666666666666664</v>
      </c>
      <c r="B47" s="2">
        <v>25.355315841836255</v>
      </c>
      <c r="C47" s="2">
        <v>-1.4979661478018116</v>
      </c>
      <c r="D47" s="2">
        <v>0.19153933289454156</v>
      </c>
      <c r="E47" s="2">
        <v>3.6054937680751009</v>
      </c>
      <c r="F47" s="2">
        <v>-7.8206712175747599</v>
      </c>
      <c r="G47" s="2">
        <v>0.99125967921328784</v>
      </c>
      <c r="H47" s="2"/>
      <c r="I47" s="2"/>
      <c r="J47" s="2"/>
      <c r="K47" s="2"/>
      <c r="L47" s="2"/>
      <c r="M47" s="2"/>
      <c r="N47" s="2"/>
      <c r="O47" s="2"/>
      <c r="P47" s="2"/>
      <c r="Q47" s="9"/>
      <c r="R47" s="9"/>
      <c r="S47" s="9"/>
      <c r="T47" s="2">
        <f>Traveling_Line!B37</f>
        <v>160</v>
      </c>
      <c r="U47" s="2">
        <f>Traveling_Line!C37</f>
        <v>200</v>
      </c>
      <c r="V47" s="9">
        <f>Traveling_Line!D37</f>
        <v>5</v>
      </c>
    </row>
    <row r="48" spans="1:22" x14ac:dyDescent="0.2">
      <c r="A48" s="11">
        <f t="shared" si="0"/>
        <v>23.745420611141</v>
      </c>
      <c r="B48" s="2">
        <v>23.745420611141</v>
      </c>
      <c r="C48" s="2">
        <v>-1.6098952306952548</v>
      </c>
      <c r="D48" s="2">
        <v>0.2036629330310919</v>
      </c>
      <c r="E48" s="2">
        <v>3.2144602071963631</v>
      </c>
      <c r="F48" s="2">
        <v>-7.9047041439272725</v>
      </c>
      <c r="G48" s="2">
        <v>0.99027557113058196</v>
      </c>
      <c r="H48" s="2"/>
      <c r="I48" s="2"/>
      <c r="J48" s="2"/>
      <c r="K48" s="2"/>
      <c r="L48" s="2"/>
      <c r="M48" s="2"/>
      <c r="N48" s="2"/>
      <c r="O48" s="2"/>
      <c r="P48" s="2"/>
      <c r="Q48" s="9"/>
      <c r="R48" s="9"/>
      <c r="S48" s="9"/>
      <c r="T48" s="2">
        <f>Traveling_Line!B38</f>
        <v>165</v>
      </c>
      <c r="U48" s="2">
        <f>Traveling_Line!C38</f>
        <v>200</v>
      </c>
      <c r="V48" s="9">
        <f>Traveling_Line!D38</f>
        <v>5</v>
      </c>
    </row>
    <row r="49" spans="1:22" x14ac:dyDescent="0.2">
      <c r="A49" s="11">
        <f t="shared" si="0"/>
        <v>23.745420611141</v>
      </c>
      <c r="B49" s="2">
        <v>23.745420611141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9"/>
      <c r="R49" s="9"/>
      <c r="S49" s="9"/>
      <c r="T49" s="2">
        <f>Traveling_Line!B39</f>
        <v>170</v>
      </c>
      <c r="U49" s="2">
        <f>Traveling_Line!C39</f>
        <v>200</v>
      </c>
      <c r="V49" s="9">
        <f>Traveling_Line!D39</f>
        <v>5</v>
      </c>
    </row>
    <row r="50" spans="1:22" x14ac:dyDescent="0.2">
      <c r="A50" s="11">
        <f t="shared" si="0"/>
        <v>23.745420611141</v>
      </c>
      <c r="B50" s="2">
        <v>23.728463042401579</v>
      </c>
      <c r="C50" s="2">
        <v>-1.6957568739421447E-2</v>
      </c>
      <c r="D50" s="2">
        <v>0.21064213058654585</v>
      </c>
      <c r="E50" s="2">
        <v>2.819224999999999</v>
      </c>
      <c r="F50" s="2">
        <v>-8.050416453822444E-2</v>
      </c>
      <c r="G50" s="2">
        <v>0.25018650183010788</v>
      </c>
      <c r="H50" s="2"/>
      <c r="I50" s="2"/>
      <c r="J50" s="2"/>
      <c r="K50" s="2"/>
      <c r="L50" s="2"/>
      <c r="M50" s="2"/>
      <c r="N50" s="2"/>
      <c r="O50" s="2"/>
      <c r="P50" s="2"/>
      <c r="Q50" s="9"/>
      <c r="R50" s="9"/>
      <c r="S50" s="9"/>
      <c r="T50" s="2">
        <f>Traveling_Line!B40</f>
        <v>175</v>
      </c>
      <c r="U50" s="2">
        <f>Traveling_Line!C40</f>
        <v>50</v>
      </c>
      <c r="V50" s="9">
        <f>Traveling_Line!D40</f>
        <v>5</v>
      </c>
    </row>
    <row r="51" spans="1:22" x14ac:dyDescent="0.2">
      <c r="A51" s="11">
        <f t="shared" si="0"/>
        <v>23.745420611141</v>
      </c>
      <c r="B51" s="2">
        <v>23.728463042401579</v>
      </c>
      <c r="C51" s="2">
        <v>0</v>
      </c>
      <c r="D51" s="2">
        <v>0.21071739838628611</v>
      </c>
      <c r="E51" s="2">
        <v>11.260799167092353</v>
      </c>
      <c r="F51" s="2">
        <v>0</v>
      </c>
      <c r="G51" s="2">
        <v>0.99857222881220509</v>
      </c>
      <c r="H51" s="2"/>
      <c r="I51" s="2"/>
      <c r="J51" s="2"/>
      <c r="K51" s="2"/>
      <c r="L51" s="2"/>
      <c r="M51" s="2"/>
      <c r="N51" s="2"/>
      <c r="O51" s="2"/>
      <c r="P51" s="2"/>
      <c r="Q51" s="9"/>
      <c r="R51" s="9"/>
      <c r="S51" s="9"/>
      <c r="T51" s="2">
        <f>Traveling_Line!B41</f>
        <v>180</v>
      </c>
      <c r="U51" s="2">
        <f>Traveling_Line!C41</f>
        <v>50</v>
      </c>
      <c r="V51" s="9">
        <f>Traveling_Line!D41</f>
        <v>5</v>
      </c>
    </row>
    <row r="52" spans="1:22" x14ac:dyDescent="0.2">
      <c r="A52" s="11">
        <f t="shared" si="0"/>
        <v>23.745420611141</v>
      </c>
      <c r="B52" s="2">
        <v>23.728463042401579</v>
      </c>
      <c r="C52" s="2">
        <v>0</v>
      </c>
      <c r="D52" s="2">
        <v>0.21071739838628611</v>
      </c>
      <c r="E52" s="2">
        <v>11.260799167092353</v>
      </c>
      <c r="F52" s="2">
        <v>0</v>
      </c>
      <c r="G52" s="2">
        <v>0.99857222881220509</v>
      </c>
      <c r="H52" s="2"/>
      <c r="I52" s="2"/>
      <c r="J52" s="2"/>
      <c r="K52" s="2"/>
      <c r="L52" s="2"/>
      <c r="M52" s="2"/>
      <c r="N52" s="2"/>
      <c r="O52" s="2"/>
      <c r="P52" s="2"/>
      <c r="Q52" s="9"/>
      <c r="R52" s="9"/>
      <c r="S52" s="9"/>
      <c r="T52" s="2">
        <f>Traveling_Line!B42</f>
        <v>185</v>
      </c>
      <c r="U52" s="2">
        <f>Traveling_Line!C42</f>
        <v>50</v>
      </c>
      <c r="V52" s="9">
        <f>Traveling_Line!D42</f>
        <v>5</v>
      </c>
    </row>
    <row r="53" spans="1:22" x14ac:dyDescent="0.2">
      <c r="A53" s="11">
        <f t="shared" si="0"/>
        <v>23.745420611141</v>
      </c>
      <c r="B53" s="2">
        <v>23.728463042401579</v>
      </c>
      <c r="C53" s="2">
        <v>0</v>
      </c>
      <c r="D53" s="2">
        <v>0.21071739838628611</v>
      </c>
      <c r="E53" s="2">
        <v>11.260799167092353</v>
      </c>
      <c r="F53" s="2">
        <v>0</v>
      </c>
      <c r="G53" s="2">
        <v>0.99857222881220509</v>
      </c>
      <c r="H53" s="2"/>
      <c r="I53" s="2"/>
      <c r="J53" s="2"/>
      <c r="K53" s="2"/>
      <c r="L53" s="2"/>
      <c r="M53" s="2"/>
      <c r="N53" s="2"/>
      <c r="O53" s="2"/>
      <c r="P53" s="2"/>
      <c r="Q53" s="9"/>
      <c r="R53" s="9"/>
      <c r="S53" s="9"/>
      <c r="T53" s="2">
        <f>Traveling_Line!B43</f>
        <v>190</v>
      </c>
      <c r="U53" s="2">
        <f>Traveling_Line!C43</f>
        <v>50</v>
      </c>
      <c r="V53" s="9">
        <f>Traveling_Line!D43</f>
        <v>5</v>
      </c>
    </row>
    <row r="54" spans="1:22" x14ac:dyDescent="0.2">
      <c r="A54" s="11">
        <f t="shared" si="0"/>
        <v>23.745420611141</v>
      </c>
      <c r="B54" s="2">
        <v>23.728463042401579</v>
      </c>
      <c r="C54" s="2">
        <v>0</v>
      </c>
      <c r="D54" s="2">
        <v>0.21071739838628611</v>
      </c>
      <c r="E54" s="2">
        <v>11.260799167092353</v>
      </c>
      <c r="F54" s="2">
        <v>0</v>
      </c>
      <c r="G54" s="2">
        <v>0.99857222881220509</v>
      </c>
      <c r="H54" s="2"/>
      <c r="I54" s="2"/>
      <c r="J54" s="2"/>
      <c r="K54" s="2"/>
      <c r="L54" s="2"/>
      <c r="M54" s="2"/>
      <c r="N54" s="2"/>
      <c r="O54" s="2"/>
      <c r="P54" s="2"/>
      <c r="Q54" s="9"/>
      <c r="R54" s="9"/>
      <c r="S54" s="9"/>
      <c r="T54" s="2">
        <f>Traveling_Line!B44</f>
        <v>195</v>
      </c>
      <c r="U54" s="2">
        <f>Traveling_Line!C44</f>
        <v>50</v>
      </c>
      <c r="V54" s="9">
        <f>Traveling_Line!D44</f>
        <v>5</v>
      </c>
    </row>
    <row r="55" spans="1:22" x14ac:dyDescent="0.2">
      <c r="A55" s="11">
        <f t="shared" si="0"/>
        <v>23.745420611141</v>
      </c>
      <c r="B55" s="2">
        <v>23.728463042401579</v>
      </c>
      <c r="C55" s="2">
        <v>0</v>
      </c>
      <c r="D55" s="2">
        <v>0.21071739838628611</v>
      </c>
      <c r="E55" s="2">
        <v>11.260799167092353</v>
      </c>
      <c r="F55" s="2">
        <v>0</v>
      </c>
      <c r="G55" s="2">
        <v>0.99857222881220509</v>
      </c>
      <c r="H55" s="2"/>
      <c r="I55" s="2"/>
      <c r="J55" s="2"/>
      <c r="K55" s="2"/>
      <c r="L55" s="2"/>
      <c r="M55" s="2"/>
      <c r="N55" s="2"/>
      <c r="O55" s="2"/>
      <c r="P55" s="2"/>
      <c r="Q55" s="9"/>
      <c r="R55" s="9"/>
      <c r="S55" s="9"/>
      <c r="T55" s="2">
        <f>Traveling_Line!B45</f>
        <v>200</v>
      </c>
      <c r="U55" s="2">
        <f>Traveling_Line!C45</f>
        <v>50</v>
      </c>
      <c r="V55" s="9">
        <f>Traveling_Line!D45</f>
        <v>5</v>
      </c>
    </row>
    <row r="56" spans="1:22" x14ac:dyDescent="0.2">
      <c r="A56" s="11">
        <f t="shared" si="0"/>
        <v>23.745420611141</v>
      </c>
      <c r="B56" s="2">
        <v>23.728463042401579</v>
      </c>
      <c r="C56" s="2">
        <v>0</v>
      </c>
      <c r="D56" s="2">
        <v>0.21071739838628611</v>
      </c>
      <c r="E56" s="2">
        <v>11.260799167092353</v>
      </c>
      <c r="F56" s="2">
        <v>0</v>
      </c>
      <c r="G56" s="2">
        <v>0.99857222881220509</v>
      </c>
      <c r="H56" s="2"/>
      <c r="I56" s="2"/>
      <c r="J56" s="2"/>
      <c r="K56" s="2"/>
      <c r="L56" s="2"/>
      <c r="M56" s="2"/>
      <c r="N56" s="2"/>
      <c r="O56" s="2"/>
      <c r="P56" s="2"/>
      <c r="Q56" s="9"/>
      <c r="R56" s="9"/>
      <c r="S56" s="9"/>
      <c r="T56" s="2">
        <f>Traveling_Line!B46</f>
        <v>205</v>
      </c>
      <c r="U56" s="2">
        <f>Traveling_Line!C46</f>
        <v>50</v>
      </c>
      <c r="V56" s="9">
        <f>Traveling_Line!D46</f>
        <v>5</v>
      </c>
    </row>
    <row r="57" spans="1:22" x14ac:dyDescent="0.2">
      <c r="A57" s="11">
        <f t="shared" si="0"/>
        <v>23.745420611141</v>
      </c>
      <c r="B57" s="2">
        <v>23.728463042401579</v>
      </c>
      <c r="C57" s="2">
        <v>0</v>
      </c>
      <c r="D57" s="2">
        <v>0.21071739838628611</v>
      </c>
      <c r="E57" s="2">
        <v>11.260799167092353</v>
      </c>
      <c r="F57" s="2">
        <v>0</v>
      </c>
      <c r="G57" s="2">
        <v>0.99857222881220509</v>
      </c>
      <c r="H57" s="2"/>
      <c r="I57" s="2"/>
      <c r="J57" s="2"/>
      <c r="K57" s="2"/>
      <c r="L57" s="2"/>
      <c r="M57" s="2"/>
      <c r="N57" s="2"/>
      <c r="O57" s="2"/>
      <c r="P57" s="2"/>
      <c r="Q57" s="9"/>
      <c r="R57" s="9"/>
      <c r="S57" s="9"/>
      <c r="T57" s="2">
        <f>Traveling_Line!B47</f>
        <v>210</v>
      </c>
      <c r="U57" s="2">
        <f>Traveling_Line!C47</f>
        <v>50</v>
      </c>
      <c r="V57" s="9">
        <f>Traveling_Line!D47</f>
        <v>5</v>
      </c>
    </row>
    <row r="58" spans="1:22" x14ac:dyDescent="0.2">
      <c r="A58" s="11">
        <f t="shared" si="0"/>
        <v>23.745420611141</v>
      </c>
      <c r="B58" s="2">
        <v>23.728463042401579</v>
      </c>
      <c r="C58" s="2">
        <v>0</v>
      </c>
      <c r="D58" s="2">
        <v>0.21071739838628611</v>
      </c>
      <c r="E58" s="2">
        <v>11.260799167092353</v>
      </c>
      <c r="F58" s="2">
        <v>0</v>
      </c>
      <c r="G58" s="2">
        <v>0.99857222881220509</v>
      </c>
      <c r="H58" s="2"/>
      <c r="I58" s="2"/>
      <c r="J58" s="2"/>
      <c r="K58" s="2"/>
      <c r="L58" s="2"/>
      <c r="M58" s="2"/>
      <c r="N58" s="2"/>
      <c r="O58" s="2"/>
      <c r="P58" s="2"/>
      <c r="Q58" s="9"/>
      <c r="R58" s="9"/>
      <c r="S58" s="9"/>
      <c r="T58" s="2">
        <f>Traveling_Line!B48</f>
        <v>215</v>
      </c>
      <c r="U58" s="2">
        <f>Traveling_Line!C48</f>
        <v>50</v>
      </c>
      <c r="V58" s="9">
        <f>Traveling_Line!D48</f>
        <v>5</v>
      </c>
    </row>
    <row r="59" spans="1:22" x14ac:dyDescent="0.2">
      <c r="A59" s="11">
        <f t="shared" si="0"/>
        <v>23.745420611141</v>
      </c>
      <c r="B59" s="2">
        <v>23.728463042401579</v>
      </c>
      <c r="C59" s="2">
        <v>0</v>
      </c>
      <c r="D59" s="2">
        <v>0.21071739838628611</v>
      </c>
      <c r="E59" s="2">
        <v>11.260799167092353</v>
      </c>
      <c r="F59" s="2">
        <v>0</v>
      </c>
      <c r="G59" s="2">
        <v>0.99857222881220509</v>
      </c>
      <c r="H59" s="2"/>
      <c r="I59" s="2"/>
      <c r="J59" s="2"/>
      <c r="K59" s="2"/>
      <c r="L59" s="2"/>
      <c r="M59" s="2"/>
      <c r="N59" s="2"/>
      <c r="O59" s="2"/>
      <c r="P59" s="2"/>
      <c r="Q59" s="9"/>
      <c r="R59" s="9"/>
      <c r="S59" s="9"/>
      <c r="T59" s="2">
        <f>Traveling_Line!B49</f>
        <v>220</v>
      </c>
      <c r="U59" s="2">
        <f>Traveling_Line!C49</f>
        <v>50</v>
      </c>
      <c r="V59" s="9">
        <f>Traveling_Line!D49</f>
        <v>5</v>
      </c>
    </row>
    <row r="60" spans="1:22" x14ac:dyDescent="0.2">
      <c r="A60" s="11">
        <f t="shared" si="0"/>
        <v>23.745420611141</v>
      </c>
      <c r="B60" s="2">
        <v>23.728463042401579</v>
      </c>
      <c r="C60" s="2">
        <v>0</v>
      </c>
      <c r="D60" s="2">
        <v>0.21071739838628611</v>
      </c>
      <c r="E60" s="2">
        <v>11.260799167092353</v>
      </c>
      <c r="F60" s="2">
        <v>0</v>
      </c>
      <c r="G60" s="2">
        <v>0.99857222881220509</v>
      </c>
      <c r="H60" s="2"/>
      <c r="I60" s="2"/>
      <c r="J60" s="2"/>
      <c r="K60" s="2"/>
      <c r="L60" s="2"/>
      <c r="M60" s="2"/>
      <c r="N60" s="2"/>
      <c r="O60" s="2"/>
      <c r="P60" s="2"/>
      <c r="Q60" s="9"/>
      <c r="R60" s="9"/>
      <c r="S60" s="9"/>
      <c r="T60" s="2">
        <f>Traveling_Line!B50</f>
        <v>225</v>
      </c>
      <c r="U60" s="2">
        <f>Traveling_Line!C50</f>
        <v>50</v>
      </c>
      <c r="V60" s="9">
        <f>Traveling_Line!D50</f>
        <v>5</v>
      </c>
    </row>
    <row r="61" spans="1:22" x14ac:dyDescent="0.2">
      <c r="A61" s="11">
        <f t="shared" si="0"/>
        <v>23.745420611141</v>
      </c>
      <c r="B61" s="2">
        <v>23.728463042401579</v>
      </c>
      <c r="C61" s="2">
        <v>0</v>
      </c>
      <c r="D61" s="2">
        <v>0.21071739838628611</v>
      </c>
      <c r="E61" s="2">
        <v>11.260799167092353</v>
      </c>
      <c r="F61" s="2">
        <v>0</v>
      </c>
      <c r="G61" s="2">
        <v>0.99857222881220509</v>
      </c>
      <c r="H61" s="2"/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Traveling_Line!B51</f>
        <v>230</v>
      </c>
      <c r="U61" s="2">
        <f>Traveling_Line!C51</f>
        <v>50</v>
      </c>
      <c r="V61" s="9">
        <f>Traveling_Line!D51</f>
        <v>5</v>
      </c>
    </row>
    <row r="62" spans="1:22" x14ac:dyDescent="0.2">
      <c r="A62" s="11">
        <f t="shared" si="0"/>
        <v>23.745420611141</v>
      </c>
      <c r="B62" s="2">
        <v>23.728463042401579</v>
      </c>
      <c r="C62" s="2">
        <v>0</v>
      </c>
      <c r="D62" s="2">
        <v>0.21071739838628611</v>
      </c>
      <c r="E62" s="2">
        <v>11.260799167092353</v>
      </c>
      <c r="F62" s="2">
        <v>0</v>
      </c>
      <c r="G62" s="2">
        <v>0.99857222881220509</v>
      </c>
      <c r="H62" s="2"/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Traveling_Line!B52</f>
        <v>235</v>
      </c>
      <c r="U62" s="2">
        <f>Traveling_Line!C52</f>
        <v>50</v>
      </c>
      <c r="V62" s="9">
        <f>Traveling_Line!D52</f>
        <v>5</v>
      </c>
    </row>
    <row r="63" spans="1:22" x14ac:dyDescent="0.2">
      <c r="A63" s="11">
        <f t="shared" si="0"/>
        <v>23.745420611141</v>
      </c>
      <c r="B63" s="2">
        <v>23.728463042401579</v>
      </c>
      <c r="C63" s="2">
        <v>0</v>
      </c>
      <c r="D63" s="2">
        <v>0.21071739838628611</v>
      </c>
      <c r="E63" s="2">
        <v>11.260799167092353</v>
      </c>
      <c r="F63" s="2">
        <v>0</v>
      </c>
      <c r="G63" s="2">
        <v>0.99857222881220509</v>
      </c>
      <c r="H63" s="2"/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Traveling_Line!B53</f>
        <v>240</v>
      </c>
      <c r="U63" s="2">
        <f>Traveling_Line!C53</f>
        <v>50</v>
      </c>
      <c r="V63" s="9">
        <f>Traveling_Line!D53</f>
        <v>5</v>
      </c>
    </row>
    <row r="64" spans="1:22" x14ac:dyDescent="0.2">
      <c r="A64" s="11">
        <f t="shared" si="0"/>
        <v>23.745420611141</v>
      </c>
      <c r="B64" s="2">
        <v>23.728463042401579</v>
      </c>
      <c r="C64" s="2">
        <v>0</v>
      </c>
      <c r="D64" s="2">
        <v>0.21071739838628611</v>
      </c>
      <c r="E64" s="2">
        <v>11.260799167092353</v>
      </c>
      <c r="F64" s="2">
        <v>0</v>
      </c>
      <c r="G64" s="2">
        <v>0.99857222881220509</v>
      </c>
      <c r="H64" s="2"/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Traveling_Line!B54</f>
        <v>245</v>
      </c>
      <c r="U64" s="2">
        <f>Traveling_Line!C54</f>
        <v>50</v>
      </c>
      <c r="V64" s="9">
        <f>Traveling_Line!D54</f>
        <v>5</v>
      </c>
    </row>
    <row r="65" spans="1:22" x14ac:dyDescent="0.2">
      <c r="A65" s="11">
        <f t="shared" si="0"/>
        <v>23.745420611141</v>
      </c>
      <c r="B65" s="2">
        <v>23.728463042401572</v>
      </c>
      <c r="C65" s="2">
        <v>-7.1054273576010019E-15</v>
      </c>
      <c r="D65" s="2">
        <v>0.21071739838628614</v>
      </c>
      <c r="E65" s="2">
        <v>11.260799167092353</v>
      </c>
      <c r="F65" s="2">
        <v>-3.3720174091060891E-14</v>
      </c>
      <c r="G65" s="2">
        <v>0.99857222881220509</v>
      </c>
      <c r="H65" s="2"/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Traveling_Line!B55</f>
        <v>250</v>
      </c>
      <c r="U65" s="2">
        <f>Traveling_Line!C55</f>
        <v>50</v>
      </c>
      <c r="V65" s="9">
        <f>Traveling_Line!D55</f>
        <v>5</v>
      </c>
    </row>
    <row r="66" spans="1:22" x14ac:dyDescent="0.2">
      <c r="A66" s="11">
        <f t="shared" si="0"/>
        <v>23.745420611141</v>
      </c>
      <c r="B66" s="2">
        <v>23.728463042391397</v>
      </c>
      <c r="C66" s="2">
        <v>-1.0174971976084635E-11</v>
      </c>
      <c r="D66" s="2">
        <v>0.21071739838633136</v>
      </c>
      <c r="E66" s="2">
        <v>11.260799167092346</v>
      </c>
      <c r="F66" s="2">
        <v>-4.8287289298388831E-11</v>
      </c>
      <c r="G66" s="2">
        <v>0.99857222881220442</v>
      </c>
      <c r="H66" s="2"/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Traveling_Line!B56</f>
        <v>255</v>
      </c>
      <c r="U66" s="2">
        <f>Traveling_Line!C56</f>
        <v>50</v>
      </c>
      <c r="V66" s="9">
        <f>Traveling_Line!D56</f>
        <v>5</v>
      </c>
    </row>
    <row r="67" spans="1:22" x14ac:dyDescent="0.2">
      <c r="A67" s="11">
        <f t="shared" si="0"/>
        <v>23.745420611141</v>
      </c>
      <c r="B67" s="2">
        <v>23.728463027138755</v>
      </c>
      <c r="C67" s="2">
        <v>-1.5252641816232426E-8</v>
      </c>
      <c r="D67" s="2">
        <v>0.21071739845410103</v>
      </c>
      <c r="E67" s="2">
        <v>11.260799167082688</v>
      </c>
      <c r="F67" s="2">
        <v>-7.2384349503796632E-8</v>
      </c>
      <c r="G67" s="2">
        <v>0.99857222881134799</v>
      </c>
      <c r="H67" s="2"/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Traveling_Line!B57</f>
        <v>260</v>
      </c>
      <c r="U67" s="2">
        <f>Traveling_Line!C57</f>
        <v>50</v>
      </c>
      <c r="V67" s="9">
        <f>Traveling_Line!D57</f>
        <v>5</v>
      </c>
    </row>
    <row r="68" spans="1:22" x14ac:dyDescent="0.2">
      <c r="A68" s="11">
        <f t="shared" si="0"/>
        <v>23.745420611141</v>
      </c>
      <c r="B68" s="2">
        <v>23.728440159106249</v>
      </c>
      <c r="C68" s="2">
        <v>-2.2868032505840574E-5</v>
      </c>
      <c r="D68" s="2">
        <v>0.21071750006010545</v>
      </c>
      <c r="E68" s="2">
        <v>11.260799152605818</v>
      </c>
      <c r="F68" s="2">
        <v>-1.0852460046895798E-4</v>
      </c>
      <c r="G68" s="2">
        <v>0.99857222761246867</v>
      </c>
      <c r="H68" s="2"/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Traveling_Line!B58</f>
        <v>265</v>
      </c>
      <c r="U68" s="2">
        <f>Traveling_Line!C58</f>
        <v>50</v>
      </c>
      <c r="V68" s="9">
        <f>Traveling_Line!D58</f>
        <v>5</v>
      </c>
    </row>
    <row r="69" spans="1:22" x14ac:dyDescent="0.2">
      <c r="A69" s="11">
        <f t="shared" si="0"/>
        <v>23.745420611141</v>
      </c>
      <c r="B69" s="2">
        <v>23.694199165684608</v>
      </c>
      <c r="C69" s="2">
        <v>-3.4240993421640553E-2</v>
      </c>
      <c r="D69" s="2">
        <v>0.21086974791747531</v>
      </c>
      <c r="E69" s="2">
        <v>11.260777447685722</v>
      </c>
      <c r="F69" s="2">
        <v>-0.16237982811569965</v>
      </c>
      <c r="G69" s="2">
        <v>0.99876031985072689</v>
      </c>
      <c r="H69" s="2"/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Traveling_Line!B59</f>
        <v>270</v>
      </c>
      <c r="U69" s="2">
        <f>Traveling_Line!C59</f>
        <v>50</v>
      </c>
      <c r="V69" s="9">
        <f>Traveling_Line!D59</f>
        <v>5</v>
      </c>
    </row>
    <row r="70" spans="1:22" x14ac:dyDescent="0.2">
      <c r="A70" s="11">
        <f t="shared" si="0"/>
        <v>23.745420611141</v>
      </c>
      <c r="B70" s="2">
        <v>23.555323647591493</v>
      </c>
      <c r="C70" s="2">
        <v>-0.1388755180931156</v>
      </c>
      <c r="D70" s="2">
        <v>0.21164234905649068</v>
      </c>
      <c r="E70" s="2">
        <v>11.228301482062584</v>
      </c>
      <c r="F70" s="2">
        <v>-0.6561801960346203</v>
      </c>
      <c r="G70" s="2">
        <v>0.99879780752415914</v>
      </c>
      <c r="H70" s="2"/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Traveling_Line!B60</f>
        <v>275</v>
      </c>
      <c r="U70" s="2">
        <f>Traveling_Line!C60</f>
        <v>50</v>
      </c>
      <c r="V70" s="9">
        <f>Traveling_Line!D60</f>
        <v>5</v>
      </c>
    </row>
    <row r="71" spans="1:22" x14ac:dyDescent="0.2">
      <c r="A71" s="11">
        <f t="shared" si="0"/>
        <v>23.745420611141</v>
      </c>
      <c r="B71" s="2">
        <v>23.251536916459287</v>
      </c>
      <c r="C71" s="2">
        <v>-0.303786731132206</v>
      </c>
      <c r="D71" s="2">
        <v>0.21364389492253902</v>
      </c>
      <c r="E71" s="2">
        <v>11.09706544285566</v>
      </c>
      <c r="F71" s="2">
        <v>-1.421930316531395</v>
      </c>
      <c r="G71" s="2">
        <v>0.99873059526106767</v>
      </c>
      <c r="H71" s="2"/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Traveling_Line!B61</f>
        <v>280</v>
      </c>
      <c r="U71" s="2">
        <f>Traveling_Line!C61</f>
        <v>50</v>
      </c>
      <c r="V71" s="9">
        <f>Traveling_Line!D61</f>
        <v>5</v>
      </c>
    </row>
    <row r="72" spans="1:22" x14ac:dyDescent="0.2">
      <c r="A72" s="11">
        <f t="shared" si="0"/>
        <v>23.745420611141</v>
      </c>
      <c r="B72" s="2">
        <v>22.745368436321161</v>
      </c>
      <c r="C72" s="2">
        <v>-0.50616848013812543</v>
      </c>
      <c r="D72" s="2">
        <v>0.2174059303186473</v>
      </c>
      <c r="E72" s="2">
        <v>10.812679379549381</v>
      </c>
      <c r="F72" s="2">
        <v>-2.3282183673474082</v>
      </c>
      <c r="G72" s="2">
        <v>0.99869260884128419</v>
      </c>
      <c r="H72" s="2"/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Traveling_Line!B62</f>
        <v>285</v>
      </c>
      <c r="U72" s="2">
        <f>Traveling_Line!C62</f>
        <v>50</v>
      </c>
      <c r="V72" s="9">
        <f>Traveling_Line!D62</f>
        <v>5</v>
      </c>
    </row>
    <row r="73" spans="1:22" x14ac:dyDescent="0.2">
      <c r="A73" s="11">
        <f t="shared" si="0"/>
        <v>23.745420611141</v>
      </c>
      <c r="B73" s="2">
        <v>22.011190795209764</v>
      </c>
      <c r="C73" s="2">
        <v>-0.73417764111139761</v>
      </c>
      <c r="D73" s="2">
        <v>0.22343093775973322</v>
      </c>
      <c r="E73" s="2">
        <v>10.347035706079899</v>
      </c>
      <c r="F73" s="2">
        <v>-3.2859265080867925</v>
      </c>
      <c r="G73" s="2">
        <v>0.99864896513157886</v>
      </c>
      <c r="H73" s="2"/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Traveling_Line!B63</f>
        <v>290</v>
      </c>
      <c r="U73" s="2">
        <f>Traveling_Line!C63</f>
        <v>50</v>
      </c>
      <c r="V73" s="9">
        <f>Traveling_Line!D63</f>
        <v>5</v>
      </c>
    </row>
    <row r="74" spans="1:22" x14ac:dyDescent="0.2">
      <c r="A74" s="11">
        <f t="shared" si="0"/>
        <v>23.745420611141</v>
      </c>
      <c r="B74" s="2">
        <v>21.024934677406105</v>
      </c>
      <c r="C74" s="2">
        <v>-0.98625611780365929</v>
      </c>
      <c r="D74" s="2">
        <v>0.23236292510493439</v>
      </c>
      <c r="E74" s="2">
        <v>9.6898504044625398</v>
      </c>
      <c r="F74" s="2">
        <v>-4.2444642033933295</v>
      </c>
      <c r="G74" s="2">
        <v>0.99882430405529543</v>
      </c>
      <c r="H74" s="2"/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Traveling_Line!B64</f>
        <v>295</v>
      </c>
      <c r="U74" s="2">
        <f>Traveling_Line!C64</f>
        <v>50</v>
      </c>
      <c r="V74" s="9">
        <f>Traveling_Line!D64</f>
        <v>5</v>
      </c>
    </row>
    <row r="75" spans="1:22" x14ac:dyDescent="0.2">
      <c r="A75" s="11">
        <f t="shared" si="0"/>
        <v>23.745420611141</v>
      </c>
      <c r="B75" s="2">
        <v>19.76046007461164</v>
      </c>
      <c r="C75" s="2">
        <v>-1.2644746027944649</v>
      </c>
      <c r="D75" s="2">
        <v>0.245185808812241</v>
      </c>
      <c r="E75" s="2">
        <v>8.8409575637838742</v>
      </c>
      <c r="F75" s="2">
        <v>-5.157209582887309</v>
      </c>
      <c r="G75" s="2">
        <v>0.9987338870176522</v>
      </c>
      <c r="H75" s="2"/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Traveling_Line!B65</f>
        <v>300</v>
      </c>
      <c r="U75" s="2">
        <f>Traveling_Line!C65</f>
        <v>50</v>
      </c>
      <c r="V75" s="9">
        <f>Traveling_Line!D65</f>
        <v>5</v>
      </c>
    </row>
    <row r="76" spans="1:22" x14ac:dyDescent="0.2">
      <c r="A76" s="11">
        <f t="shared" si="0"/>
        <v>23.745420611141</v>
      </c>
      <c r="B76" s="2">
        <v>18.181092896586737</v>
      </c>
      <c r="C76" s="2">
        <v>-1.5793671780249028</v>
      </c>
      <c r="D76" s="2">
        <v>0.26356327606281826</v>
      </c>
      <c r="E76" s="2">
        <v>7.8095156472064131</v>
      </c>
      <c r="F76" s="2">
        <v>-5.9923643446003947</v>
      </c>
      <c r="G76" s="2">
        <v>0.99822377400805018</v>
      </c>
      <c r="H76" s="2"/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Traveling_Line!B66</f>
        <v>305</v>
      </c>
      <c r="U76" s="2">
        <f>Traveling_Line!C66</f>
        <v>50</v>
      </c>
      <c r="V76" s="9">
        <f>Traveling_Line!D66</f>
        <v>5</v>
      </c>
    </row>
    <row r="77" spans="1:22" x14ac:dyDescent="0.2">
      <c r="A77" s="11">
        <f t="shared" si="0"/>
        <v>23.745420611141</v>
      </c>
      <c r="B77" s="2">
        <v>16.245511136992153</v>
      </c>
      <c r="C77" s="2">
        <v>-1.9355817595945837</v>
      </c>
      <c r="D77" s="2">
        <v>0.29047303039957811</v>
      </c>
      <c r="E77" s="2">
        <v>6.6110427782863335</v>
      </c>
      <c r="F77" s="2">
        <v>-6.6635506812180623</v>
      </c>
      <c r="G77" s="2">
        <v>0.99137065213213227</v>
      </c>
      <c r="H77" s="2"/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Traveling_Line!B67</f>
        <v>310</v>
      </c>
      <c r="U77" s="2">
        <f>Traveling_Line!C67</f>
        <v>50</v>
      </c>
      <c r="V77" s="9">
        <f>Traveling_Line!D67</f>
        <v>5</v>
      </c>
    </row>
    <row r="78" spans="1:22" x14ac:dyDescent="0.2">
      <c r="A78" s="11">
        <f t="shared" si="0"/>
        <v>23.745420611141</v>
      </c>
      <c r="B78" s="2">
        <v>13.801184450689217</v>
      </c>
      <c r="C78" s="2">
        <v>-2.4443266863029365</v>
      </c>
      <c r="D78" s="2">
        <v>0.33281529979955027</v>
      </c>
      <c r="E78" s="2">
        <v>5.2783326420427219</v>
      </c>
      <c r="F78" s="2">
        <v>-7.3443939860190266</v>
      </c>
      <c r="G78" s="2">
        <v>0.99774458183227988</v>
      </c>
      <c r="H78" s="2"/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Traveling_Line!B68</f>
        <v>315</v>
      </c>
      <c r="U78" s="2">
        <f>Traveling_Line!C68</f>
        <v>50</v>
      </c>
      <c r="V78" s="9">
        <f>Traveling_Line!D68</f>
        <v>5</v>
      </c>
    </row>
    <row r="79" spans="1:22" x14ac:dyDescent="0.2">
      <c r="A79" s="11">
        <f t="shared" si="0"/>
        <v>10.619274928167176</v>
      </c>
      <c r="B79" s="2">
        <v>10.619274928167176</v>
      </c>
      <c r="C79" s="2">
        <v>-3.1819095225220408</v>
      </c>
      <c r="D79" s="2">
        <v>0.409492706294385</v>
      </c>
      <c r="E79" s="2">
        <v>3.8094538448389166</v>
      </c>
      <c r="F79" s="2">
        <v>-7.7703692241945834</v>
      </c>
      <c r="G79" s="2">
        <v>0.99156427221701071</v>
      </c>
      <c r="H79" s="2"/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Traveling_Line!B69</f>
        <v>320</v>
      </c>
      <c r="U79" s="2">
        <f>Traveling_Line!C69</f>
        <v>50</v>
      </c>
      <c r="V79" s="9">
        <f>Traveling_Line!D69</f>
        <v>5</v>
      </c>
    </row>
    <row r="80" spans="1:22" x14ac:dyDescent="0.2">
      <c r="A80" s="11">
        <f t="shared" ref="A80:A95" si="1">IF((ABS(U82)*B$2*9.806)^0.5&gt;B$7/3.6,B$7/3.6,(ABS(U82)*B$2*9.806)^0.5)</f>
        <v>23.745420611141</v>
      </c>
      <c r="B80" s="2">
        <v>23.728451724622897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Traveling_Line!B70</f>
        <v>325</v>
      </c>
      <c r="U80" s="2">
        <f>Traveling_Line!C70</f>
        <v>50</v>
      </c>
      <c r="V80" s="9">
        <f>Traveling_Line!D70</f>
        <v>5</v>
      </c>
    </row>
    <row r="81" spans="1:22" x14ac:dyDescent="0.2">
      <c r="A81" s="11">
        <f t="shared" si="1"/>
        <v>23.745420611141</v>
      </c>
      <c r="B81" s="2">
        <v>23.711505412422078</v>
      </c>
      <c r="C81" s="2">
        <v>-1.694631220081888E-2</v>
      </c>
      <c r="D81" s="2">
        <v>0.21079277055651444</v>
      </c>
      <c r="E81" s="2">
        <v>11.260788424955186</v>
      </c>
      <c r="F81" s="2">
        <v>-8.0393232443782991E-2</v>
      </c>
      <c r="G81" s="2">
        <v>0.99861785609112907</v>
      </c>
      <c r="H81" s="2"/>
      <c r="I81" s="2"/>
      <c r="J81" s="2"/>
      <c r="K81" s="2"/>
      <c r="L81" s="2"/>
      <c r="M81" s="2"/>
      <c r="N81" s="2"/>
      <c r="O81" s="2"/>
      <c r="P81" s="2"/>
      <c r="Q81" s="9"/>
      <c r="R81" s="9"/>
      <c r="S81" s="9"/>
      <c r="T81" s="2">
        <f>Traveling_Line!B71</f>
        <v>330</v>
      </c>
      <c r="U81" s="2">
        <f>Traveling_Line!C71</f>
        <v>10</v>
      </c>
      <c r="V81" s="9">
        <f>Traveling_Line!D71</f>
        <v>5</v>
      </c>
    </row>
    <row r="82" spans="1:22" x14ac:dyDescent="0.2">
      <c r="A82" s="11">
        <f t="shared" si="1"/>
        <v>23.745420611141</v>
      </c>
      <c r="B82" s="2">
        <v>23.728417134334286</v>
      </c>
      <c r="C82" s="2">
        <v>1.6911721912208577E-2</v>
      </c>
      <c r="D82" s="2">
        <v>0.21079292425370402</v>
      </c>
      <c r="E82" s="2">
        <v>56.223548892332147</v>
      </c>
      <c r="F82" s="2">
        <v>8.0229077764745735E-2</v>
      </c>
      <c r="G82" s="2">
        <v>4.9857366537768488</v>
      </c>
      <c r="H82" s="2"/>
      <c r="I82" s="2"/>
      <c r="J82" s="2"/>
      <c r="K82" s="2"/>
      <c r="L82" s="2"/>
      <c r="M82" s="2"/>
      <c r="N82" s="2"/>
      <c r="O82" s="2"/>
      <c r="P82" s="2"/>
      <c r="Q82" s="9"/>
      <c r="R82" s="9"/>
      <c r="S82" s="9"/>
      <c r="T82" s="2">
        <f>Traveling_Line!B72</f>
        <v>335</v>
      </c>
      <c r="U82" s="2">
        <f>Traveling_Line!C72</f>
        <v>-50</v>
      </c>
      <c r="V82" s="9">
        <f>Traveling_Line!D72</f>
        <v>5</v>
      </c>
    </row>
    <row r="83" spans="1:22" x14ac:dyDescent="0.2">
      <c r="A83" s="11">
        <f t="shared" si="1"/>
        <v>23.745420611141</v>
      </c>
      <c r="B83" s="2">
        <v>23.659813425059411</v>
      </c>
      <c r="C83" s="2">
        <v>-6.8603709274874802E-2</v>
      </c>
      <c r="D83" s="2">
        <v>0.21102286120319627</v>
      </c>
      <c r="E83" s="2">
        <v>-11.260755594019379</v>
      </c>
      <c r="F83" s="2">
        <v>-0.32510083923473831</v>
      </c>
      <c r="G83" s="2">
        <v>0.99932981455579062</v>
      </c>
      <c r="H83" s="2"/>
      <c r="I83" s="2"/>
      <c r="J83" s="2"/>
      <c r="K83" s="2"/>
      <c r="L83" s="2"/>
      <c r="M83" s="2"/>
      <c r="N83" s="2"/>
      <c r="O83" s="2"/>
      <c r="P83" s="2"/>
      <c r="Q83" s="9"/>
      <c r="R83" s="9"/>
      <c r="S83" s="9"/>
      <c r="T83" s="2">
        <f>Traveling_Line!B73</f>
        <v>340</v>
      </c>
      <c r="U83" s="2">
        <f>Traveling_Line!C73</f>
        <v>-50</v>
      </c>
      <c r="V83" s="9">
        <f>Traveling_Line!D73</f>
        <v>5</v>
      </c>
    </row>
    <row r="84" spans="1:22" x14ac:dyDescent="0.2">
      <c r="A84" s="11">
        <f t="shared" si="1"/>
        <v>23.745420611141</v>
      </c>
      <c r="B84" s="2">
        <v>23.485050600726588</v>
      </c>
      <c r="C84" s="2">
        <v>-0.17476282433282364</v>
      </c>
      <c r="D84" s="2">
        <v>0.21211218245386126</v>
      </c>
      <c r="E84" s="2">
        <v>-11.195735426172432</v>
      </c>
      <c r="F84" s="2">
        <v>-0.82391695899332951</v>
      </c>
      <c r="G84" s="2">
        <v>0.99771143391314598</v>
      </c>
      <c r="H84" s="2"/>
      <c r="I84" s="2"/>
      <c r="J84" s="2"/>
      <c r="K84" s="2"/>
      <c r="L84" s="2"/>
      <c r="M84" s="2"/>
      <c r="N84" s="2"/>
      <c r="O84" s="2"/>
      <c r="P84" s="2"/>
      <c r="Q84" s="9"/>
      <c r="R84" s="9"/>
      <c r="S84" s="9"/>
      <c r="T84" s="2">
        <f>Traveling_Line!B74</f>
        <v>345</v>
      </c>
      <c r="U84" s="2">
        <f>Traveling_Line!C74</f>
        <v>-50</v>
      </c>
      <c r="V84" s="9">
        <f>Traveling_Line!D74</f>
        <v>5</v>
      </c>
    </row>
    <row r="85" spans="1:22" x14ac:dyDescent="0.2">
      <c r="A85" s="11">
        <f t="shared" si="1"/>
        <v>23.745420611141</v>
      </c>
      <c r="B85" s="2">
        <v>23.141489487722197</v>
      </c>
      <c r="C85" s="2">
        <v>-0.34356111300439096</v>
      </c>
      <c r="D85" s="2">
        <v>0.21447012755032602</v>
      </c>
      <c r="E85" s="2">
        <v>-11.030952034373765</v>
      </c>
      <c r="F85" s="2">
        <v>-1.6019066008331317</v>
      </c>
      <c r="G85" s="2">
        <v>0.99689123490061238</v>
      </c>
      <c r="H85" s="2"/>
      <c r="I85" s="2"/>
      <c r="J85" s="2"/>
      <c r="K85" s="2"/>
      <c r="L85" s="2"/>
      <c r="M85" s="2"/>
      <c r="N85" s="2"/>
      <c r="O85" s="2"/>
      <c r="P85" s="2"/>
      <c r="Q85" s="9"/>
      <c r="R85" s="9"/>
      <c r="S85" s="9"/>
      <c r="T85" s="2">
        <f>Traveling_Line!B75</f>
        <v>350</v>
      </c>
      <c r="U85" s="2">
        <f>Traveling_Line!C75</f>
        <v>-50</v>
      </c>
      <c r="V85" s="9">
        <f>Traveling_Line!D75</f>
        <v>5</v>
      </c>
    </row>
    <row r="86" spans="1:22" x14ac:dyDescent="0.2">
      <c r="A86" s="11">
        <f t="shared" si="1"/>
        <v>23.745420611141</v>
      </c>
      <c r="B86" s="2">
        <v>22.574260050418658</v>
      </c>
      <c r="C86" s="2">
        <v>-0.56722943730353848</v>
      </c>
      <c r="D86" s="2">
        <v>0.21874299559841964</v>
      </c>
      <c r="E86" s="2">
        <v>-10.710570714207138</v>
      </c>
      <c r="F86" s="2">
        <v>-2.5931318886429136</v>
      </c>
      <c r="G86" s="2">
        <v>0.99943525710944492</v>
      </c>
      <c r="H86" s="2"/>
      <c r="I86" s="2"/>
      <c r="J86" s="2"/>
      <c r="K86" s="2"/>
      <c r="L86" s="2"/>
      <c r="M86" s="2"/>
      <c r="N86" s="2"/>
      <c r="O86" s="2"/>
      <c r="P86" s="2"/>
      <c r="Q86" s="9"/>
      <c r="R86" s="9"/>
      <c r="S86" s="9"/>
      <c r="T86" s="2">
        <f>Traveling_Line!B76</f>
        <v>355</v>
      </c>
      <c r="U86" s="2">
        <f>Traveling_Line!C76</f>
        <v>-50</v>
      </c>
      <c r="V86" s="9">
        <f>Traveling_Line!D76</f>
        <v>5</v>
      </c>
    </row>
    <row r="87" spans="1:22" x14ac:dyDescent="0.2">
      <c r="A87" s="11">
        <f t="shared" si="1"/>
        <v>23.745420611141</v>
      </c>
      <c r="B87" s="2">
        <v>21.784908198919695</v>
      </c>
      <c r="C87" s="2">
        <v>-0.7893518514989637</v>
      </c>
      <c r="D87" s="2">
        <v>0.22543254065971258</v>
      </c>
      <c r="E87" s="2">
        <v>-10.191944336478556</v>
      </c>
      <c r="F87" s="2">
        <v>-3.5014991588569275</v>
      </c>
      <c r="G87" s="2">
        <v>0.99665031880739152</v>
      </c>
      <c r="H87" s="2"/>
      <c r="I87" s="2"/>
      <c r="J87" s="2"/>
      <c r="K87" s="2"/>
      <c r="L87" s="2"/>
      <c r="M87" s="2"/>
      <c r="N87" s="2"/>
      <c r="O87" s="2"/>
      <c r="P87" s="2"/>
      <c r="Q87" s="9"/>
      <c r="R87" s="9"/>
      <c r="S87" s="9"/>
      <c r="T87" s="2">
        <f>Traveling_Line!B77</f>
        <v>360</v>
      </c>
      <c r="U87" s="2">
        <f>Traveling_Line!C77</f>
        <v>-50</v>
      </c>
      <c r="V87" s="9">
        <f>Traveling_Line!D77</f>
        <v>5</v>
      </c>
    </row>
    <row r="88" spans="1:22" x14ac:dyDescent="0.2">
      <c r="A88" s="11">
        <f t="shared" si="1"/>
        <v>23.745420611141</v>
      </c>
      <c r="B88" s="2">
        <v>20.728072831806799</v>
      </c>
      <c r="C88" s="2">
        <v>-1.0568353671128961</v>
      </c>
      <c r="D88" s="2">
        <v>0.23522227229307782</v>
      </c>
      <c r="E88" s="2">
        <v>-9.4916445047071711</v>
      </c>
      <c r="F88" s="2">
        <v>-4.4929221914671418</v>
      </c>
      <c r="G88" s="2">
        <v>0.99950031079915747</v>
      </c>
      <c r="H88" s="2"/>
      <c r="I88" s="2"/>
      <c r="J88" s="2"/>
      <c r="K88" s="2"/>
      <c r="L88" s="2"/>
      <c r="M88" s="2"/>
      <c r="N88" s="2"/>
      <c r="O88" s="2"/>
      <c r="P88" s="2"/>
      <c r="Q88" s="9"/>
      <c r="R88" s="9"/>
      <c r="S88" s="9"/>
      <c r="T88" s="2">
        <f>Traveling_Line!B78</f>
        <v>365</v>
      </c>
      <c r="U88" s="2">
        <f>Traveling_Line!C78</f>
        <v>-50</v>
      </c>
      <c r="V88" s="9">
        <f>Traveling_Line!D78</f>
        <v>5</v>
      </c>
    </row>
    <row r="89" spans="1:22" x14ac:dyDescent="0.2">
      <c r="A89" s="11">
        <f t="shared" si="1"/>
        <v>41.666666666666664</v>
      </c>
      <c r="B89" s="2">
        <v>19.401605221873073</v>
      </c>
      <c r="C89" s="2">
        <v>-1.3264676099337258</v>
      </c>
      <c r="D89" s="2">
        <v>0.24919213123572531</v>
      </c>
      <c r="E89" s="2">
        <v>-8.5930600664137415</v>
      </c>
      <c r="F89" s="2">
        <v>-5.3230718135274628</v>
      </c>
      <c r="G89" s="2">
        <v>0.99423579398735695</v>
      </c>
      <c r="H89" s="2"/>
      <c r="I89" s="2"/>
      <c r="J89" s="2"/>
      <c r="K89" s="2"/>
      <c r="L89" s="2"/>
      <c r="M89" s="2"/>
      <c r="N89" s="2"/>
      <c r="O89" s="2"/>
      <c r="P89" s="2"/>
      <c r="Q89" s="9"/>
      <c r="R89" s="9"/>
      <c r="S89" s="9"/>
      <c r="T89" s="2">
        <f>Traveling_Line!B79</f>
        <v>370</v>
      </c>
      <c r="U89" s="2">
        <f>Traveling_Line!C79</f>
        <v>-50</v>
      </c>
      <c r="V89" s="9">
        <f>Traveling_Line!D79</f>
        <v>5</v>
      </c>
    </row>
    <row r="90" spans="1:22" x14ac:dyDescent="0.2">
      <c r="A90" s="11">
        <f t="shared" si="1"/>
        <v>41.666666666666664</v>
      </c>
      <c r="B90" s="2">
        <v>17.743327301800328</v>
      </c>
      <c r="C90" s="2">
        <v>-1.6582779200727451</v>
      </c>
      <c r="D90" s="2">
        <v>0.26921572663045618</v>
      </c>
      <c r="E90" s="2">
        <v>-7.5284457037082495</v>
      </c>
      <c r="F90" s="2">
        <v>-6.1596621446599595</v>
      </c>
      <c r="G90" s="2">
        <v>0.99589827483242099</v>
      </c>
      <c r="H90" s="2"/>
      <c r="I90" s="2"/>
      <c r="J90" s="2"/>
      <c r="K90" s="2"/>
      <c r="L90" s="2"/>
      <c r="M90" s="2"/>
      <c r="N90" s="2"/>
      <c r="O90" s="2"/>
      <c r="P90" s="2"/>
      <c r="Q90" s="9"/>
      <c r="R90" s="9"/>
      <c r="S90" s="9"/>
      <c r="T90" s="2">
        <f>Traveling_Line!B80</f>
        <v>375</v>
      </c>
      <c r="U90" s="2">
        <f>Traveling_Line!C80</f>
        <v>-50</v>
      </c>
      <c r="V90" s="9">
        <f>Traveling_Line!D80</f>
        <v>5</v>
      </c>
    </row>
    <row r="91" spans="1:22" x14ac:dyDescent="0.2">
      <c r="A91" s="11">
        <f t="shared" si="1"/>
        <v>41.666666666666664</v>
      </c>
      <c r="B91" s="2">
        <v>15.700294454673642</v>
      </c>
      <c r="C91" s="2">
        <v>-2.0430328471266854</v>
      </c>
      <c r="D91" s="2">
        <v>0.29901067751623561</v>
      </c>
      <c r="E91" s="2">
        <v>-6.2965132747762587</v>
      </c>
      <c r="F91" s="2">
        <v>-6.8326417775356978</v>
      </c>
      <c r="G91" s="2">
        <v>0.99183629858814493</v>
      </c>
      <c r="H91" s="2"/>
      <c r="I91" s="2"/>
      <c r="J91" s="2"/>
      <c r="K91" s="2"/>
      <c r="L91" s="2"/>
      <c r="M91" s="2"/>
      <c r="N91" s="2"/>
      <c r="O91" s="2"/>
      <c r="P91" s="2"/>
      <c r="Q91" s="9"/>
      <c r="R91" s="9"/>
      <c r="S91" s="9"/>
      <c r="T91" s="2">
        <f>Traveling_Line!B81</f>
        <v>380</v>
      </c>
      <c r="U91" s="2">
        <f>Traveling_Line!C81</f>
        <v>1000</v>
      </c>
      <c r="V91" s="9">
        <f>Traveling_Line!D81</f>
        <v>5</v>
      </c>
    </row>
    <row r="92" spans="1:22" x14ac:dyDescent="0.2">
      <c r="A92" s="11">
        <f t="shared" si="1"/>
        <v>41.666666666666664</v>
      </c>
      <c r="B92" s="2">
        <v>12.808833122095715</v>
      </c>
      <c r="C92" s="2">
        <v>-2.8914613325779275</v>
      </c>
      <c r="D92" s="2">
        <v>0.35076485497748072</v>
      </c>
      <c r="E92" s="2">
        <v>0.24649924596345593</v>
      </c>
      <c r="F92" s="2">
        <v>-8.2433040013759662</v>
      </c>
      <c r="G92" s="2">
        <v>0.98922834892220191</v>
      </c>
      <c r="H92" s="2"/>
      <c r="I92" s="2"/>
      <c r="J92" s="2"/>
      <c r="K92" s="2"/>
      <c r="L92" s="2"/>
      <c r="M92" s="2"/>
      <c r="N92" s="2"/>
      <c r="O92" s="2"/>
      <c r="P92" s="2"/>
      <c r="Q92" s="9"/>
      <c r="R92" s="9"/>
      <c r="S92" s="9"/>
      <c r="T92" s="2">
        <f>Traveling_Line!B82</f>
        <v>385</v>
      </c>
      <c r="U92" s="2">
        <f>Traveling_Line!C82</f>
        <v>900</v>
      </c>
      <c r="V92" s="9">
        <f>Traveling_Line!D82</f>
        <v>5</v>
      </c>
    </row>
    <row r="93" spans="1:22" x14ac:dyDescent="0.2">
      <c r="A93" s="11">
        <f t="shared" si="1"/>
        <v>41.666666666666664</v>
      </c>
      <c r="B93" s="2">
        <v>9.0383801148214609</v>
      </c>
      <c r="C93" s="2">
        <v>-3.7704530072742539</v>
      </c>
      <c r="D93" s="2">
        <v>0.45772428234014356</v>
      </c>
      <c r="E93" s="2">
        <v>0.1822957843885514</v>
      </c>
      <c r="F93" s="2">
        <v>-8.2373890849696263</v>
      </c>
      <c r="G93" s="2">
        <v>0.98840937681409446</v>
      </c>
      <c r="H93" s="2"/>
      <c r="I93" s="2"/>
      <c r="J93" s="2"/>
      <c r="K93" s="2"/>
      <c r="L93" s="2"/>
      <c r="M93" s="2"/>
      <c r="N93" s="2"/>
      <c r="O93" s="2"/>
      <c r="P93" s="2"/>
      <c r="Q93" s="9"/>
      <c r="R93" s="9"/>
      <c r="S93" s="9"/>
      <c r="T93" s="2">
        <f>Traveling_Line!B83</f>
        <v>390</v>
      </c>
      <c r="U93" s="2">
        <f>Traveling_Line!C83</f>
        <v>800</v>
      </c>
      <c r="V93" s="9">
        <f>Traveling_Line!D83</f>
        <v>5</v>
      </c>
    </row>
    <row r="94" spans="1:22" x14ac:dyDescent="0.2">
      <c r="A94" s="11">
        <f t="shared" si="1"/>
        <v>0</v>
      </c>
      <c r="B94" s="2">
        <v>0</v>
      </c>
      <c r="C94" s="2">
        <v>-9.0383801148214609</v>
      </c>
      <c r="D94" s="2">
        <v>1.1063929457449615</v>
      </c>
      <c r="E94" s="2">
        <v>0.102115393875</v>
      </c>
      <c r="F94" s="2">
        <v>-8.1692315100000013</v>
      </c>
      <c r="G94" s="2">
        <v>0.98014183052570003</v>
      </c>
      <c r="H94" s="2"/>
      <c r="I94" s="2"/>
      <c r="J94" s="2"/>
      <c r="K94" s="2"/>
      <c r="L94" s="2"/>
      <c r="M94" s="2"/>
      <c r="N94" s="2"/>
      <c r="O94" s="2"/>
      <c r="P94" s="2"/>
      <c r="Q94" s="9"/>
      <c r="R94" s="9"/>
      <c r="S94" s="9"/>
      <c r="T94" s="2">
        <f>Traveling_Line!B84</f>
        <v>395</v>
      </c>
      <c r="U94" s="2">
        <f>Traveling_Line!C84</f>
        <v>700</v>
      </c>
      <c r="V94" s="9">
        <f>Traveling_Line!D84</f>
        <v>5</v>
      </c>
    </row>
    <row r="95" spans="1:22" x14ac:dyDescent="0.2">
      <c r="A95" s="11">
        <f t="shared" si="1"/>
        <v>0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Traveling_Line!B85</f>
        <v>400</v>
      </c>
      <c r="U95" s="2">
        <f>Traveling_Line!C85</f>
        <v>600</v>
      </c>
      <c r="V95" s="9">
        <f>Traveling_Line!D85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Traveling_Line</vt:lpstr>
      <vt:lpstr>ENG_Calc</vt:lpstr>
      <vt:lpstr>Speed_Calc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2018-11-19T06:29:07Z</dcterms:modified>
</cp:coreProperties>
</file>