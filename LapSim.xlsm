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kuwano\Documents\LapTimeSim\"/>
    </mc:Choice>
  </mc:AlternateContent>
  <bookViews>
    <workbookView xWindow="6510" yWindow="0" windowWidth="18270" windowHeight="7920" activeTab="2"/>
  </bookViews>
  <sheets>
    <sheet name="Traveling Line" sheetId="1" r:id="rId1"/>
    <sheet name="Speed Calc" sheetId="2" r:id="rId2"/>
    <sheet name="ENG Calc" sheetId="3" r:id="rId3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36" i="3" l="1"/>
  <c r="F38" i="3"/>
  <c r="G38" i="3"/>
  <c r="I38" i="3"/>
  <c r="F39" i="3"/>
  <c r="G39" i="3"/>
  <c r="I39" i="3"/>
  <c r="F40" i="3"/>
  <c r="G40" i="3"/>
  <c r="I40" i="3"/>
  <c r="F41" i="3"/>
  <c r="H41" i="3" s="1"/>
  <c r="G41" i="3"/>
  <c r="I41" i="3"/>
  <c r="F42" i="3"/>
  <c r="G42" i="3"/>
  <c r="I42" i="3"/>
  <c r="F43" i="3"/>
  <c r="G43" i="3"/>
  <c r="I43" i="3"/>
  <c r="F44" i="3"/>
  <c r="G44" i="3"/>
  <c r="I44" i="3"/>
  <c r="F45" i="3"/>
  <c r="H45" i="3" s="1"/>
  <c r="G45" i="3"/>
  <c r="I45" i="3"/>
  <c r="F46" i="3"/>
  <c r="G46" i="3"/>
  <c r="I46" i="3"/>
  <c r="F47" i="3"/>
  <c r="G47" i="3"/>
  <c r="I47" i="3"/>
  <c r="F48" i="3"/>
  <c r="G48" i="3"/>
  <c r="I48" i="3"/>
  <c r="F49" i="3"/>
  <c r="H49" i="3" s="1"/>
  <c r="G49" i="3"/>
  <c r="I49" i="3"/>
  <c r="F50" i="3"/>
  <c r="G50" i="3"/>
  <c r="I50" i="3"/>
  <c r="F51" i="3"/>
  <c r="G51" i="3"/>
  <c r="I51" i="3"/>
  <c r="F52" i="3"/>
  <c r="G52" i="3"/>
  <c r="I52" i="3"/>
  <c r="F53" i="3"/>
  <c r="H53" i="3" s="1"/>
  <c r="G53" i="3"/>
  <c r="I53" i="3"/>
  <c r="F54" i="3"/>
  <c r="G54" i="3"/>
  <c r="I54" i="3"/>
  <c r="F55" i="3"/>
  <c r="G55" i="3"/>
  <c r="I55" i="3"/>
  <c r="F56" i="3"/>
  <c r="G56" i="3"/>
  <c r="I56" i="3"/>
  <c r="F57" i="3"/>
  <c r="H57" i="3" s="1"/>
  <c r="G57" i="3"/>
  <c r="I57" i="3"/>
  <c r="F58" i="3"/>
  <c r="G58" i="3"/>
  <c r="I58" i="3"/>
  <c r="F59" i="3"/>
  <c r="G59" i="3"/>
  <c r="I59" i="3"/>
  <c r="F60" i="3"/>
  <c r="G60" i="3"/>
  <c r="I60" i="3"/>
  <c r="F61" i="3"/>
  <c r="H61" i="3" s="1"/>
  <c r="G61" i="3"/>
  <c r="I61" i="3"/>
  <c r="F62" i="3"/>
  <c r="G62" i="3"/>
  <c r="I62" i="3"/>
  <c r="F63" i="3"/>
  <c r="G63" i="3"/>
  <c r="I63" i="3"/>
  <c r="F64" i="3"/>
  <c r="G64" i="3"/>
  <c r="I64" i="3"/>
  <c r="F65" i="3"/>
  <c r="H65" i="3" s="1"/>
  <c r="G65" i="3"/>
  <c r="I65" i="3"/>
  <c r="F66" i="3"/>
  <c r="G66" i="3"/>
  <c r="I66" i="3"/>
  <c r="F67" i="3"/>
  <c r="G67" i="3"/>
  <c r="I67" i="3"/>
  <c r="F68" i="3"/>
  <c r="G68" i="3"/>
  <c r="I68" i="3"/>
  <c r="F69" i="3"/>
  <c r="H69" i="3" s="1"/>
  <c r="G69" i="3"/>
  <c r="I69" i="3"/>
  <c r="F70" i="3"/>
  <c r="G70" i="3"/>
  <c r="I70" i="3"/>
  <c r="F71" i="3"/>
  <c r="G71" i="3"/>
  <c r="I71" i="3"/>
  <c r="F72" i="3"/>
  <c r="G72" i="3"/>
  <c r="I72" i="3"/>
  <c r="F73" i="3"/>
  <c r="H73" i="3" s="1"/>
  <c r="G73" i="3"/>
  <c r="I73" i="3"/>
  <c r="F74" i="3"/>
  <c r="G74" i="3"/>
  <c r="I74" i="3"/>
  <c r="F75" i="3"/>
  <c r="G75" i="3"/>
  <c r="I75" i="3"/>
  <c r="F76" i="3"/>
  <c r="G76" i="3"/>
  <c r="I76" i="3"/>
  <c r="F77" i="3"/>
  <c r="H77" i="3" s="1"/>
  <c r="G77" i="3"/>
  <c r="I77" i="3"/>
  <c r="F78" i="3"/>
  <c r="G78" i="3"/>
  <c r="I78" i="3"/>
  <c r="F79" i="3"/>
  <c r="G79" i="3"/>
  <c r="I79" i="3"/>
  <c r="F80" i="3"/>
  <c r="G80" i="3"/>
  <c r="I80" i="3"/>
  <c r="F81" i="3"/>
  <c r="H81" i="3" s="1"/>
  <c r="G81" i="3"/>
  <c r="I81" i="3"/>
  <c r="F82" i="3"/>
  <c r="G82" i="3"/>
  <c r="I82" i="3"/>
  <c r="F83" i="3"/>
  <c r="G83" i="3"/>
  <c r="I83" i="3"/>
  <c r="F84" i="3"/>
  <c r="G84" i="3"/>
  <c r="I84" i="3"/>
  <c r="F85" i="3"/>
  <c r="H85" i="3" s="1"/>
  <c r="G85" i="3"/>
  <c r="I85" i="3"/>
  <c r="F86" i="3"/>
  <c r="G86" i="3"/>
  <c r="I86" i="3"/>
  <c r="F87" i="3"/>
  <c r="G87" i="3"/>
  <c r="I87" i="3"/>
  <c r="F88" i="3"/>
  <c r="G88" i="3"/>
  <c r="I88" i="3"/>
  <c r="F89" i="3"/>
  <c r="H89" i="3" s="1"/>
  <c r="G89" i="3"/>
  <c r="I89" i="3"/>
  <c r="F90" i="3"/>
  <c r="G90" i="3"/>
  <c r="I90" i="3"/>
  <c r="F91" i="3"/>
  <c r="G91" i="3"/>
  <c r="I91" i="3"/>
  <c r="F92" i="3"/>
  <c r="G92" i="3"/>
  <c r="I92" i="3"/>
  <c r="F93" i="3"/>
  <c r="H93" i="3" s="1"/>
  <c r="G93" i="3"/>
  <c r="I93" i="3"/>
  <c r="F94" i="3"/>
  <c r="G94" i="3"/>
  <c r="I94" i="3"/>
  <c r="F95" i="3"/>
  <c r="G95" i="3"/>
  <c r="I95" i="3"/>
  <c r="F96" i="3"/>
  <c r="G96" i="3"/>
  <c r="I96" i="3"/>
  <c r="F97" i="3"/>
  <c r="H97" i="3" s="1"/>
  <c r="G97" i="3"/>
  <c r="I97" i="3"/>
  <c r="F98" i="3"/>
  <c r="G98" i="3"/>
  <c r="I98" i="3"/>
  <c r="F99" i="3"/>
  <c r="G99" i="3"/>
  <c r="I99" i="3"/>
  <c r="F100" i="3"/>
  <c r="G100" i="3"/>
  <c r="I100" i="3"/>
  <c r="F101" i="3"/>
  <c r="H101" i="3" s="1"/>
  <c r="G101" i="3"/>
  <c r="I101" i="3"/>
  <c r="F102" i="3"/>
  <c r="G102" i="3"/>
  <c r="I102" i="3"/>
  <c r="F103" i="3"/>
  <c r="G103" i="3"/>
  <c r="I103" i="3"/>
  <c r="F104" i="3"/>
  <c r="G104" i="3"/>
  <c r="I104" i="3"/>
  <c r="F105" i="3"/>
  <c r="H105" i="3" s="1"/>
  <c r="G105" i="3"/>
  <c r="I105" i="3"/>
  <c r="F106" i="3"/>
  <c r="G106" i="3"/>
  <c r="I106" i="3"/>
  <c r="F107" i="3"/>
  <c r="G107" i="3"/>
  <c r="I107" i="3"/>
  <c r="F108" i="3"/>
  <c r="G108" i="3"/>
  <c r="I108" i="3"/>
  <c r="F109" i="3"/>
  <c r="H109" i="3" s="1"/>
  <c r="G109" i="3"/>
  <c r="I109" i="3"/>
  <c r="F110" i="3"/>
  <c r="G110" i="3"/>
  <c r="I110" i="3"/>
  <c r="F111" i="3"/>
  <c r="G111" i="3"/>
  <c r="I111" i="3"/>
  <c r="F112" i="3"/>
  <c r="G112" i="3"/>
  <c r="I112" i="3"/>
  <c r="F113" i="3"/>
  <c r="H113" i="3" s="1"/>
  <c r="G113" i="3"/>
  <c r="I113" i="3"/>
  <c r="F114" i="3"/>
  <c r="G114" i="3"/>
  <c r="I114" i="3"/>
  <c r="F115" i="3"/>
  <c r="G115" i="3"/>
  <c r="I115" i="3"/>
  <c r="F116" i="3"/>
  <c r="G116" i="3"/>
  <c r="I116" i="3"/>
  <c r="F117" i="3"/>
  <c r="H117" i="3" s="1"/>
  <c r="G117" i="3"/>
  <c r="I117" i="3"/>
  <c r="F118" i="3"/>
  <c r="G118" i="3"/>
  <c r="I118" i="3"/>
  <c r="F119" i="3"/>
  <c r="G119" i="3"/>
  <c r="I119" i="3"/>
  <c r="F120" i="3"/>
  <c r="G120" i="3"/>
  <c r="I120" i="3"/>
  <c r="F121" i="3"/>
  <c r="H121" i="3" s="1"/>
  <c r="G121" i="3"/>
  <c r="I121" i="3"/>
  <c r="F122" i="3"/>
  <c r="G122" i="3"/>
  <c r="I122" i="3"/>
  <c r="F123" i="3"/>
  <c r="G123" i="3"/>
  <c r="I123" i="3"/>
  <c r="F124" i="3"/>
  <c r="G124" i="3"/>
  <c r="I124" i="3"/>
  <c r="F125" i="3"/>
  <c r="H125" i="3" s="1"/>
  <c r="G125" i="3"/>
  <c r="I125" i="3"/>
  <c r="F126" i="3"/>
  <c r="H126" i="3" s="1"/>
  <c r="G126" i="3"/>
  <c r="I126" i="3"/>
  <c r="F127" i="3"/>
  <c r="G127" i="3"/>
  <c r="I127" i="3"/>
  <c r="F128" i="3"/>
  <c r="G128" i="3"/>
  <c r="H128" i="3"/>
  <c r="I128" i="3"/>
  <c r="F129" i="3"/>
  <c r="G129" i="3"/>
  <c r="I129" i="3"/>
  <c r="F130" i="3"/>
  <c r="G130" i="3"/>
  <c r="H130" i="3"/>
  <c r="I130" i="3"/>
  <c r="F131" i="3"/>
  <c r="G131" i="3"/>
  <c r="I131" i="3"/>
  <c r="F132" i="3"/>
  <c r="H132" i="3" s="1"/>
  <c r="G132" i="3"/>
  <c r="I132" i="3"/>
  <c r="F133" i="3"/>
  <c r="H133" i="3" s="1"/>
  <c r="G133" i="3"/>
  <c r="I133" i="3"/>
  <c r="F134" i="3"/>
  <c r="H134" i="3" s="1"/>
  <c r="G134" i="3"/>
  <c r="I134" i="3"/>
  <c r="F135" i="3"/>
  <c r="G135" i="3"/>
  <c r="I135" i="3"/>
  <c r="F136" i="3"/>
  <c r="G136" i="3"/>
  <c r="H136" i="3"/>
  <c r="I136" i="3"/>
  <c r="F137" i="3"/>
  <c r="G137" i="3"/>
  <c r="I137" i="3"/>
  <c r="F138" i="3"/>
  <c r="G138" i="3"/>
  <c r="H138" i="3"/>
  <c r="I138" i="3"/>
  <c r="F139" i="3"/>
  <c r="G139" i="3"/>
  <c r="I139" i="3"/>
  <c r="F140" i="3"/>
  <c r="H140" i="3" s="1"/>
  <c r="G140" i="3"/>
  <c r="I140" i="3"/>
  <c r="F141" i="3"/>
  <c r="H141" i="3" s="1"/>
  <c r="G141" i="3"/>
  <c r="I141" i="3"/>
  <c r="F142" i="3"/>
  <c r="H142" i="3" s="1"/>
  <c r="G142" i="3"/>
  <c r="I142" i="3"/>
  <c r="F143" i="3"/>
  <c r="G143" i="3"/>
  <c r="I143" i="3"/>
  <c r="F144" i="3"/>
  <c r="G144" i="3"/>
  <c r="H144" i="3"/>
  <c r="I144" i="3"/>
  <c r="F145" i="3"/>
  <c r="G145" i="3"/>
  <c r="I145" i="3"/>
  <c r="F146" i="3"/>
  <c r="G146" i="3"/>
  <c r="H146" i="3"/>
  <c r="I146" i="3"/>
  <c r="F147" i="3"/>
  <c r="G147" i="3"/>
  <c r="I147" i="3"/>
  <c r="F148" i="3"/>
  <c r="H148" i="3" s="1"/>
  <c r="G148" i="3"/>
  <c r="I148" i="3"/>
  <c r="F149" i="3"/>
  <c r="H149" i="3" s="1"/>
  <c r="G149" i="3"/>
  <c r="I149" i="3"/>
  <c r="F150" i="3"/>
  <c r="H150" i="3" s="1"/>
  <c r="G150" i="3"/>
  <c r="I150" i="3"/>
  <c r="F151" i="3"/>
  <c r="G151" i="3"/>
  <c r="I151" i="3"/>
  <c r="F152" i="3"/>
  <c r="G152" i="3"/>
  <c r="H152" i="3"/>
  <c r="I152" i="3"/>
  <c r="F153" i="3"/>
  <c r="G153" i="3"/>
  <c r="I153" i="3"/>
  <c r="F154" i="3"/>
  <c r="G154" i="3"/>
  <c r="H154" i="3"/>
  <c r="I154" i="3"/>
  <c r="F155" i="3"/>
  <c r="G155" i="3"/>
  <c r="I155" i="3"/>
  <c r="F156" i="3"/>
  <c r="H156" i="3" s="1"/>
  <c r="G156" i="3"/>
  <c r="I156" i="3"/>
  <c r="F157" i="3"/>
  <c r="H157" i="3" s="1"/>
  <c r="G157" i="3"/>
  <c r="I157" i="3"/>
  <c r="F158" i="3"/>
  <c r="H158" i="3" s="1"/>
  <c r="G158" i="3"/>
  <c r="I158" i="3"/>
  <c r="F159" i="3"/>
  <c r="G159" i="3"/>
  <c r="I159" i="3"/>
  <c r="F160" i="3"/>
  <c r="G160" i="3"/>
  <c r="H160" i="3"/>
  <c r="I160" i="3"/>
  <c r="F161" i="3"/>
  <c r="G161" i="3"/>
  <c r="I161" i="3"/>
  <c r="F162" i="3"/>
  <c r="G162" i="3"/>
  <c r="H162" i="3"/>
  <c r="I162" i="3"/>
  <c r="F163" i="3"/>
  <c r="G163" i="3"/>
  <c r="I163" i="3"/>
  <c r="F164" i="3"/>
  <c r="H164" i="3" s="1"/>
  <c r="G164" i="3"/>
  <c r="I164" i="3"/>
  <c r="F165" i="3"/>
  <c r="H165" i="3" s="1"/>
  <c r="G165" i="3"/>
  <c r="I165" i="3"/>
  <c r="F166" i="3"/>
  <c r="H166" i="3" s="1"/>
  <c r="G166" i="3"/>
  <c r="I166" i="3"/>
  <c r="F167" i="3"/>
  <c r="G167" i="3"/>
  <c r="I167" i="3"/>
  <c r="F168" i="3"/>
  <c r="G168" i="3"/>
  <c r="H168" i="3"/>
  <c r="I168" i="3"/>
  <c r="F169" i="3"/>
  <c r="G169" i="3"/>
  <c r="I169" i="3"/>
  <c r="F170" i="3"/>
  <c r="G170" i="3"/>
  <c r="H170" i="3"/>
  <c r="I170" i="3"/>
  <c r="F171" i="3"/>
  <c r="G171" i="3"/>
  <c r="I171" i="3"/>
  <c r="F172" i="3"/>
  <c r="H172" i="3" s="1"/>
  <c r="G172" i="3"/>
  <c r="I172" i="3"/>
  <c r="F173" i="3"/>
  <c r="H173" i="3" s="1"/>
  <c r="G173" i="3"/>
  <c r="I173" i="3"/>
  <c r="F174" i="3"/>
  <c r="H174" i="3" s="1"/>
  <c r="G174" i="3"/>
  <c r="I174" i="3"/>
  <c r="F175" i="3"/>
  <c r="G175" i="3"/>
  <c r="I175" i="3"/>
  <c r="F176" i="3"/>
  <c r="G176" i="3"/>
  <c r="H176" i="3"/>
  <c r="I176" i="3"/>
  <c r="F177" i="3"/>
  <c r="G177" i="3"/>
  <c r="I177" i="3"/>
  <c r="F178" i="3"/>
  <c r="G178" i="3"/>
  <c r="H178" i="3"/>
  <c r="I178" i="3"/>
  <c r="F179" i="3"/>
  <c r="G179" i="3"/>
  <c r="I179" i="3"/>
  <c r="F180" i="3"/>
  <c r="H180" i="3" s="1"/>
  <c r="G180" i="3"/>
  <c r="I180" i="3"/>
  <c r="F181" i="3"/>
  <c r="H181" i="3" s="1"/>
  <c r="G181" i="3"/>
  <c r="I181" i="3"/>
  <c r="F182" i="3"/>
  <c r="H182" i="3" s="1"/>
  <c r="G182" i="3"/>
  <c r="I182" i="3"/>
  <c r="F183" i="3"/>
  <c r="G183" i="3"/>
  <c r="I183" i="3"/>
  <c r="F184" i="3"/>
  <c r="G184" i="3"/>
  <c r="H184" i="3"/>
  <c r="I184" i="3"/>
  <c r="F185" i="3"/>
  <c r="G185" i="3"/>
  <c r="I185" i="3"/>
  <c r="F186" i="3"/>
  <c r="G186" i="3"/>
  <c r="H186" i="3"/>
  <c r="I186" i="3"/>
  <c r="F187" i="3"/>
  <c r="G187" i="3"/>
  <c r="I187" i="3"/>
  <c r="F188" i="3"/>
  <c r="H188" i="3" s="1"/>
  <c r="G188" i="3"/>
  <c r="I188" i="3"/>
  <c r="F189" i="3"/>
  <c r="H189" i="3" s="1"/>
  <c r="G189" i="3"/>
  <c r="I189" i="3"/>
  <c r="F190" i="3"/>
  <c r="H190" i="3" s="1"/>
  <c r="G190" i="3"/>
  <c r="I190" i="3"/>
  <c r="F191" i="3"/>
  <c r="G191" i="3"/>
  <c r="I191" i="3"/>
  <c r="F192" i="3"/>
  <c r="G192" i="3"/>
  <c r="H192" i="3"/>
  <c r="I192" i="3"/>
  <c r="F193" i="3"/>
  <c r="G193" i="3"/>
  <c r="I193" i="3"/>
  <c r="F194" i="3"/>
  <c r="G194" i="3"/>
  <c r="H194" i="3"/>
  <c r="I194" i="3"/>
  <c r="F195" i="3"/>
  <c r="G195" i="3"/>
  <c r="I195" i="3"/>
  <c r="F196" i="3"/>
  <c r="H196" i="3" s="1"/>
  <c r="G196" i="3"/>
  <c r="I196" i="3"/>
  <c r="F197" i="3"/>
  <c r="H197" i="3" s="1"/>
  <c r="G197" i="3"/>
  <c r="I197" i="3"/>
  <c r="F198" i="3"/>
  <c r="H198" i="3" s="1"/>
  <c r="G198" i="3"/>
  <c r="I198" i="3"/>
  <c r="F199" i="3"/>
  <c r="G199" i="3"/>
  <c r="I199" i="3"/>
  <c r="F200" i="3"/>
  <c r="G200" i="3"/>
  <c r="H200" i="3"/>
  <c r="I200" i="3"/>
  <c r="F201" i="3"/>
  <c r="G201" i="3"/>
  <c r="I201" i="3"/>
  <c r="F202" i="3"/>
  <c r="G202" i="3"/>
  <c r="H202" i="3"/>
  <c r="I202" i="3"/>
  <c r="F203" i="3"/>
  <c r="G203" i="3"/>
  <c r="I203" i="3"/>
  <c r="F204" i="3"/>
  <c r="H204" i="3" s="1"/>
  <c r="G204" i="3"/>
  <c r="I204" i="3"/>
  <c r="F205" i="3"/>
  <c r="H205" i="3" s="1"/>
  <c r="G205" i="3"/>
  <c r="I205" i="3"/>
  <c r="F206" i="3"/>
  <c r="H206" i="3" s="1"/>
  <c r="G206" i="3"/>
  <c r="I206" i="3"/>
  <c r="F207" i="3"/>
  <c r="G207" i="3"/>
  <c r="I207" i="3"/>
  <c r="F208" i="3"/>
  <c r="G208" i="3"/>
  <c r="H208" i="3"/>
  <c r="I208" i="3"/>
  <c r="F209" i="3"/>
  <c r="G209" i="3"/>
  <c r="H209" i="3"/>
  <c r="I209" i="3"/>
  <c r="F210" i="3"/>
  <c r="G210" i="3"/>
  <c r="H210" i="3"/>
  <c r="I210" i="3"/>
  <c r="F211" i="3"/>
  <c r="G211" i="3"/>
  <c r="H211" i="3"/>
  <c r="I211" i="3"/>
  <c r="F212" i="3"/>
  <c r="G212" i="3"/>
  <c r="H212" i="3"/>
  <c r="I212" i="3"/>
  <c r="F213" i="3"/>
  <c r="G213" i="3"/>
  <c r="H213" i="3"/>
  <c r="I213" i="3"/>
  <c r="F214" i="3"/>
  <c r="G214" i="3"/>
  <c r="H214" i="3"/>
  <c r="I214" i="3"/>
  <c r="F215" i="3"/>
  <c r="G215" i="3"/>
  <c r="H215" i="3"/>
  <c r="I215" i="3"/>
  <c r="F216" i="3"/>
  <c r="G216" i="3"/>
  <c r="H216" i="3"/>
  <c r="I216" i="3"/>
  <c r="F217" i="3"/>
  <c r="G217" i="3"/>
  <c r="H217" i="3"/>
  <c r="I217" i="3"/>
  <c r="F218" i="3"/>
  <c r="G218" i="3"/>
  <c r="H218" i="3"/>
  <c r="I218" i="3"/>
  <c r="F219" i="3"/>
  <c r="G219" i="3"/>
  <c r="H219" i="3"/>
  <c r="I219" i="3"/>
  <c r="F220" i="3"/>
  <c r="G220" i="3"/>
  <c r="H220" i="3"/>
  <c r="I220" i="3"/>
  <c r="F221" i="3"/>
  <c r="G221" i="3"/>
  <c r="H221" i="3"/>
  <c r="I221" i="3"/>
  <c r="F222" i="3"/>
  <c r="G222" i="3"/>
  <c r="H222" i="3"/>
  <c r="I222" i="3"/>
  <c r="F223" i="3"/>
  <c r="G223" i="3"/>
  <c r="H223" i="3"/>
  <c r="I223" i="3"/>
  <c r="F224" i="3"/>
  <c r="G224" i="3"/>
  <c r="H224" i="3"/>
  <c r="I224" i="3"/>
  <c r="F225" i="3"/>
  <c r="G225" i="3"/>
  <c r="H225" i="3"/>
  <c r="I225" i="3"/>
  <c r="F226" i="3"/>
  <c r="G226" i="3"/>
  <c r="H226" i="3"/>
  <c r="I226" i="3"/>
  <c r="F227" i="3"/>
  <c r="G227" i="3"/>
  <c r="H227" i="3"/>
  <c r="I227" i="3"/>
  <c r="F228" i="3"/>
  <c r="G228" i="3"/>
  <c r="H228" i="3"/>
  <c r="I228" i="3"/>
  <c r="F229" i="3"/>
  <c r="G229" i="3"/>
  <c r="H229" i="3"/>
  <c r="I229" i="3"/>
  <c r="F230" i="3"/>
  <c r="G230" i="3"/>
  <c r="H230" i="3"/>
  <c r="I230" i="3"/>
  <c r="F231" i="3"/>
  <c r="G231" i="3"/>
  <c r="H231" i="3"/>
  <c r="I231" i="3"/>
  <c r="F232" i="3"/>
  <c r="G232" i="3"/>
  <c r="H232" i="3"/>
  <c r="I232" i="3"/>
  <c r="F233" i="3"/>
  <c r="G233" i="3"/>
  <c r="H233" i="3"/>
  <c r="I233" i="3"/>
  <c r="F234" i="3"/>
  <c r="G234" i="3"/>
  <c r="H234" i="3"/>
  <c r="I234" i="3"/>
  <c r="F235" i="3"/>
  <c r="G235" i="3"/>
  <c r="H235" i="3"/>
  <c r="I235" i="3"/>
  <c r="F236" i="3"/>
  <c r="G236" i="3"/>
  <c r="H236" i="3"/>
  <c r="I236" i="3"/>
  <c r="F237" i="3"/>
  <c r="G237" i="3"/>
  <c r="H237" i="3"/>
  <c r="I237" i="3"/>
  <c r="F238" i="3"/>
  <c r="G238" i="3"/>
  <c r="H238" i="3"/>
  <c r="I238" i="3"/>
  <c r="F239" i="3"/>
  <c r="G239" i="3"/>
  <c r="H239" i="3"/>
  <c r="I239" i="3"/>
  <c r="F240" i="3"/>
  <c r="G240" i="3"/>
  <c r="H240" i="3"/>
  <c r="I240" i="3"/>
  <c r="F241" i="3"/>
  <c r="G241" i="3"/>
  <c r="H241" i="3"/>
  <c r="I241" i="3"/>
  <c r="F242" i="3"/>
  <c r="G242" i="3"/>
  <c r="H242" i="3"/>
  <c r="I242" i="3"/>
  <c r="F243" i="3"/>
  <c r="G243" i="3"/>
  <c r="H243" i="3"/>
  <c r="I243" i="3"/>
  <c r="F244" i="3"/>
  <c r="G244" i="3"/>
  <c r="H244" i="3"/>
  <c r="I244" i="3"/>
  <c r="F245" i="3"/>
  <c r="G245" i="3"/>
  <c r="H245" i="3"/>
  <c r="I245" i="3"/>
  <c r="F246" i="3"/>
  <c r="G246" i="3"/>
  <c r="H246" i="3"/>
  <c r="I246" i="3"/>
  <c r="F247" i="3"/>
  <c r="G247" i="3"/>
  <c r="H247" i="3"/>
  <c r="I247" i="3"/>
  <c r="F248" i="3"/>
  <c r="G248" i="3"/>
  <c r="H248" i="3"/>
  <c r="I248" i="3"/>
  <c r="F249" i="3"/>
  <c r="G249" i="3"/>
  <c r="H249" i="3"/>
  <c r="I249" i="3"/>
  <c r="F250" i="3"/>
  <c r="G250" i="3"/>
  <c r="H250" i="3"/>
  <c r="I250" i="3"/>
  <c r="F251" i="3"/>
  <c r="G251" i="3"/>
  <c r="H251" i="3"/>
  <c r="I251" i="3"/>
  <c r="F252" i="3"/>
  <c r="G252" i="3"/>
  <c r="H252" i="3"/>
  <c r="I252" i="3"/>
  <c r="F253" i="3"/>
  <c r="G253" i="3"/>
  <c r="H253" i="3"/>
  <c r="I253" i="3"/>
  <c r="F254" i="3"/>
  <c r="G254" i="3"/>
  <c r="H254" i="3"/>
  <c r="I254" i="3"/>
  <c r="F255" i="3"/>
  <c r="G255" i="3"/>
  <c r="H255" i="3"/>
  <c r="I255" i="3"/>
  <c r="F256" i="3"/>
  <c r="G256" i="3"/>
  <c r="H256" i="3"/>
  <c r="I256" i="3"/>
  <c r="F257" i="3"/>
  <c r="G257" i="3"/>
  <c r="H257" i="3"/>
  <c r="I257" i="3"/>
  <c r="F258" i="3"/>
  <c r="G258" i="3"/>
  <c r="H258" i="3"/>
  <c r="I258" i="3"/>
  <c r="F259" i="3"/>
  <c r="G259" i="3"/>
  <c r="H259" i="3"/>
  <c r="I259" i="3"/>
  <c r="F260" i="3"/>
  <c r="G260" i="3"/>
  <c r="H260" i="3"/>
  <c r="I260" i="3"/>
  <c r="F261" i="3"/>
  <c r="G261" i="3"/>
  <c r="H261" i="3"/>
  <c r="I261" i="3"/>
  <c r="F262" i="3"/>
  <c r="G262" i="3"/>
  <c r="H262" i="3"/>
  <c r="I262" i="3"/>
  <c r="F263" i="3"/>
  <c r="G263" i="3"/>
  <c r="H263" i="3"/>
  <c r="I263" i="3"/>
  <c r="F264" i="3"/>
  <c r="G264" i="3"/>
  <c r="H264" i="3"/>
  <c r="I264" i="3"/>
  <c r="F265" i="3"/>
  <c r="G265" i="3"/>
  <c r="H265" i="3"/>
  <c r="I265" i="3"/>
  <c r="F266" i="3"/>
  <c r="G266" i="3"/>
  <c r="H266" i="3"/>
  <c r="I266" i="3"/>
  <c r="F267" i="3"/>
  <c r="G267" i="3"/>
  <c r="H267" i="3"/>
  <c r="I267" i="3"/>
  <c r="F268" i="3"/>
  <c r="G268" i="3"/>
  <c r="H268" i="3"/>
  <c r="I268" i="3"/>
  <c r="F269" i="3"/>
  <c r="G269" i="3"/>
  <c r="H269" i="3"/>
  <c r="I269" i="3"/>
  <c r="F270" i="3"/>
  <c r="G270" i="3"/>
  <c r="H270" i="3"/>
  <c r="I270" i="3"/>
  <c r="F271" i="3"/>
  <c r="G271" i="3"/>
  <c r="H271" i="3"/>
  <c r="I271" i="3"/>
  <c r="F272" i="3"/>
  <c r="G272" i="3"/>
  <c r="H272" i="3"/>
  <c r="I272" i="3"/>
  <c r="F273" i="3"/>
  <c r="G273" i="3"/>
  <c r="H273" i="3"/>
  <c r="I273" i="3"/>
  <c r="F274" i="3"/>
  <c r="G274" i="3"/>
  <c r="H274" i="3"/>
  <c r="I274" i="3"/>
  <c r="F275" i="3"/>
  <c r="G275" i="3"/>
  <c r="H275" i="3"/>
  <c r="I275" i="3"/>
  <c r="F276" i="3"/>
  <c r="G276" i="3"/>
  <c r="H276" i="3"/>
  <c r="I276" i="3"/>
  <c r="F277" i="3"/>
  <c r="G277" i="3"/>
  <c r="H277" i="3"/>
  <c r="I277" i="3"/>
  <c r="F278" i="3"/>
  <c r="G278" i="3"/>
  <c r="H278" i="3"/>
  <c r="I278" i="3"/>
  <c r="F279" i="3"/>
  <c r="G279" i="3"/>
  <c r="H279" i="3"/>
  <c r="I279" i="3"/>
  <c r="F280" i="3"/>
  <c r="G280" i="3"/>
  <c r="H280" i="3"/>
  <c r="I280" i="3"/>
  <c r="F281" i="3"/>
  <c r="G281" i="3"/>
  <c r="H281" i="3"/>
  <c r="I281" i="3"/>
  <c r="F282" i="3"/>
  <c r="G282" i="3"/>
  <c r="H282" i="3"/>
  <c r="I282" i="3"/>
  <c r="F283" i="3"/>
  <c r="G283" i="3"/>
  <c r="H283" i="3"/>
  <c r="I283" i="3"/>
  <c r="F284" i="3"/>
  <c r="G284" i="3"/>
  <c r="H284" i="3"/>
  <c r="I284" i="3"/>
  <c r="F285" i="3"/>
  <c r="G285" i="3"/>
  <c r="H285" i="3"/>
  <c r="I285" i="3"/>
  <c r="F286" i="3"/>
  <c r="G286" i="3"/>
  <c r="H286" i="3"/>
  <c r="I286" i="3"/>
  <c r="F287" i="3"/>
  <c r="G287" i="3"/>
  <c r="H287" i="3"/>
  <c r="I287" i="3"/>
  <c r="F288" i="3"/>
  <c r="G288" i="3"/>
  <c r="H288" i="3"/>
  <c r="I288" i="3"/>
  <c r="F289" i="3"/>
  <c r="G289" i="3"/>
  <c r="H289" i="3"/>
  <c r="I289" i="3"/>
  <c r="F290" i="3"/>
  <c r="G290" i="3"/>
  <c r="H290" i="3"/>
  <c r="I290" i="3"/>
  <c r="F291" i="3"/>
  <c r="G291" i="3"/>
  <c r="H291" i="3"/>
  <c r="I291" i="3"/>
  <c r="F292" i="3"/>
  <c r="G292" i="3"/>
  <c r="H292" i="3"/>
  <c r="I292" i="3"/>
  <c r="F293" i="3"/>
  <c r="G293" i="3"/>
  <c r="H293" i="3"/>
  <c r="I293" i="3"/>
  <c r="F294" i="3"/>
  <c r="G294" i="3"/>
  <c r="H294" i="3"/>
  <c r="I294" i="3"/>
  <c r="F295" i="3"/>
  <c r="G295" i="3"/>
  <c r="H295" i="3"/>
  <c r="I295" i="3"/>
  <c r="F296" i="3"/>
  <c r="G296" i="3"/>
  <c r="H296" i="3"/>
  <c r="I296" i="3"/>
  <c r="F297" i="3"/>
  <c r="G297" i="3"/>
  <c r="H297" i="3"/>
  <c r="I297" i="3"/>
  <c r="F298" i="3"/>
  <c r="G298" i="3"/>
  <c r="H298" i="3"/>
  <c r="I298" i="3"/>
  <c r="F299" i="3"/>
  <c r="G299" i="3"/>
  <c r="H299" i="3"/>
  <c r="I299" i="3"/>
  <c r="F300" i="3"/>
  <c r="G300" i="3"/>
  <c r="H300" i="3"/>
  <c r="I300" i="3"/>
  <c r="F301" i="3"/>
  <c r="G301" i="3"/>
  <c r="H301" i="3"/>
  <c r="I301" i="3"/>
  <c r="F302" i="3"/>
  <c r="G302" i="3"/>
  <c r="H302" i="3"/>
  <c r="I302" i="3"/>
  <c r="F303" i="3"/>
  <c r="G303" i="3"/>
  <c r="H303" i="3"/>
  <c r="I303" i="3"/>
  <c r="F304" i="3"/>
  <c r="G304" i="3"/>
  <c r="H304" i="3"/>
  <c r="I304" i="3"/>
  <c r="F305" i="3"/>
  <c r="G305" i="3"/>
  <c r="H305" i="3"/>
  <c r="I305" i="3"/>
  <c r="F306" i="3"/>
  <c r="G306" i="3"/>
  <c r="H306" i="3"/>
  <c r="I306" i="3"/>
  <c r="F307" i="3"/>
  <c r="G307" i="3"/>
  <c r="H307" i="3"/>
  <c r="I307" i="3"/>
  <c r="F308" i="3"/>
  <c r="G308" i="3"/>
  <c r="H308" i="3"/>
  <c r="I308" i="3"/>
  <c r="F309" i="3"/>
  <c r="G309" i="3"/>
  <c r="H309" i="3"/>
  <c r="I309" i="3"/>
  <c r="F310" i="3"/>
  <c r="G310" i="3"/>
  <c r="H310" i="3"/>
  <c r="I310" i="3"/>
  <c r="F311" i="3"/>
  <c r="G311" i="3"/>
  <c r="H311" i="3"/>
  <c r="I311" i="3"/>
  <c r="F312" i="3"/>
  <c r="G312" i="3"/>
  <c r="H312" i="3"/>
  <c r="I312" i="3"/>
  <c r="F313" i="3"/>
  <c r="G313" i="3"/>
  <c r="H313" i="3"/>
  <c r="I313" i="3"/>
  <c r="F314" i="3"/>
  <c r="G314" i="3"/>
  <c r="H314" i="3"/>
  <c r="I314" i="3"/>
  <c r="F315" i="3"/>
  <c r="G315" i="3"/>
  <c r="H315" i="3"/>
  <c r="I315" i="3"/>
  <c r="F316" i="3"/>
  <c r="G316" i="3"/>
  <c r="H316" i="3"/>
  <c r="I316" i="3"/>
  <c r="F317" i="3"/>
  <c r="G317" i="3"/>
  <c r="H317" i="3"/>
  <c r="I317" i="3"/>
  <c r="F318" i="3"/>
  <c r="G318" i="3"/>
  <c r="H318" i="3"/>
  <c r="I318" i="3"/>
  <c r="F319" i="3"/>
  <c r="G319" i="3"/>
  <c r="H319" i="3"/>
  <c r="I319" i="3"/>
  <c r="F320" i="3"/>
  <c r="G320" i="3"/>
  <c r="H320" i="3"/>
  <c r="I320" i="3"/>
  <c r="F321" i="3"/>
  <c r="G321" i="3"/>
  <c r="H321" i="3"/>
  <c r="I321" i="3"/>
  <c r="F322" i="3"/>
  <c r="G322" i="3"/>
  <c r="H322" i="3"/>
  <c r="I322" i="3"/>
  <c r="F323" i="3"/>
  <c r="G323" i="3"/>
  <c r="H323" i="3"/>
  <c r="I323" i="3"/>
  <c r="F324" i="3"/>
  <c r="G324" i="3"/>
  <c r="H324" i="3"/>
  <c r="I324" i="3"/>
  <c r="F325" i="3"/>
  <c r="G325" i="3"/>
  <c r="H325" i="3"/>
  <c r="I325" i="3"/>
  <c r="F326" i="3"/>
  <c r="G326" i="3"/>
  <c r="H326" i="3"/>
  <c r="I326" i="3"/>
  <c r="F327" i="3"/>
  <c r="G327" i="3"/>
  <c r="H327" i="3"/>
  <c r="I327" i="3"/>
  <c r="F328" i="3"/>
  <c r="G328" i="3"/>
  <c r="H328" i="3"/>
  <c r="I328" i="3"/>
  <c r="F329" i="3"/>
  <c r="G329" i="3"/>
  <c r="H329" i="3"/>
  <c r="I329" i="3"/>
  <c r="F330" i="3"/>
  <c r="G330" i="3"/>
  <c r="H330" i="3"/>
  <c r="I330" i="3"/>
  <c r="F331" i="3"/>
  <c r="G331" i="3"/>
  <c r="H331" i="3"/>
  <c r="I331" i="3"/>
  <c r="F332" i="3"/>
  <c r="G332" i="3"/>
  <c r="H332" i="3"/>
  <c r="I332" i="3"/>
  <c r="F333" i="3"/>
  <c r="G333" i="3"/>
  <c r="H333" i="3"/>
  <c r="I333" i="3"/>
  <c r="F334" i="3"/>
  <c r="G334" i="3"/>
  <c r="H334" i="3"/>
  <c r="I334" i="3"/>
  <c r="F335" i="3"/>
  <c r="G335" i="3"/>
  <c r="H335" i="3"/>
  <c r="I335" i="3"/>
  <c r="F336" i="3"/>
  <c r="G336" i="3"/>
  <c r="H336" i="3"/>
  <c r="I336" i="3"/>
  <c r="F337" i="3"/>
  <c r="G337" i="3"/>
  <c r="H337" i="3"/>
  <c r="I337" i="3"/>
  <c r="F338" i="3"/>
  <c r="G338" i="3"/>
  <c r="H338" i="3"/>
  <c r="I338" i="3"/>
  <c r="F339" i="3"/>
  <c r="G339" i="3"/>
  <c r="H339" i="3"/>
  <c r="I339" i="3"/>
  <c r="F340" i="3"/>
  <c r="G340" i="3"/>
  <c r="H340" i="3"/>
  <c r="I340" i="3"/>
  <c r="F341" i="3"/>
  <c r="G341" i="3"/>
  <c r="H341" i="3"/>
  <c r="I341" i="3"/>
  <c r="F342" i="3"/>
  <c r="G342" i="3"/>
  <c r="H342" i="3"/>
  <c r="I342" i="3"/>
  <c r="F343" i="3"/>
  <c r="G343" i="3"/>
  <c r="H343" i="3"/>
  <c r="I343" i="3"/>
  <c r="F344" i="3"/>
  <c r="G344" i="3"/>
  <c r="H344" i="3"/>
  <c r="I344" i="3"/>
  <c r="F345" i="3"/>
  <c r="G345" i="3"/>
  <c r="H345" i="3"/>
  <c r="I345" i="3"/>
  <c r="F346" i="3"/>
  <c r="G346" i="3"/>
  <c r="H346" i="3"/>
  <c r="I346" i="3"/>
  <c r="F347" i="3"/>
  <c r="G347" i="3"/>
  <c r="H347" i="3"/>
  <c r="I347" i="3"/>
  <c r="F348" i="3"/>
  <c r="G348" i="3"/>
  <c r="H348" i="3"/>
  <c r="I348" i="3"/>
  <c r="F349" i="3"/>
  <c r="G349" i="3"/>
  <c r="H349" i="3"/>
  <c r="I349" i="3"/>
  <c r="F350" i="3"/>
  <c r="G350" i="3"/>
  <c r="H350" i="3"/>
  <c r="I350" i="3"/>
  <c r="F351" i="3"/>
  <c r="G351" i="3"/>
  <c r="H351" i="3"/>
  <c r="I351" i="3"/>
  <c r="F352" i="3"/>
  <c r="G352" i="3"/>
  <c r="H352" i="3"/>
  <c r="I352" i="3"/>
  <c r="F353" i="3"/>
  <c r="G353" i="3"/>
  <c r="H353" i="3"/>
  <c r="I353" i="3"/>
  <c r="F354" i="3"/>
  <c r="G354" i="3"/>
  <c r="H354" i="3"/>
  <c r="I354" i="3"/>
  <c r="F355" i="3"/>
  <c r="G355" i="3"/>
  <c r="H355" i="3"/>
  <c r="I355" i="3"/>
  <c r="F356" i="3"/>
  <c r="G356" i="3"/>
  <c r="H356" i="3"/>
  <c r="I356" i="3"/>
  <c r="F357" i="3"/>
  <c r="G357" i="3"/>
  <c r="H357" i="3"/>
  <c r="I357" i="3"/>
  <c r="F358" i="3"/>
  <c r="G358" i="3"/>
  <c r="H358" i="3"/>
  <c r="I358" i="3"/>
  <c r="F359" i="3"/>
  <c r="G359" i="3"/>
  <c r="H359" i="3"/>
  <c r="I359" i="3"/>
  <c r="F360" i="3"/>
  <c r="G360" i="3"/>
  <c r="H360" i="3"/>
  <c r="I360" i="3"/>
  <c r="F361" i="3"/>
  <c r="G361" i="3"/>
  <c r="H361" i="3"/>
  <c r="I361" i="3"/>
  <c r="F362" i="3"/>
  <c r="G362" i="3"/>
  <c r="H362" i="3"/>
  <c r="I362" i="3"/>
  <c r="F363" i="3"/>
  <c r="G363" i="3"/>
  <c r="H363" i="3"/>
  <c r="I363" i="3"/>
  <c r="F364" i="3"/>
  <c r="G364" i="3"/>
  <c r="H364" i="3"/>
  <c r="I364" i="3"/>
  <c r="F365" i="3"/>
  <c r="G365" i="3"/>
  <c r="H365" i="3"/>
  <c r="I365" i="3"/>
  <c r="F366" i="3"/>
  <c r="G366" i="3"/>
  <c r="H366" i="3"/>
  <c r="I366" i="3"/>
  <c r="F367" i="3"/>
  <c r="G367" i="3"/>
  <c r="H367" i="3"/>
  <c r="I367" i="3"/>
  <c r="F368" i="3"/>
  <c r="G368" i="3"/>
  <c r="H368" i="3"/>
  <c r="I368" i="3"/>
  <c r="F369" i="3"/>
  <c r="G369" i="3"/>
  <c r="H369" i="3"/>
  <c r="I369" i="3"/>
  <c r="F370" i="3"/>
  <c r="G370" i="3"/>
  <c r="H370" i="3"/>
  <c r="I370" i="3"/>
  <c r="F371" i="3"/>
  <c r="G371" i="3"/>
  <c r="H371" i="3"/>
  <c r="I371" i="3"/>
  <c r="F372" i="3"/>
  <c r="G372" i="3"/>
  <c r="H372" i="3"/>
  <c r="I372" i="3"/>
  <c r="F373" i="3"/>
  <c r="G373" i="3"/>
  <c r="H373" i="3"/>
  <c r="I373" i="3"/>
  <c r="F374" i="3"/>
  <c r="G374" i="3"/>
  <c r="H374" i="3"/>
  <c r="I374" i="3"/>
  <c r="F375" i="3"/>
  <c r="G375" i="3"/>
  <c r="H375" i="3"/>
  <c r="I375" i="3"/>
  <c r="F376" i="3"/>
  <c r="G376" i="3"/>
  <c r="H376" i="3"/>
  <c r="I376" i="3"/>
  <c r="F377" i="3"/>
  <c r="G377" i="3"/>
  <c r="H377" i="3"/>
  <c r="I377" i="3"/>
  <c r="F378" i="3"/>
  <c r="G378" i="3"/>
  <c r="H378" i="3"/>
  <c r="I378" i="3"/>
  <c r="F379" i="3"/>
  <c r="G379" i="3"/>
  <c r="H379" i="3"/>
  <c r="I379" i="3"/>
  <c r="F380" i="3"/>
  <c r="G380" i="3"/>
  <c r="H380" i="3"/>
  <c r="I380" i="3"/>
  <c r="F381" i="3"/>
  <c r="G381" i="3"/>
  <c r="H381" i="3"/>
  <c r="I381" i="3"/>
  <c r="F382" i="3"/>
  <c r="G382" i="3"/>
  <c r="H382" i="3"/>
  <c r="I382" i="3"/>
  <c r="F383" i="3"/>
  <c r="G383" i="3"/>
  <c r="H383" i="3"/>
  <c r="I383" i="3"/>
  <c r="F384" i="3"/>
  <c r="G384" i="3"/>
  <c r="H384" i="3"/>
  <c r="I384" i="3"/>
  <c r="F385" i="3"/>
  <c r="G385" i="3"/>
  <c r="H385" i="3"/>
  <c r="I385" i="3"/>
  <c r="F386" i="3"/>
  <c r="G386" i="3"/>
  <c r="H386" i="3"/>
  <c r="I386" i="3"/>
  <c r="F387" i="3"/>
  <c r="G387" i="3"/>
  <c r="H387" i="3"/>
  <c r="I387" i="3"/>
  <c r="F388" i="3"/>
  <c r="G388" i="3"/>
  <c r="H388" i="3"/>
  <c r="I388" i="3"/>
  <c r="F389" i="3"/>
  <c r="G389" i="3"/>
  <c r="H389" i="3"/>
  <c r="I389" i="3"/>
  <c r="F390" i="3"/>
  <c r="G390" i="3"/>
  <c r="H390" i="3"/>
  <c r="I390" i="3"/>
  <c r="F391" i="3"/>
  <c r="G391" i="3"/>
  <c r="H391" i="3"/>
  <c r="I391" i="3"/>
  <c r="F392" i="3"/>
  <c r="G392" i="3"/>
  <c r="H392" i="3"/>
  <c r="I392" i="3"/>
  <c r="F393" i="3"/>
  <c r="G393" i="3"/>
  <c r="H393" i="3"/>
  <c r="I393" i="3"/>
  <c r="F394" i="3"/>
  <c r="G394" i="3"/>
  <c r="H394" i="3"/>
  <c r="I394" i="3"/>
  <c r="F395" i="3"/>
  <c r="G395" i="3"/>
  <c r="H395" i="3"/>
  <c r="I395" i="3"/>
  <c r="F396" i="3"/>
  <c r="G396" i="3"/>
  <c r="H396" i="3"/>
  <c r="I396" i="3"/>
  <c r="F397" i="3"/>
  <c r="G397" i="3"/>
  <c r="H397" i="3"/>
  <c r="I397" i="3"/>
  <c r="F398" i="3"/>
  <c r="G398" i="3"/>
  <c r="H398" i="3"/>
  <c r="I398" i="3"/>
  <c r="F399" i="3"/>
  <c r="G399" i="3"/>
  <c r="H399" i="3"/>
  <c r="I399" i="3"/>
  <c r="F400" i="3"/>
  <c r="G400" i="3"/>
  <c r="H400" i="3"/>
  <c r="I400" i="3"/>
  <c r="F401" i="3"/>
  <c r="G401" i="3"/>
  <c r="H401" i="3"/>
  <c r="I401" i="3"/>
  <c r="F402" i="3"/>
  <c r="G402" i="3"/>
  <c r="H402" i="3"/>
  <c r="I402" i="3"/>
  <c r="F403" i="3"/>
  <c r="G403" i="3"/>
  <c r="H403" i="3"/>
  <c r="I403" i="3"/>
  <c r="F404" i="3"/>
  <c r="G404" i="3"/>
  <c r="H404" i="3"/>
  <c r="I404" i="3"/>
  <c r="F405" i="3"/>
  <c r="G405" i="3"/>
  <c r="H405" i="3"/>
  <c r="I405" i="3"/>
  <c r="F406" i="3"/>
  <c r="G406" i="3"/>
  <c r="H406" i="3"/>
  <c r="I406" i="3"/>
  <c r="F407" i="3"/>
  <c r="G407" i="3"/>
  <c r="H407" i="3"/>
  <c r="I407" i="3"/>
  <c r="F408" i="3"/>
  <c r="G408" i="3"/>
  <c r="H408" i="3"/>
  <c r="I408" i="3"/>
  <c r="F409" i="3"/>
  <c r="G409" i="3"/>
  <c r="H409" i="3"/>
  <c r="I409" i="3"/>
  <c r="F410" i="3"/>
  <c r="G410" i="3"/>
  <c r="H410" i="3"/>
  <c r="I410" i="3"/>
  <c r="F411" i="3"/>
  <c r="G411" i="3"/>
  <c r="H411" i="3"/>
  <c r="I411" i="3"/>
  <c r="F412" i="3"/>
  <c r="G412" i="3"/>
  <c r="H412" i="3"/>
  <c r="I412" i="3"/>
  <c r="F413" i="3"/>
  <c r="G413" i="3"/>
  <c r="H413" i="3"/>
  <c r="I413" i="3"/>
  <c r="F414" i="3"/>
  <c r="G414" i="3"/>
  <c r="H414" i="3"/>
  <c r="I414" i="3"/>
  <c r="F415" i="3"/>
  <c r="G415" i="3"/>
  <c r="H415" i="3"/>
  <c r="I415" i="3"/>
  <c r="F416" i="3"/>
  <c r="G416" i="3"/>
  <c r="H416" i="3"/>
  <c r="I416" i="3"/>
  <c r="F417" i="3"/>
  <c r="G417" i="3"/>
  <c r="H417" i="3"/>
  <c r="I417" i="3"/>
  <c r="F418" i="3"/>
  <c r="G418" i="3"/>
  <c r="H418" i="3"/>
  <c r="I418" i="3"/>
  <c r="F419" i="3"/>
  <c r="G419" i="3"/>
  <c r="H419" i="3"/>
  <c r="I419" i="3"/>
  <c r="F420" i="3"/>
  <c r="G420" i="3"/>
  <c r="H420" i="3"/>
  <c r="I420" i="3"/>
  <c r="F421" i="3"/>
  <c r="G421" i="3"/>
  <c r="H421" i="3"/>
  <c r="I421" i="3"/>
  <c r="F422" i="3"/>
  <c r="G422" i="3"/>
  <c r="H422" i="3"/>
  <c r="I422" i="3"/>
  <c r="F423" i="3"/>
  <c r="G423" i="3"/>
  <c r="H423" i="3"/>
  <c r="I423" i="3"/>
  <c r="F424" i="3"/>
  <c r="G424" i="3"/>
  <c r="H424" i="3"/>
  <c r="I424" i="3"/>
  <c r="F425" i="3"/>
  <c r="G425" i="3"/>
  <c r="H425" i="3"/>
  <c r="I425" i="3"/>
  <c r="F426" i="3"/>
  <c r="G426" i="3"/>
  <c r="H426" i="3"/>
  <c r="I426" i="3"/>
  <c r="F427" i="3"/>
  <c r="G427" i="3"/>
  <c r="H427" i="3"/>
  <c r="I427" i="3"/>
  <c r="F428" i="3"/>
  <c r="G428" i="3"/>
  <c r="H428" i="3"/>
  <c r="I428" i="3"/>
  <c r="F429" i="3"/>
  <c r="G429" i="3"/>
  <c r="H429" i="3"/>
  <c r="I429" i="3"/>
  <c r="F430" i="3"/>
  <c r="G430" i="3"/>
  <c r="H430" i="3"/>
  <c r="I430" i="3"/>
  <c r="F431" i="3"/>
  <c r="G431" i="3"/>
  <c r="H431" i="3"/>
  <c r="I431" i="3"/>
  <c r="F432" i="3"/>
  <c r="G432" i="3"/>
  <c r="H432" i="3"/>
  <c r="I432" i="3"/>
  <c r="F433" i="3"/>
  <c r="G433" i="3"/>
  <c r="H433" i="3"/>
  <c r="I433" i="3"/>
  <c r="F434" i="3"/>
  <c r="G434" i="3"/>
  <c r="H434" i="3"/>
  <c r="I434" i="3"/>
  <c r="F435" i="3"/>
  <c r="G435" i="3"/>
  <c r="H435" i="3"/>
  <c r="I435" i="3"/>
  <c r="F436" i="3"/>
  <c r="G436" i="3"/>
  <c r="H436" i="3"/>
  <c r="I436" i="3"/>
  <c r="F437" i="3"/>
  <c r="G437" i="3"/>
  <c r="H437" i="3"/>
  <c r="I437" i="3"/>
  <c r="F438" i="3"/>
  <c r="G438" i="3"/>
  <c r="H438" i="3"/>
  <c r="I438" i="3"/>
  <c r="F439" i="3"/>
  <c r="G439" i="3"/>
  <c r="H439" i="3"/>
  <c r="I439" i="3"/>
  <c r="F440" i="3"/>
  <c r="G440" i="3"/>
  <c r="H440" i="3"/>
  <c r="I440" i="3"/>
  <c r="F441" i="3"/>
  <c r="G441" i="3"/>
  <c r="H441" i="3"/>
  <c r="I441" i="3"/>
  <c r="F442" i="3"/>
  <c r="G442" i="3"/>
  <c r="H442" i="3"/>
  <c r="I442" i="3"/>
  <c r="F443" i="3"/>
  <c r="G443" i="3"/>
  <c r="H443" i="3"/>
  <c r="I443" i="3"/>
  <c r="F444" i="3"/>
  <c r="G444" i="3"/>
  <c r="H444" i="3"/>
  <c r="I444" i="3"/>
  <c r="F445" i="3"/>
  <c r="G445" i="3"/>
  <c r="H445" i="3"/>
  <c r="I445" i="3"/>
  <c r="F446" i="3"/>
  <c r="G446" i="3"/>
  <c r="H446" i="3"/>
  <c r="I446" i="3"/>
  <c r="F447" i="3"/>
  <c r="G447" i="3"/>
  <c r="H447" i="3"/>
  <c r="I447" i="3"/>
  <c r="F448" i="3"/>
  <c r="G448" i="3"/>
  <c r="H448" i="3"/>
  <c r="I448" i="3"/>
  <c r="F449" i="3"/>
  <c r="G449" i="3"/>
  <c r="H449" i="3"/>
  <c r="I449" i="3"/>
  <c r="F450" i="3"/>
  <c r="G450" i="3"/>
  <c r="H450" i="3"/>
  <c r="I450" i="3"/>
  <c r="F451" i="3"/>
  <c r="G451" i="3"/>
  <c r="H451" i="3"/>
  <c r="I451" i="3"/>
  <c r="F452" i="3"/>
  <c r="G452" i="3"/>
  <c r="H452" i="3"/>
  <c r="I452" i="3"/>
  <c r="F453" i="3"/>
  <c r="G453" i="3"/>
  <c r="H453" i="3"/>
  <c r="I453" i="3"/>
  <c r="F454" i="3"/>
  <c r="G454" i="3"/>
  <c r="H454" i="3"/>
  <c r="I454" i="3"/>
  <c r="F455" i="3"/>
  <c r="G455" i="3"/>
  <c r="H455" i="3"/>
  <c r="I455" i="3"/>
  <c r="F456" i="3"/>
  <c r="G456" i="3"/>
  <c r="H456" i="3"/>
  <c r="I456" i="3"/>
  <c r="F457" i="3"/>
  <c r="G457" i="3"/>
  <c r="H457" i="3"/>
  <c r="I457" i="3"/>
  <c r="F458" i="3"/>
  <c r="G458" i="3"/>
  <c r="H458" i="3"/>
  <c r="I458" i="3"/>
  <c r="F459" i="3"/>
  <c r="G459" i="3"/>
  <c r="H459" i="3"/>
  <c r="I459" i="3"/>
  <c r="F460" i="3"/>
  <c r="G460" i="3"/>
  <c r="H460" i="3"/>
  <c r="I460" i="3"/>
  <c r="F461" i="3"/>
  <c r="G461" i="3"/>
  <c r="H461" i="3"/>
  <c r="I461" i="3"/>
  <c r="F462" i="3"/>
  <c r="G462" i="3"/>
  <c r="H462" i="3"/>
  <c r="I462" i="3"/>
  <c r="F463" i="3"/>
  <c r="G463" i="3"/>
  <c r="H463" i="3"/>
  <c r="I463" i="3"/>
  <c r="F464" i="3"/>
  <c r="G464" i="3"/>
  <c r="H464" i="3"/>
  <c r="I464" i="3"/>
  <c r="F465" i="3"/>
  <c r="G465" i="3"/>
  <c r="H465" i="3"/>
  <c r="I465" i="3"/>
  <c r="F466" i="3"/>
  <c r="G466" i="3"/>
  <c r="H466" i="3"/>
  <c r="I466" i="3"/>
  <c r="F467" i="3"/>
  <c r="G467" i="3"/>
  <c r="H467" i="3"/>
  <c r="I467" i="3"/>
  <c r="F468" i="3"/>
  <c r="G468" i="3"/>
  <c r="H468" i="3"/>
  <c r="I468" i="3"/>
  <c r="F469" i="3"/>
  <c r="G469" i="3"/>
  <c r="H469" i="3"/>
  <c r="I469" i="3"/>
  <c r="F470" i="3"/>
  <c r="G470" i="3"/>
  <c r="H470" i="3"/>
  <c r="I470" i="3"/>
  <c r="F471" i="3"/>
  <c r="G471" i="3"/>
  <c r="H471" i="3"/>
  <c r="I471" i="3"/>
  <c r="F472" i="3"/>
  <c r="G472" i="3"/>
  <c r="H472" i="3"/>
  <c r="I472" i="3"/>
  <c r="F473" i="3"/>
  <c r="G473" i="3"/>
  <c r="H473" i="3"/>
  <c r="I473" i="3"/>
  <c r="F474" i="3"/>
  <c r="G474" i="3"/>
  <c r="H474" i="3"/>
  <c r="I474" i="3"/>
  <c r="F475" i="3"/>
  <c r="G475" i="3"/>
  <c r="H475" i="3"/>
  <c r="I475" i="3"/>
  <c r="F476" i="3"/>
  <c r="G476" i="3"/>
  <c r="H476" i="3"/>
  <c r="I476" i="3"/>
  <c r="F477" i="3"/>
  <c r="G477" i="3"/>
  <c r="H477" i="3"/>
  <c r="I477" i="3"/>
  <c r="F478" i="3"/>
  <c r="G478" i="3"/>
  <c r="H478" i="3"/>
  <c r="I478" i="3"/>
  <c r="F479" i="3"/>
  <c r="G479" i="3"/>
  <c r="H479" i="3"/>
  <c r="I479" i="3"/>
  <c r="F480" i="3"/>
  <c r="G480" i="3"/>
  <c r="H480" i="3"/>
  <c r="I480" i="3"/>
  <c r="F481" i="3"/>
  <c r="G481" i="3"/>
  <c r="H481" i="3"/>
  <c r="I481" i="3"/>
  <c r="F482" i="3"/>
  <c r="G482" i="3"/>
  <c r="H482" i="3"/>
  <c r="I482" i="3"/>
  <c r="F483" i="3"/>
  <c r="G483" i="3"/>
  <c r="H483" i="3"/>
  <c r="I483" i="3"/>
  <c r="F484" i="3"/>
  <c r="G484" i="3"/>
  <c r="H484" i="3"/>
  <c r="I484" i="3"/>
  <c r="F485" i="3"/>
  <c r="G485" i="3"/>
  <c r="H485" i="3"/>
  <c r="I485" i="3"/>
  <c r="F486" i="3"/>
  <c r="G486" i="3"/>
  <c r="H486" i="3"/>
  <c r="I486" i="3"/>
  <c r="F487" i="3"/>
  <c r="G487" i="3"/>
  <c r="H487" i="3"/>
  <c r="I487" i="3"/>
  <c r="F488" i="3"/>
  <c r="G488" i="3"/>
  <c r="H488" i="3"/>
  <c r="I488" i="3"/>
  <c r="F489" i="3"/>
  <c r="G489" i="3"/>
  <c r="H489" i="3"/>
  <c r="I489" i="3"/>
  <c r="F490" i="3"/>
  <c r="G490" i="3"/>
  <c r="H490" i="3"/>
  <c r="I490" i="3"/>
  <c r="F491" i="3"/>
  <c r="G491" i="3"/>
  <c r="H491" i="3"/>
  <c r="I491" i="3"/>
  <c r="F492" i="3"/>
  <c r="G492" i="3"/>
  <c r="H492" i="3"/>
  <c r="I492" i="3"/>
  <c r="F493" i="3"/>
  <c r="G493" i="3"/>
  <c r="H493" i="3"/>
  <c r="I493" i="3"/>
  <c r="F494" i="3"/>
  <c r="G494" i="3"/>
  <c r="H494" i="3"/>
  <c r="I494" i="3"/>
  <c r="F495" i="3"/>
  <c r="G495" i="3"/>
  <c r="H495" i="3"/>
  <c r="I495" i="3"/>
  <c r="F496" i="3"/>
  <c r="G496" i="3"/>
  <c r="H496" i="3"/>
  <c r="I496" i="3"/>
  <c r="F497" i="3"/>
  <c r="G497" i="3"/>
  <c r="H497" i="3"/>
  <c r="I497" i="3"/>
  <c r="F498" i="3"/>
  <c r="G498" i="3"/>
  <c r="H498" i="3"/>
  <c r="I498" i="3"/>
  <c r="F499" i="3"/>
  <c r="G499" i="3"/>
  <c r="H499" i="3"/>
  <c r="I499" i="3"/>
  <c r="F500" i="3"/>
  <c r="G500" i="3"/>
  <c r="H500" i="3"/>
  <c r="I500" i="3"/>
  <c r="F501" i="3"/>
  <c r="G501" i="3"/>
  <c r="H501" i="3"/>
  <c r="I501" i="3"/>
  <c r="F502" i="3"/>
  <c r="G502" i="3"/>
  <c r="H502" i="3"/>
  <c r="I502" i="3"/>
  <c r="F503" i="3"/>
  <c r="G503" i="3"/>
  <c r="H503" i="3"/>
  <c r="I503" i="3"/>
  <c r="F504" i="3"/>
  <c r="G504" i="3"/>
  <c r="H504" i="3"/>
  <c r="I504" i="3"/>
  <c r="F505" i="3"/>
  <c r="G505" i="3"/>
  <c r="H505" i="3"/>
  <c r="I505" i="3"/>
  <c r="F506" i="3"/>
  <c r="G506" i="3"/>
  <c r="H506" i="3"/>
  <c r="I506" i="3"/>
  <c r="F507" i="3"/>
  <c r="G507" i="3"/>
  <c r="H507" i="3"/>
  <c r="I507" i="3"/>
  <c r="F508" i="3"/>
  <c r="G508" i="3"/>
  <c r="H508" i="3"/>
  <c r="I508" i="3"/>
  <c r="F509" i="3"/>
  <c r="G509" i="3"/>
  <c r="H509" i="3"/>
  <c r="I509" i="3"/>
  <c r="F510" i="3"/>
  <c r="G510" i="3"/>
  <c r="H510" i="3"/>
  <c r="I510" i="3"/>
  <c r="F511" i="3"/>
  <c r="G511" i="3"/>
  <c r="H511" i="3"/>
  <c r="I511" i="3"/>
  <c r="F512" i="3"/>
  <c r="G512" i="3"/>
  <c r="H512" i="3"/>
  <c r="I512" i="3"/>
  <c r="F513" i="3"/>
  <c r="G513" i="3"/>
  <c r="H513" i="3"/>
  <c r="I513" i="3"/>
  <c r="F514" i="3"/>
  <c r="G514" i="3"/>
  <c r="H514" i="3"/>
  <c r="I514" i="3"/>
  <c r="F515" i="3"/>
  <c r="G515" i="3"/>
  <c r="H515" i="3"/>
  <c r="I515" i="3"/>
  <c r="F516" i="3"/>
  <c r="G516" i="3"/>
  <c r="H516" i="3"/>
  <c r="I516" i="3"/>
  <c r="F517" i="3"/>
  <c r="G517" i="3"/>
  <c r="H517" i="3"/>
  <c r="I517" i="3"/>
  <c r="F518" i="3"/>
  <c r="G518" i="3"/>
  <c r="H518" i="3"/>
  <c r="I518" i="3"/>
  <c r="F519" i="3"/>
  <c r="G519" i="3"/>
  <c r="H519" i="3"/>
  <c r="I519" i="3"/>
  <c r="F520" i="3"/>
  <c r="G520" i="3"/>
  <c r="H520" i="3"/>
  <c r="I520" i="3"/>
  <c r="F521" i="3"/>
  <c r="G521" i="3"/>
  <c r="H521" i="3"/>
  <c r="I521" i="3"/>
  <c r="F522" i="3"/>
  <c r="G522" i="3"/>
  <c r="H522" i="3"/>
  <c r="I522" i="3"/>
  <c r="F523" i="3"/>
  <c r="G523" i="3"/>
  <c r="H523" i="3"/>
  <c r="I523" i="3"/>
  <c r="F524" i="3"/>
  <c r="G524" i="3"/>
  <c r="H524" i="3"/>
  <c r="I524" i="3"/>
  <c r="F525" i="3"/>
  <c r="G525" i="3"/>
  <c r="H525" i="3"/>
  <c r="I525" i="3"/>
  <c r="F526" i="3"/>
  <c r="G526" i="3"/>
  <c r="H526" i="3"/>
  <c r="I526" i="3"/>
  <c r="F527" i="3"/>
  <c r="G527" i="3"/>
  <c r="H527" i="3"/>
  <c r="I527" i="3"/>
  <c r="F528" i="3"/>
  <c r="G528" i="3"/>
  <c r="H528" i="3"/>
  <c r="I528" i="3"/>
  <c r="F529" i="3"/>
  <c r="G529" i="3"/>
  <c r="H529" i="3"/>
  <c r="I529" i="3"/>
  <c r="F530" i="3"/>
  <c r="G530" i="3"/>
  <c r="H530" i="3"/>
  <c r="I530" i="3"/>
  <c r="F531" i="3"/>
  <c r="G531" i="3"/>
  <c r="H531" i="3"/>
  <c r="I531" i="3"/>
  <c r="F532" i="3"/>
  <c r="G532" i="3"/>
  <c r="H532" i="3"/>
  <c r="I532" i="3"/>
  <c r="F533" i="3"/>
  <c r="G533" i="3"/>
  <c r="H533" i="3"/>
  <c r="I533" i="3"/>
  <c r="F534" i="3"/>
  <c r="G534" i="3"/>
  <c r="H534" i="3"/>
  <c r="I534" i="3"/>
  <c r="F535" i="3"/>
  <c r="G535" i="3"/>
  <c r="H535" i="3"/>
  <c r="I535" i="3"/>
  <c r="F536" i="3"/>
  <c r="G536" i="3"/>
  <c r="H536" i="3"/>
  <c r="I536" i="3"/>
  <c r="F537" i="3"/>
  <c r="G537" i="3"/>
  <c r="H537" i="3"/>
  <c r="I537" i="3"/>
  <c r="F538" i="3"/>
  <c r="G538" i="3"/>
  <c r="H538" i="3"/>
  <c r="I538" i="3"/>
  <c r="F539" i="3"/>
  <c r="G539" i="3"/>
  <c r="H539" i="3"/>
  <c r="I539" i="3"/>
  <c r="F540" i="3"/>
  <c r="G540" i="3"/>
  <c r="H540" i="3"/>
  <c r="I540" i="3"/>
  <c r="F541" i="3"/>
  <c r="G541" i="3"/>
  <c r="H541" i="3"/>
  <c r="I541" i="3"/>
  <c r="F542" i="3"/>
  <c r="G542" i="3"/>
  <c r="H542" i="3"/>
  <c r="I542" i="3"/>
  <c r="F543" i="3"/>
  <c r="G543" i="3"/>
  <c r="H543" i="3"/>
  <c r="I543" i="3"/>
  <c r="F544" i="3"/>
  <c r="G544" i="3"/>
  <c r="H544" i="3"/>
  <c r="I544" i="3"/>
  <c r="F545" i="3"/>
  <c r="G545" i="3"/>
  <c r="H545" i="3"/>
  <c r="I545" i="3"/>
  <c r="F546" i="3"/>
  <c r="G546" i="3"/>
  <c r="H546" i="3"/>
  <c r="I546" i="3"/>
  <c r="F547" i="3"/>
  <c r="G547" i="3"/>
  <c r="H547" i="3"/>
  <c r="I547" i="3"/>
  <c r="F548" i="3"/>
  <c r="G548" i="3"/>
  <c r="H548" i="3"/>
  <c r="I548" i="3"/>
  <c r="F549" i="3"/>
  <c r="G549" i="3"/>
  <c r="H549" i="3"/>
  <c r="I549" i="3"/>
  <c r="F550" i="3"/>
  <c r="G550" i="3"/>
  <c r="H550" i="3"/>
  <c r="I550" i="3"/>
  <c r="F551" i="3"/>
  <c r="G551" i="3"/>
  <c r="H551" i="3"/>
  <c r="I551" i="3"/>
  <c r="F552" i="3"/>
  <c r="G552" i="3"/>
  <c r="H552" i="3"/>
  <c r="I552" i="3"/>
  <c r="F553" i="3"/>
  <c r="G553" i="3"/>
  <c r="H553" i="3"/>
  <c r="I553" i="3"/>
  <c r="F554" i="3"/>
  <c r="G554" i="3"/>
  <c r="H554" i="3"/>
  <c r="I554" i="3"/>
  <c r="F555" i="3"/>
  <c r="G555" i="3"/>
  <c r="H555" i="3"/>
  <c r="I555" i="3"/>
  <c r="F556" i="3"/>
  <c r="G556" i="3"/>
  <c r="H556" i="3"/>
  <c r="I556" i="3"/>
  <c r="F557" i="3"/>
  <c r="G557" i="3"/>
  <c r="H557" i="3"/>
  <c r="I557" i="3"/>
  <c r="F558" i="3"/>
  <c r="G558" i="3"/>
  <c r="H558" i="3"/>
  <c r="I558" i="3"/>
  <c r="F559" i="3"/>
  <c r="G559" i="3"/>
  <c r="H559" i="3"/>
  <c r="I559" i="3"/>
  <c r="F560" i="3"/>
  <c r="G560" i="3"/>
  <c r="H560" i="3"/>
  <c r="I560" i="3"/>
  <c r="F561" i="3"/>
  <c r="G561" i="3"/>
  <c r="H561" i="3"/>
  <c r="I561" i="3"/>
  <c r="F562" i="3"/>
  <c r="G562" i="3"/>
  <c r="H562" i="3"/>
  <c r="I562" i="3"/>
  <c r="F563" i="3"/>
  <c r="G563" i="3"/>
  <c r="H563" i="3"/>
  <c r="I563" i="3"/>
  <c r="F564" i="3"/>
  <c r="G564" i="3"/>
  <c r="H564" i="3"/>
  <c r="I564" i="3"/>
  <c r="F565" i="3"/>
  <c r="G565" i="3"/>
  <c r="H565" i="3"/>
  <c r="I565" i="3"/>
  <c r="F566" i="3"/>
  <c r="G566" i="3"/>
  <c r="H566" i="3"/>
  <c r="I566" i="3"/>
  <c r="F567" i="3"/>
  <c r="G567" i="3"/>
  <c r="H567" i="3"/>
  <c r="I567" i="3"/>
  <c r="F568" i="3"/>
  <c r="G568" i="3"/>
  <c r="H568" i="3"/>
  <c r="I568" i="3"/>
  <c r="F569" i="3"/>
  <c r="G569" i="3"/>
  <c r="H569" i="3"/>
  <c r="I569" i="3"/>
  <c r="F570" i="3"/>
  <c r="G570" i="3"/>
  <c r="H570" i="3"/>
  <c r="I570" i="3"/>
  <c r="F571" i="3"/>
  <c r="G571" i="3"/>
  <c r="H571" i="3"/>
  <c r="I571" i="3"/>
  <c r="F572" i="3"/>
  <c r="G572" i="3"/>
  <c r="H572" i="3"/>
  <c r="I572" i="3"/>
  <c r="F573" i="3"/>
  <c r="G573" i="3"/>
  <c r="H573" i="3"/>
  <c r="I573" i="3"/>
  <c r="F574" i="3"/>
  <c r="G574" i="3"/>
  <c r="H574" i="3"/>
  <c r="I574" i="3"/>
  <c r="F575" i="3"/>
  <c r="G575" i="3"/>
  <c r="H575" i="3"/>
  <c r="I575" i="3"/>
  <c r="F576" i="3"/>
  <c r="G576" i="3"/>
  <c r="H576" i="3"/>
  <c r="I576" i="3"/>
  <c r="F577" i="3"/>
  <c r="G577" i="3"/>
  <c r="H577" i="3"/>
  <c r="I577" i="3"/>
  <c r="F578" i="3"/>
  <c r="G578" i="3"/>
  <c r="H578" i="3"/>
  <c r="I578" i="3"/>
  <c r="F579" i="3"/>
  <c r="G579" i="3"/>
  <c r="H579" i="3"/>
  <c r="I579" i="3"/>
  <c r="F580" i="3"/>
  <c r="G580" i="3"/>
  <c r="H580" i="3"/>
  <c r="I580" i="3"/>
  <c r="F581" i="3"/>
  <c r="G581" i="3"/>
  <c r="H581" i="3"/>
  <c r="I581" i="3"/>
  <c r="F582" i="3"/>
  <c r="G582" i="3"/>
  <c r="H582" i="3"/>
  <c r="I582" i="3"/>
  <c r="F583" i="3"/>
  <c r="G583" i="3"/>
  <c r="H583" i="3"/>
  <c r="I583" i="3"/>
  <c r="F584" i="3"/>
  <c r="G584" i="3"/>
  <c r="H584" i="3"/>
  <c r="I584" i="3"/>
  <c r="F585" i="3"/>
  <c r="G585" i="3"/>
  <c r="H585" i="3"/>
  <c r="I585" i="3"/>
  <c r="F586" i="3"/>
  <c r="G586" i="3"/>
  <c r="H586" i="3"/>
  <c r="I586" i="3"/>
  <c r="F587" i="3"/>
  <c r="G587" i="3"/>
  <c r="H587" i="3"/>
  <c r="I587" i="3"/>
  <c r="F588" i="3"/>
  <c r="G588" i="3"/>
  <c r="H588" i="3"/>
  <c r="I588" i="3"/>
  <c r="F589" i="3"/>
  <c r="G589" i="3"/>
  <c r="H589" i="3"/>
  <c r="I589" i="3"/>
  <c r="F590" i="3"/>
  <c r="G590" i="3"/>
  <c r="H590" i="3"/>
  <c r="I590" i="3"/>
  <c r="F591" i="3"/>
  <c r="G591" i="3"/>
  <c r="H591" i="3"/>
  <c r="I591" i="3"/>
  <c r="F592" i="3"/>
  <c r="G592" i="3"/>
  <c r="H592" i="3"/>
  <c r="I592" i="3"/>
  <c r="F593" i="3"/>
  <c r="G593" i="3"/>
  <c r="H593" i="3"/>
  <c r="I593" i="3"/>
  <c r="F594" i="3"/>
  <c r="G594" i="3"/>
  <c r="H594" i="3"/>
  <c r="I594" i="3"/>
  <c r="F595" i="3"/>
  <c r="G595" i="3"/>
  <c r="H595" i="3"/>
  <c r="I595" i="3"/>
  <c r="F596" i="3"/>
  <c r="G596" i="3"/>
  <c r="H596" i="3"/>
  <c r="I596" i="3"/>
  <c r="F597" i="3"/>
  <c r="G597" i="3"/>
  <c r="H597" i="3"/>
  <c r="I597" i="3"/>
  <c r="F598" i="3"/>
  <c r="G598" i="3"/>
  <c r="H598" i="3"/>
  <c r="I598" i="3"/>
  <c r="F599" i="3"/>
  <c r="G599" i="3"/>
  <c r="H599" i="3"/>
  <c r="I599" i="3"/>
  <c r="F600" i="3"/>
  <c r="G600" i="3"/>
  <c r="H600" i="3"/>
  <c r="I600" i="3"/>
  <c r="F601" i="3"/>
  <c r="G601" i="3"/>
  <c r="H601" i="3"/>
  <c r="I601" i="3"/>
  <c r="F602" i="3"/>
  <c r="G602" i="3"/>
  <c r="H602" i="3"/>
  <c r="I602" i="3"/>
  <c r="F603" i="3"/>
  <c r="G603" i="3"/>
  <c r="H603" i="3"/>
  <c r="I603" i="3"/>
  <c r="F604" i="3"/>
  <c r="G604" i="3"/>
  <c r="H604" i="3"/>
  <c r="I604" i="3"/>
  <c r="F605" i="3"/>
  <c r="G605" i="3"/>
  <c r="H605" i="3"/>
  <c r="I605" i="3"/>
  <c r="F606" i="3"/>
  <c r="G606" i="3"/>
  <c r="H606" i="3"/>
  <c r="I606" i="3"/>
  <c r="F607" i="3"/>
  <c r="G607" i="3"/>
  <c r="H607" i="3"/>
  <c r="I607" i="3"/>
  <c r="F608" i="3"/>
  <c r="G608" i="3"/>
  <c r="H608" i="3"/>
  <c r="I608" i="3"/>
  <c r="F609" i="3"/>
  <c r="G609" i="3"/>
  <c r="H609" i="3"/>
  <c r="I609" i="3"/>
  <c r="F610" i="3"/>
  <c r="G610" i="3"/>
  <c r="H610" i="3"/>
  <c r="I610" i="3"/>
  <c r="F611" i="3"/>
  <c r="G611" i="3"/>
  <c r="H611" i="3"/>
  <c r="I611" i="3"/>
  <c r="F612" i="3"/>
  <c r="G612" i="3"/>
  <c r="H612" i="3"/>
  <c r="I612" i="3"/>
  <c r="F613" i="3"/>
  <c r="G613" i="3"/>
  <c r="H613" i="3"/>
  <c r="I613" i="3"/>
  <c r="F614" i="3"/>
  <c r="G614" i="3"/>
  <c r="H614" i="3"/>
  <c r="I614" i="3"/>
  <c r="F615" i="3"/>
  <c r="G615" i="3"/>
  <c r="H615" i="3"/>
  <c r="I615" i="3"/>
  <c r="F616" i="3"/>
  <c r="G616" i="3"/>
  <c r="H616" i="3"/>
  <c r="I616" i="3"/>
  <c r="F617" i="3"/>
  <c r="G617" i="3"/>
  <c r="H617" i="3"/>
  <c r="I617" i="3"/>
  <c r="F618" i="3"/>
  <c r="G618" i="3"/>
  <c r="H618" i="3"/>
  <c r="I618" i="3"/>
  <c r="F619" i="3"/>
  <c r="G619" i="3"/>
  <c r="H619" i="3"/>
  <c r="I619" i="3"/>
  <c r="F620" i="3"/>
  <c r="G620" i="3"/>
  <c r="H620" i="3"/>
  <c r="I620" i="3"/>
  <c r="F621" i="3"/>
  <c r="G621" i="3"/>
  <c r="H621" i="3"/>
  <c r="I621" i="3"/>
  <c r="F622" i="3"/>
  <c r="G622" i="3"/>
  <c r="H622" i="3"/>
  <c r="I622" i="3"/>
  <c r="F623" i="3"/>
  <c r="G623" i="3"/>
  <c r="H623" i="3"/>
  <c r="I623" i="3"/>
  <c r="F624" i="3"/>
  <c r="G624" i="3"/>
  <c r="H624" i="3"/>
  <c r="I624" i="3"/>
  <c r="F625" i="3"/>
  <c r="G625" i="3"/>
  <c r="H625" i="3"/>
  <c r="I625" i="3"/>
  <c r="F626" i="3"/>
  <c r="G626" i="3"/>
  <c r="H626" i="3"/>
  <c r="I626" i="3"/>
  <c r="F627" i="3"/>
  <c r="G627" i="3"/>
  <c r="H627" i="3"/>
  <c r="I627" i="3"/>
  <c r="F628" i="3"/>
  <c r="G628" i="3"/>
  <c r="H628" i="3"/>
  <c r="I628" i="3"/>
  <c r="F629" i="3"/>
  <c r="G629" i="3"/>
  <c r="H629" i="3"/>
  <c r="I629" i="3"/>
  <c r="F630" i="3"/>
  <c r="G630" i="3"/>
  <c r="H630" i="3"/>
  <c r="I630" i="3"/>
  <c r="F631" i="3"/>
  <c r="G631" i="3"/>
  <c r="H631" i="3"/>
  <c r="I631" i="3"/>
  <c r="F632" i="3"/>
  <c r="G632" i="3"/>
  <c r="H632" i="3"/>
  <c r="I632" i="3"/>
  <c r="F633" i="3"/>
  <c r="G633" i="3"/>
  <c r="H633" i="3"/>
  <c r="I633" i="3"/>
  <c r="F634" i="3"/>
  <c r="G634" i="3"/>
  <c r="H634" i="3"/>
  <c r="I634" i="3"/>
  <c r="F635" i="3"/>
  <c r="G635" i="3"/>
  <c r="H635" i="3"/>
  <c r="I635" i="3"/>
  <c r="F636" i="3"/>
  <c r="G636" i="3"/>
  <c r="H636" i="3"/>
  <c r="I636" i="3"/>
  <c r="F637" i="3"/>
  <c r="G637" i="3"/>
  <c r="H637" i="3"/>
  <c r="I637" i="3"/>
  <c r="F638" i="3"/>
  <c r="G638" i="3"/>
  <c r="H638" i="3"/>
  <c r="I638" i="3"/>
  <c r="F639" i="3"/>
  <c r="G639" i="3"/>
  <c r="H639" i="3"/>
  <c r="I639" i="3"/>
  <c r="F640" i="3"/>
  <c r="G640" i="3"/>
  <c r="H640" i="3"/>
  <c r="I640" i="3"/>
  <c r="F641" i="3"/>
  <c r="G641" i="3"/>
  <c r="H641" i="3"/>
  <c r="I641" i="3"/>
  <c r="F642" i="3"/>
  <c r="G642" i="3"/>
  <c r="H642" i="3"/>
  <c r="I642" i="3"/>
  <c r="F643" i="3"/>
  <c r="G643" i="3"/>
  <c r="H643" i="3"/>
  <c r="I643" i="3"/>
  <c r="F644" i="3"/>
  <c r="G644" i="3"/>
  <c r="H644" i="3"/>
  <c r="I644" i="3"/>
  <c r="F645" i="3"/>
  <c r="G645" i="3"/>
  <c r="H645" i="3"/>
  <c r="I645" i="3"/>
  <c r="F646" i="3"/>
  <c r="G646" i="3"/>
  <c r="H646" i="3"/>
  <c r="I646" i="3"/>
  <c r="F647" i="3"/>
  <c r="G647" i="3"/>
  <c r="H647" i="3"/>
  <c r="I647" i="3"/>
  <c r="F648" i="3"/>
  <c r="G648" i="3"/>
  <c r="H648" i="3"/>
  <c r="I648" i="3"/>
  <c r="F649" i="3"/>
  <c r="G649" i="3"/>
  <c r="H649" i="3"/>
  <c r="I649" i="3"/>
  <c r="F650" i="3"/>
  <c r="G650" i="3"/>
  <c r="H650" i="3"/>
  <c r="I650" i="3"/>
  <c r="F651" i="3"/>
  <c r="G651" i="3"/>
  <c r="H651" i="3"/>
  <c r="I651" i="3"/>
  <c r="F652" i="3"/>
  <c r="G652" i="3"/>
  <c r="H652" i="3"/>
  <c r="I652" i="3"/>
  <c r="F653" i="3"/>
  <c r="G653" i="3"/>
  <c r="H653" i="3"/>
  <c r="I653" i="3"/>
  <c r="F654" i="3"/>
  <c r="G654" i="3"/>
  <c r="H654" i="3"/>
  <c r="I654" i="3"/>
  <c r="F655" i="3"/>
  <c r="G655" i="3"/>
  <c r="H655" i="3"/>
  <c r="I655" i="3"/>
  <c r="F656" i="3"/>
  <c r="G656" i="3"/>
  <c r="H656" i="3"/>
  <c r="I656" i="3"/>
  <c r="F657" i="3"/>
  <c r="G657" i="3"/>
  <c r="H657" i="3"/>
  <c r="I657" i="3"/>
  <c r="F658" i="3"/>
  <c r="G658" i="3"/>
  <c r="H658" i="3"/>
  <c r="I658" i="3"/>
  <c r="F659" i="3"/>
  <c r="G659" i="3"/>
  <c r="H659" i="3"/>
  <c r="I659" i="3"/>
  <c r="F660" i="3"/>
  <c r="G660" i="3"/>
  <c r="H660" i="3"/>
  <c r="I660" i="3"/>
  <c r="F661" i="3"/>
  <c r="G661" i="3"/>
  <c r="H661" i="3"/>
  <c r="I661" i="3"/>
  <c r="F662" i="3"/>
  <c r="G662" i="3"/>
  <c r="H662" i="3"/>
  <c r="I662" i="3"/>
  <c r="F663" i="3"/>
  <c r="G663" i="3"/>
  <c r="H663" i="3"/>
  <c r="I663" i="3"/>
  <c r="F664" i="3"/>
  <c r="G664" i="3"/>
  <c r="H664" i="3"/>
  <c r="I664" i="3"/>
  <c r="F665" i="3"/>
  <c r="G665" i="3"/>
  <c r="H665" i="3"/>
  <c r="I665" i="3"/>
  <c r="F666" i="3"/>
  <c r="G666" i="3"/>
  <c r="H666" i="3"/>
  <c r="I666" i="3"/>
  <c r="F667" i="3"/>
  <c r="G667" i="3"/>
  <c r="H667" i="3"/>
  <c r="I667" i="3"/>
  <c r="F668" i="3"/>
  <c r="G668" i="3"/>
  <c r="H668" i="3"/>
  <c r="I668" i="3"/>
  <c r="F669" i="3"/>
  <c r="G669" i="3"/>
  <c r="H669" i="3"/>
  <c r="I669" i="3"/>
  <c r="F670" i="3"/>
  <c r="G670" i="3"/>
  <c r="H670" i="3"/>
  <c r="I670" i="3"/>
  <c r="F671" i="3"/>
  <c r="G671" i="3"/>
  <c r="H671" i="3"/>
  <c r="I671" i="3"/>
  <c r="F672" i="3"/>
  <c r="G672" i="3"/>
  <c r="H672" i="3"/>
  <c r="I672" i="3"/>
  <c r="F673" i="3"/>
  <c r="G673" i="3"/>
  <c r="H673" i="3"/>
  <c r="I673" i="3"/>
  <c r="F674" i="3"/>
  <c r="G674" i="3"/>
  <c r="H674" i="3"/>
  <c r="I674" i="3"/>
  <c r="F675" i="3"/>
  <c r="G675" i="3"/>
  <c r="H675" i="3"/>
  <c r="I675" i="3"/>
  <c r="F676" i="3"/>
  <c r="G676" i="3"/>
  <c r="H676" i="3"/>
  <c r="I676" i="3"/>
  <c r="F677" i="3"/>
  <c r="G677" i="3"/>
  <c r="H677" i="3"/>
  <c r="I677" i="3"/>
  <c r="F678" i="3"/>
  <c r="G678" i="3"/>
  <c r="H678" i="3"/>
  <c r="I678" i="3"/>
  <c r="F679" i="3"/>
  <c r="G679" i="3"/>
  <c r="H679" i="3"/>
  <c r="I679" i="3"/>
  <c r="F680" i="3"/>
  <c r="G680" i="3"/>
  <c r="H680" i="3"/>
  <c r="I680" i="3"/>
  <c r="F681" i="3"/>
  <c r="G681" i="3"/>
  <c r="H681" i="3"/>
  <c r="I681" i="3"/>
  <c r="F682" i="3"/>
  <c r="G682" i="3"/>
  <c r="H682" i="3"/>
  <c r="I682" i="3"/>
  <c r="F683" i="3"/>
  <c r="G683" i="3"/>
  <c r="H683" i="3"/>
  <c r="I683" i="3"/>
  <c r="F684" i="3"/>
  <c r="G684" i="3"/>
  <c r="H684" i="3"/>
  <c r="I684" i="3"/>
  <c r="F685" i="3"/>
  <c r="G685" i="3"/>
  <c r="H685" i="3"/>
  <c r="I685" i="3"/>
  <c r="F686" i="3"/>
  <c r="G686" i="3"/>
  <c r="H686" i="3"/>
  <c r="I686" i="3"/>
  <c r="F687" i="3"/>
  <c r="G687" i="3"/>
  <c r="H687" i="3"/>
  <c r="I687" i="3"/>
  <c r="F688" i="3"/>
  <c r="G688" i="3"/>
  <c r="H688" i="3"/>
  <c r="I688" i="3"/>
  <c r="F689" i="3"/>
  <c r="G689" i="3"/>
  <c r="H689" i="3"/>
  <c r="I689" i="3"/>
  <c r="F690" i="3"/>
  <c r="G690" i="3"/>
  <c r="H690" i="3"/>
  <c r="I690" i="3"/>
  <c r="F691" i="3"/>
  <c r="G691" i="3"/>
  <c r="H691" i="3"/>
  <c r="I691" i="3"/>
  <c r="F692" i="3"/>
  <c r="G692" i="3"/>
  <c r="H692" i="3"/>
  <c r="I692" i="3"/>
  <c r="F693" i="3"/>
  <c r="G693" i="3"/>
  <c r="H693" i="3"/>
  <c r="I693" i="3"/>
  <c r="F694" i="3"/>
  <c r="G694" i="3"/>
  <c r="H694" i="3"/>
  <c r="I694" i="3"/>
  <c r="F695" i="3"/>
  <c r="G695" i="3"/>
  <c r="H695" i="3"/>
  <c r="I695" i="3"/>
  <c r="F696" i="3"/>
  <c r="G696" i="3"/>
  <c r="H696" i="3"/>
  <c r="I696" i="3"/>
  <c r="F697" i="3"/>
  <c r="G697" i="3"/>
  <c r="H697" i="3"/>
  <c r="I697" i="3"/>
  <c r="F698" i="3"/>
  <c r="G698" i="3"/>
  <c r="H698" i="3"/>
  <c r="I698" i="3"/>
  <c r="F699" i="3"/>
  <c r="G699" i="3"/>
  <c r="H699" i="3"/>
  <c r="I699" i="3"/>
  <c r="F700" i="3"/>
  <c r="G700" i="3"/>
  <c r="H700" i="3"/>
  <c r="I700" i="3"/>
  <c r="F701" i="3"/>
  <c r="G701" i="3"/>
  <c r="H701" i="3"/>
  <c r="I701" i="3"/>
  <c r="F702" i="3"/>
  <c r="G702" i="3"/>
  <c r="H702" i="3"/>
  <c r="I702" i="3"/>
  <c r="F703" i="3"/>
  <c r="G703" i="3"/>
  <c r="H703" i="3"/>
  <c r="I703" i="3"/>
  <c r="F704" i="3"/>
  <c r="G704" i="3"/>
  <c r="H704" i="3"/>
  <c r="I704" i="3"/>
  <c r="F705" i="3"/>
  <c r="G705" i="3"/>
  <c r="H705" i="3"/>
  <c r="I705" i="3"/>
  <c r="F706" i="3"/>
  <c r="G706" i="3"/>
  <c r="H706" i="3"/>
  <c r="I706" i="3"/>
  <c r="F707" i="3"/>
  <c r="G707" i="3"/>
  <c r="H707" i="3"/>
  <c r="I707" i="3"/>
  <c r="F708" i="3"/>
  <c r="G708" i="3"/>
  <c r="H708" i="3"/>
  <c r="I708" i="3"/>
  <c r="F709" i="3"/>
  <c r="G709" i="3"/>
  <c r="H709" i="3"/>
  <c r="I709" i="3"/>
  <c r="F710" i="3"/>
  <c r="G710" i="3"/>
  <c r="H710" i="3"/>
  <c r="I710" i="3"/>
  <c r="F711" i="3"/>
  <c r="G711" i="3"/>
  <c r="H711" i="3"/>
  <c r="I711" i="3"/>
  <c r="F712" i="3"/>
  <c r="G712" i="3"/>
  <c r="H712" i="3"/>
  <c r="I712" i="3"/>
  <c r="F713" i="3"/>
  <c r="G713" i="3"/>
  <c r="H713" i="3"/>
  <c r="I713" i="3"/>
  <c r="F714" i="3"/>
  <c r="G714" i="3"/>
  <c r="H714" i="3"/>
  <c r="I714" i="3"/>
  <c r="F715" i="3"/>
  <c r="G715" i="3"/>
  <c r="H715" i="3"/>
  <c r="I715" i="3"/>
  <c r="F716" i="3"/>
  <c r="G716" i="3"/>
  <c r="H716" i="3"/>
  <c r="I716" i="3"/>
  <c r="F717" i="3"/>
  <c r="G717" i="3"/>
  <c r="H717" i="3"/>
  <c r="I717" i="3"/>
  <c r="F718" i="3"/>
  <c r="G718" i="3"/>
  <c r="H718" i="3"/>
  <c r="I718" i="3"/>
  <c r="F719" i="3"/>
  <c r="G719" i="3"/>
  <c r="H719" i="3"/>
  <c r="I719" i="3"/>
  <c r="F720" i="3"/>
  <c r="G720" i="3"/>
  <c r="H720" i="3"/>
  <c r="I720" i="3"/>
  <c r="F721" i="3"/>
  <c r="G721" i="3"/>
  <c r="H721" i="3"/>
  <c r="I721" i="3"/>
  <c r="F722" i="3"/>
  <c r="G722" i="3"/>
  <c r="H722" i="3"/>
  <c r="I722" i="3"/>
  <c r="F723" i="3"/>
  <c r="G723" i="3"/>
  <c r="H723" i="3"/>
  <c r="I723" i="3"/>
  <c r="F724" i="3"/>
  <c r="G724" i="3"/>
  <c r="H724" i="3"/>
  <c r="I724" i="3"/>
  <c r="F725" i="3"/>
  <c r="G725" i="3"/>
  <c r="H725" i="3"/>
  <c r="I725" i="3"/>
  <c r="F726" i="3"/>
  <c r="G726" i="3"/>
  <c r="H726" i="3"/>
  <c r="I726" i="3"/>
  <c r="F727" i="3"/>
  <c r="G727" i="3"/>
  <c r="H727" i="3"/>
  <c r="I727" i="3"/>
  <c r="F728" i="3"/>
  <c r="G728" i="3"/>
  <c r="H728" i="3"/>
  <c r="I728" i="3"/>
  <c r="F729" i="3"/>
  <c r="G729" i="3"/>
  <c r="H729" i="3"/>
  <c r="I729" i="3"/>
  <c r="F730" i="3"/>
  <c r="G730" i="3"/>
  <c r="H730" i="3"/>
  <c r="I730" i="3"/>
  <c r="F731" i="3"/>
  <c r="G731" i="3"/>
  <c r="H731" i="3"/>
  <c r="I731" i="3"/>
  <c r="F732" i="3"/>
  <c r="G732" i="3"/>
  <c r="H732" i="3"/>
  <c r="I732" i="3"/>
  <c r="F733" i="3"/>
  <c r="G733" i="3"/>
  <c r="H733" i="3"/>
  <c r="I733" i="3"/>
  <c r="F734" i="3"/>
  <c r="G734" i="3"/>
  <c r="H734" i="3"/>
  <c r="I734" i="3"/>
  <c r="F735" i="3"/>
  <c r="G735" i="3"/>
  <c r="H735" i="3"/>
  <c r="I735" i="3"/>
  <c r="F736" i="3"/>
  <c r="G736" i="3"/>
  <c r="H736" i="3"/>
  <c r="I736" i="3"/>
  <c r="F737" i="3"/>
  <c r="G737" i="3"/>
  <c r="H737" i="3"/>
  <c r="I737" i="3"/>
  <c r="F738" i="3"/>
  <c r="G738" i="3"/>
  <c r="H738" i="3"/>
  <c r="I738" i="3"/>
  <c r="F739" i="3"/>
  <c r="G739" i="3"/>
  <c r="H739" i="3"/>
  <c r="I739" i="3"/>
  <c r="F740" i="3"/>
  <c r="G740" i="3"/>
  <c r="H740" i="3"/>
  <c r="I740" i="3"/>
  <c r="F741" i="3"/>
  <c r="G741" i="3"/>
  <c r="H741" i="3"/>
  <c r="I741" i="3"/>
  <c r="F742" i="3"/>
  <c r="G742" i="3"/>
  <c r="H742" i="3"/>
  <c r="I742" i="3"/>
  <c r="F743" i="3"/>
  <c r="G743" i="3"/>
  <c r="H743" i="3"/>
  <c r="I743" i="3"/>
  <c r="F744" i="3"/>
  <c r="G744" i="3"/>
  <c r="H744" i="3"/>
  <c r="I744" i="3"/>
  <c r="F745" i="3"/>
  <c r="G745" i="3"/>
  <c r="H745" i="3"/>
  <c r="I745" i="3"/>
  <c r="F746" i="3"/>
  <c r="G746" i="3"/>
  <c r="H746" i="3"/>
  <c r="I746" i="3"/>
  <c r="F747" i="3"/>
  <c r="G747" i="3"/>
  <c r="H747" i="3"/>
  <c r="I747" i="3"/>
  <c r="F748" i="3"/>
  <c r="G748" i="3"/>
  <c r="H748" i="3"/>
  <c r="I748" i="3"/>
  <c r="F749" i="3"/>
  <c r="G749" i="3"/>
  <c r="H749" i="3"/>
  <c r="I749" i="3"/>
  <c r="F750" i="3"/>
  <c r="G750" i="3"/>
  <c r="H750" i="3"/>
  <c r="I750" i="3"/>
  <c r="F751" i="3"/>
  <c r="G751" i="3"/>
  <c r="H751" i="3"/>
  <c r="I751" i="3"/>
  <c r="F752" i="3"/>
  <c r="G752" i="3"/>
  <c r="H752" i="3"/>
  <c r="I752" i="3"/>
  <c r="F753" i="3"/>
  <c r="G753" i="3"/>
  <c r="H753" i="3"/>
  <c r="I753" i="3"/>
  <c r="F754" i="3"/>
  <c r="G754" i="3"/>
  <c r="H754" i="3"/>
  <c r="I754" i="3"/>
  <c r="F755" i="3"/>
  <c r="G755" i="3"/>
  <c r="H755" i="3"/>
  <c r="I755" i="3"/>
  <c r="F756" i="3"/>
  <c r="G756" i="3"/>
  <c r="H756" i="3"/>
  <c r="I756" i="3"/>
  <c r="F757" i="3"/>
  <c r="G757" i="3"/>
  <c r="H757" i="3"/>
  <c r="I757" i="3"/>
  <c r="F758" i="3"/>
  <c r="G758" i="3"/>
  <c r="H758" i="3"/>
  <c r="I758" i="3"/>
  <c r="F759" i="3"/>
  <c r="G759" i="3"/>
  <c r="H759" i="3"/>
  <c r="I759" i="3"/>
  <c r="F760" i="3"/>
  <c r="G760" i="3"/>
  <c r="H760" i="3"/>
  <c r="I760" i="3"/>
  <c r="F761" i="3"/>
  <c r="G761" i="3"/>
  <c r="H761" i="3"/>
  <c r="I761" i="3"/>
  <c r="F762" i="3"/>
  <c r="G762" i="3"/>
  <c r="H762" i="3"/>
  <c r="I762" i="3"/>
  <c r="F763" i="3"/>
  <c r="G763" i="3"/>
  <c r="H763" i="3"/>
  <c r="I763" i="3"/>
  <c r="F764" i="3"/>
  <c r="G764" i="3"/>
  <c r="H764" i="3"/>
  <c r="I764" i="3"/>
  <c r="F765" i="3"/>
  <c r="G765" i="3"/>
  <c r="H765" i="3"/>
  <c r="I765" i="3"/>
  <c r="F766" i="3"/>
  <c r="G766" i="3"/>
  <c r="H766" i="3"/>
  <c r="I766" i="3"/>
  <c r="F767" i="3"/>
  <c r="G767" i="3"/>
  <c r="H767" i="3"/>
  <c r="I767" i="3"/>
  <c r="F768" i="3"/>
  <c r="G768" i="3"/>
  <c r="H768" i="3"/>
  <c r="I768" i="3"/>
  <c r="F769" i="3"/>
  <c r="G769" i="3"/>
  <c r="H769" i="3"/>
  <c r="I769" i="3"/>
  <c r="F770" i="3"/>
  <c r="G770" i="3"/>
  <c r="H770" i="3"/>
  <c r="I770" i="3"/>
  <c r="F771" i="3"/>
  <c r="G771" i="3"/>
  <c r="H771" i="3"/>
  <c r="I771" i="3"/>
  <c r="F772" i="3"/>
  <c r="G772" i="3"/>
  <c r="H772" i="3"/>
  <c r="I772" i="3"/>
  <c r="F773" i="3"/>
  <c r="G773" i="3"/>
  <c r="H773" i="3"/>
  <c r="I773" i="3"/>
  <c r="F774" i="3"/>
  <c r="G774" i="3"/>
  <c r="H774" i="3"/>
  <c r="I774" i="3"/>
  <c r="F775" i="3"/>
  <c r="G775" i="3"/>
  <c r="H775" i="3"/>
  <c r="I775" i="3"/>
  <c r="F776" i="3"/>
  <c r="G776" i="3"/>
  <c r="H776" i="3"/>
  <c r="I776" i="3"/>
  <c r="F777" i="3"/>
  <c r="G777" i="3"/>
  <c r="H777" i="3"/>
  <c r="I777" i="3"/>
  <c r="F778" i="3"/>
  <c r="G778" i="3"/>
  <c r="H778" i="3"/>
  <c r="I778" i="3"/>
  <c r="F779" i="3"/>
  <c r="G779" i="3"/>
  <c r="H779" i="3"/>
  <c r="I779" i="3"/>
  <c r="F780" i="3"/>
  <c r="G780" i="3"/>
  <c r="H780" i="3"/>
  <c r="I780" i="3"/>
  <c r="F781" i="3"/>
  <c r="G781" i="3"/>
  <c r="H781" i="3"/>
  <c r="I781" i="3"/>
  <c r="F782" i="3"/>
  <c r="G782" i="3"/>
  <c r="H782" i="3"/>
  <c r="I782" i="3"/>
  <c r="F783" i="3"/>
  <c r="G783" i="3"/>
  <c r="H783" i="3"/>
  <c r="I783" i="3"/>
  <c r="F784" i="3"/>
  <c r="G784" i="3"/>
  <c r="H784" i="3"/>
  <c r="I784" i="3"/>
  <c r="F785" i="3"/>
  <c r="G785" i="3"/>
  <c r="H785" i="3"/>
  <c r="I785" i="3"/>
  <c r="F786" i="3"/>
  <c r="G786" i="3"/>
  <c r="H786" i="3"/>
  <c r="I786" i="3"/>
  <c r="F787" i="3"/>
  <c r="G787" i="3"/>
  <c r="H787" i="3"/>
  <c r="I787" i="3"/>
  <c r="F788" i="3"/>
  <c r="G788" i="3"/>
  <c r="H788" i="3"/>
  <c r="I788" i="3"/>
  <c r="F789" i="3"/>
  <c r="G789" i="3"/>
  <c r="H789" i="3"/>
  <c r="I789" i="3"/>
  <c r="F790" i="3"/>
  <c r="G790" i="3"/>
  <c r="H790" i="3"/>
  <c r="I790" i="3"/>
  <c r="F791" i="3"/>
  <c r="G791" i="3"/>
  <c r="H791" i="3"/>
  <c r="I791" i="3"/>
  <c r="F792" i="3"/>
  <c r="G792" i="3"/>
  <c r="H792" i="3"/>
  <c r="I792" i="3"/>
  <c r="F793" i="3"/>
  <c r="G793" i="3"/>
  <c r="H793" i="3"/>
  <c r="I793" i="3"/>
  <c r="F794" i="3"/>
  <c r="G794" i="3"/>
  <c r="H794" i="3"/>
  <c r="I794" i="3"/>
  <c r="F795" i="3"/>
  <c r="G795" i="3"/>
  <c r="H795" i="3"/>
  <c r="I795" i="3"/>
  <c r="F796" i="3"/>
  <c r="G796" i="3"/>
  <c r="H796" i="3"/>
  <c r="I796" i="3"/>
  <c r="F797" i="3"/>
  <c r="G797" i="3"/>
  <c r="H797" i="3"/>
  <c r="I797" i="3"/>
  <c r="F798" i="3"/>
  <c r="G798" i="3"/>
  <c r="H798" i="3"/>
  <c r="I798" i="3"/>
  <c r="F799" i="3"/>
  <c r="G799" i="3"/>
  <c r="H799" i="3"/>
  <c r="I799" i="3"/>
  <c r="F800" i="3"/>
  <c r="G800" i="3"/>
  <c r="H800" i="3"/>
  <c r="I800" i="3"/>
  <c r="F801" i="3"/>
  <c r="G801" i="3"/>
  <c r="H801" i="3"/>
  <c r="I801" i="3"/>
  <c r="F802" i="3"/>
  <c r="G802" i="3"/>
  <c r="H802" i="3"/>
  <c r="I802" i="3"/>
  <c r="F803" i="3"/>
  <c r="G803" i="3"/>
  <c r="H803" i="3"/>
  <c r="I803" i="3"/>
  <c r="F804" i="3"/>
  <c r="G804" i="3"/>
  <c r="H804" i="3"/>
  <c r="I804" i="3"/>
  <c r="F805" i="3"/>
  <c r="G805" i="3"/>
  <c r="H805" i="3"/>
  <c r="I805" i="3"/>
  <c r="F806" i="3"/>
  <c r="G806" i="3"/>
  <c r="H806" i="3"/>
  <c r="I806" i="3"/>
  <c r="F807" i="3"/>
  <c r="G807" i="3"/>
  <c r="H807" i="3"/>
  <c r="I807" i="3"/>
  <c r="F808" i="3"/>
  <c r="G808" i="3"/>
  <c r="H808" i="3"/>
  <c r="I808" i="3"/>
  <c r="F809" i="3"/>
  <c r="G809" i="3"/>
  <c r="H809" i="3"/>
  <c r="I809" i="3"/>
  <c r="F810" i="3"/>
  <c r="G810" i="3"/>
  <c r="H810" i="3"/>
  <c r="I810" i="3"/>
  <c r="F811" i="3"/>
  <c r="G811" i="3"/>
  <c r="H811" i="3"/>
  <c r="I811" i="3"/>
  <c r="F812" i="3"/>
  <c r="G812" i="3"/>
  <c r="H812" i="3"/>
  <c r="I812" i="3"/>
  <c r="F813" i="3"/>
  <c r="G813" i="3"/>
  <c r="H813" i="3" s="1"/>
  <c r="I813" i="3"/>
  <c r="F814" i="3"/>
  <c r="G814" i="3"/>
  <c r="H814" i="3"/>
  <c r="I814" i="3"/>
  <c r="F815" i="3"/>
  <c r="G815" i="3"/>
  <c r="H815" i="3"/>
  <c r="I815" i="3"/>
  <c r="F816" i="3"/>
  <c r="G816" i="3"/>
  <c r="H816" i="3" s="1"/>
  <c r="I816" i="3"/>
  <c r="F817" i="3"/>
  <c r="G817" i="3"/>
  <c r="H817" i="3"/>
  <c r="I817" i="3"/>
  <c r="F818" i="3"/>
  <c r="G818" i="3"/>
  <c r="H818" i="3"/>
  <c r="I818" i="3"/>
  <c r="F819" i="3"/>
  <c r="G819" i="3"/>
  <c r="H819" i="3" s="1"/>
  <c r="I819" i="3"/>
  <c r="F820" i="3"/>
  <c r="G820" i="3"/>
  <c r="H820" i="3" s="1"/>
  <c r="I820" i="3"/>
  <c r="F821" i="3"/>
  <c r="G821" i="3"/>
  <c r="H821" i="3"/>
  <c r="I821" i="3"/>
  <c r="F822" i="3"/>
  <c r="G822" i="3"/>
  <c r="H822" i="3"/>
  <c r="I822" i="3"/>
  <c r="F823" i="3"/>
  <c r="G823" i="3"/>
  <c r="H823" i="3"/>
  <c r="I823" i="3"/>
  <c r="F824" i="3"/>
  <c r="G824" i="3"/>
  <c r="H824" i="3"/>
  <c r="I824" i="3"/>
  <c r="F825" i="3"/>
  <c r="G825" i="3"/>
  <c r="H825" i="3"/>
  <c r="I825" i="3"/>
  <c r="F826" i="3"/>
  <c r="G826" i="3"/>
  <c r="H826" i="3"/>
  <c r="I826" i="3"/>
  <c r="F827" i="3"/>
  <c r="G827" i="3"/>
  <c r="H827" i="3"/>
  <c r="I827" i="3"/>
  <c r="F828" i="3"/>
  <c r="G828" i="3"/>
  <c r="H828" i="3"/>
  <c r="I828" i="3"/>
  <c r="F829" i="3"/>
  <c r="G829" i="3"/>
  <c r="H829" i="3"/>
  <c r="I829" i="3"/>
  <c r="F830" i="3"/>
  <c r="G830" i="3"/>
  <c r="H830" i="3"/>
  <c r="I830" i="3"/>
  <c r="F831" i="3"/>
  <c r="G831" i="3"/>
  <c r="H831" i="3"/>
  <c r="I831" i="3"/>
  <c r="F832" i="3"/>
  <c r="G832" i="3"/>
  <c r="H832" i="3"/>
  <c r="I832" i="3"/>
  <c r="F833" i="3"/>
  <c r="G833" i="3"/>
  <c r="H833" i="3"/>
  <c r="I833" i="3"/>
  <c r="F834" i="3"/>
  <c r="G834" i="3"/>
  <c r="H834" i="3"/>
  <c r="I834" i="3"/>
  <c r="F835" i="3"/>
  <c r="G835" i="3"/>
  <c r="H835" i="3"/>
  <c r="I835" i="3"/>
  <c r="F836" i="3"/>
  <c r="G836" i="3"/>
  <c r="H836" i="3"/>
  <c r="I836" i="3"/>
  <c r="F837" i="3"/>
  <c r="G837" i="3"/>
  <c r="H837" i="3"/>
  <c r="I837" i="3"/>
  <c r="F838" i="3"/>
  <c r="G838" i="3"/>
  <c r="H838" i="3"/>
  <c r="I838" i="3"/>
  <c r="F839" i="3"/>
  <c r="G839" i="3"/>
  <c r="H839" i="3"/>
  <c r="I839" i="3"/>
  <c r="F840" i="3"/>
  <c r="G840" i="3"/>
  <c r="H840" i="3"/>
  <c r="I840" i="3"/>
  <c r="F841" i="3"/>
  <c r="G841" i="3"/>
  <c r="H841" i="3"/>
  <c r="I841" i="3"/>
  <c r="F842" i="3"/>
  <c r="G842" i="3"/>
  <c r="H842" i="3"/>
  <c r="I842" i="3"/>
  <c r="F843" i="3"/>
  <c r="G843" i="3"/>
  <c r="H843" i="3"/>
  <c r="I843" i="3"/>
  <c r="F844" i="3"/>
  <c r="G844" i="3"/>
  <c r="H844" i="3"/>
  <c r="I844" i="3"/>
  <c r="F845" i="3"/>
  <c r="G845" i="3"/>
  <c r="H845" i="3"/>
  <c r="I845" i="3"/>
  <c r="F846" i="3"/>
  <c r="G846" i="3"/>
  <c r="H846" i="3"/>
  <c r="I846" i="3"/>
  <c r="F847" i="3"/>
  <c r="G847" i="3"/>
  <c r="H847" i="3"/>
  <c r="I847" i="3"/>
  <c r="F848" i="3"/>
  <c r="G848" i="3"/>
  <c r="H848" i="3"/>
  <c r="I848" i="3"/>
  <c r="F849" i="3"/>
  <c r="G849" i="3"/>
  <c r="H849" i="3"/>
  <c r="I849" i="3"/>
  <c r="F850" i="3"/>
  <c r="G850" i="3"/>
  <c r="H850" i="3"/>
  <c r="I850" i="3"/>
  <c r="F851" i="3"/>
  <c r="G851" i="3"/>
  <c r="H851" i="3"/>
  <c r="I851" i="3"/>
  <c r="F852" i="3"/>
  <c r="G852" i="3"/>
  <c r="H852" i="3"/>
  <c r="I852" i="3"/>
  <c r="F853" i="3"/>
  <c r="G853" i="3"/>
  <c r="H853" i="3"/>
  <c r="I853" i="3"/>
  <c r="F854" i="3"/>
  <c r="G854" i="3"/>
  <c r="H854" i="3"/>
  <c r="I854" i="3"/>
  <c r="F855" i="3"/>
  <c r="G855" i="3"/>
  <c r="H855" i="3"/>
  <c r="I855" i="3"/>
  <c r="F856" i="3"/>
  <c r="G856" i="3"/>
  <c r="H856" i="3"/>
  <c r="I856" i="3"/>
  <c r="F857" i="3"/>
  <c r="G857" i="3"/>
  <c r="H857" i="3"/>
  <c r="I857" i="3"/>
  <c r="F858" i="3"/>
  <c r="G858" i="3"/>
  <c r="H858" i="3"/>
  <c r="I858" i="3"/>
  <c r="F859" i="3"/>
  <c r="G859" i="3"/>
  <c r="H859" i="3"/>
  <c r="I859" i="3"/>
  <c r="F860" i="3"/>
  <c r="G860" i="3"/>
  <c r="H860" i="3"/>
  <c r="I860" i="3"/>
  <c r="F861" i="3"/>
  <c r="G861" i="3"/>
  <c r="H861" i="3"/>
  <c r="I861" i="3"/>
  <c r="F862" i="3"/>
  <c r="G862" i="3"/>
  <c r="H862" i="3"/>
  <c r="I862" i="3"/>
  <c r="F863" i="3"/>
  <c r="G863" i="3"/>
  <c r="H863" i="3"/>
  <c r="I863" i="3"/>
  <c r="F864" i="3"/>
  <c r="G864" i="3"/>
  <c r="H864" i="3"/>
  <c r="I864" i="3"/>
  <c r="F865" i="3"/>
  <c r="G865" i="3"/>
  <c r="H865" i="3"/>
  <c r="I865" i="3"/>
  <c r="F866" i="3"/>
  <c r="G866" i="3"/>
  <c r="H866" i="3"/>
  <c r="I866" i="3"/>
  <c r="F867" i="3"/>
  <c r="G867" i="3"/>
  <c r="H867" i="3"/>
  <c r="I867" i="3"/>
  <c r="F868" i="3"/>
  <c r="G868" i="3"/>
  <c r="H868" i="3"/>
  <c r="I868" i="3"/>
  <c r="F869" i="3"/>
  <c r="G869" i="3"/>
  <c r="H869" i="3"/>
  <c r="I869" i="3"/>
  <c r="F870" i="3"/>
  <c r="G870" i="3"/>
  <c r="H870" i="3"/>
  <c r="I870" i="3"/>
  <c r="F871" i="3"/>
  <c r="G871" i="3"/>
  <c r="H871" i="3"/>
  <c r="I871" i="3"/>
  <c r="F872" i="3"/>
  <c r="G872" i="3"/>
  <c r="H872" i="3"/>
  <c r="I872" i="3"/>
  <c r="F873" i="3"/>
  <c r="G873" i="3"/>
  <c r="H873" i="3"/>
  <c r="I873" i="3"/>
  <c r="F874" i="3"/>
  <c r="G874" i="3"/>
  <c r="H874" i="3"/>
  <c r="I874" i="3"/>
  <c r="F875" i="3"/>
  <c r="G875" i="3"/>
  <c r="H875" i="3"/>
  <c r="I875" i="3"/>
  <c r="F876" i="3"/>
  <c r="G876" i="3"/>
  <c r="H876" i="3"/>
  <c r="I876" i="3"/>
  <c r="F877" i="3"/>
  <c r="G877" i="3"/>
  <c r="H877" i="3"/>
  <c r="I877" i="3"/>
  <c r="F878" i="3"/>
  <c r="G878" i="3"/>
  <c r="H878" i="3"/>
  <c r="I878" i="3"/>
  <c r="F879" i="3"/>
  <c r="G879" i="3"/>
  <c r="H879" i="3"/>
  <c r="I879" i="3"/>
  <c r="F880" i="3"/>
  <c r="G880" i="3"/>
  <c r="H880" i="3"/>
  <c r="I880" i="3"/>
  <c r="F881" i="3"/>
  <c r="G881" i="3"/>
  <c r="H881" i="3"/>
  <c r="I881" i="3"/>
  <c r="F882" i="3"/>
  <c r="G882" i="3"/>
  <c r="H882" i="3"/>
  <c r="I882" i="3"/>
  <c r="F883" i="3"/>
  <c r="G883" i="3"/>
  <c r="H883" i="3"/>
  <c r="I883" i="3"/>
  <c r="F884" i="3"/>
  <c r="G884" i="3"/>
  <c r="H884" i="3"/>
  <c r="I884" i="3"/>
  <c r="F885" i="3"/>
  <c r="G885" i="3"/>
  <c r="H885" i="3"/>
  <c r="I885" i="3"/>
  <c r="F886" i="3"/>
  <c r="G886" i="3"/>
  <c r="H886" i="3"/>
  <c r="I886" i="3"/>
  <c r="F887" i="3"/>
  <c r="G887" i="3"/>
  <c r="H887" i="3"/>
  <c r="I887" i="3"/>
  <c r="F888" i="3"/>
  <c r="G888" i="3"/>
  <c r="H888" i="3"/>
  <c r="I888" i="3"/>
  <c r="F889" i="3"/>
  <c r="G889" i="3"/>
  <c r="H889" i="3"/>
  <c r="I889" i="3"/>
  <c r="F890" i="3"/>
  <c r="G890" i="3"/>
  <c r="H890" i="3"/>
  <c r="I890" i="3"/>
  <c r="F891" i="3"/>
  <c r="G891" i="3"/>
  <c r="H891" i="3"/>
  <c r="I891" i="3"/>
  <c r="F892" i="3"/>
  <c r="G892" i="3"/>
  <c r="H892" i="3"/>
  <c r="I892" i="3"/>
  <c r="F893" i="3"/>
  <c r="G893" i="3"/>
  <c r="H893" i="3"/>
  <c r="I893" i="3"/>
  <c r="F894" i="3"/>
  <c r="G894" i="3"/>
  <c r="H894" i="3"/>
  <c r="I894" i="3"/>
  <c r="F895" i="3"/>
  <c r="G895" i="3"/>
  <c r="H895" i="3"/>
  <c r="I895" i="3"/>
  <c r="F896" i="3"/>
  <c r="G896" i="3"/>
  <c r="H896" i="3"/>
  <c r="I896" i="3"/>
  <c r="F897" i="3"/>
  <c r="G897" i="3"/>
  <c r="H897" i="3"/>
  <c r="I897" i="3"/>
  <c r="F898" i="3"/>
  <c r="G898" i="3"/>
  <c r="H898" i="3"/>
  <c r="I898" i="3"/>
  <c r="F899" i="3"/>
  <c r="G899" i="3"/>
  <c r="H899" i="3"/>
  <c r="I899" i="3"/>
  <c r="F900" i="3"/>
  <c r="G900" i="3"/>
  <c r="H900" i="3"/>
  <c r="I900" i="3"/>
  <c r="F901" i="3"/>
  <c r="G901" i="3"/>
  <c r="H901" i="3"/>
  <c r="I901" i="3"/>
  <c r="F902" i="3"/>
  <c r="G902" i="3"/>
  <c r="H902" i="3"/>
  <c r="I902" i="3"/>
  <c r="F903" i="3"/>
  <c r="G903" i="3"/>
  <c r="H903" i="3"/>
  <c r="I903" i="3"/>
  <c r="F904" i="3"/>
  <c r="G904" i="3"/>
  <c r="H904" i="3"/>
  <c r="I904" i="3"/>
  <c r="F905" i="3"/>
  <c r="G905" i="3"/>
  <c r="H905" i="3"/>
  <c r="I905" i="3"/>
  <c r="F906" i="3"/>
  <c r="G906" i="3"/>
  <c r="H906" i="3"/>
  <c r="I906" i="3"/>
  <c r="F907" i="3"/>
  <c r="G907" i="3"/>
  <c r="H907" i="3"/>
  <c r="I907" i="3"/>
  <c r="F908" i="3"/>
  <c r="G908" i="3"/>
  <c r="H908" i="3"/>
  <c r="I908" i="3"/>
  <c r="F909" i="3"/>
  <c r="G909" i="3"/>
  <c r="H909" i="3"/>
  <c r="I909" i="3"/>
  <c r="F910" i="3"/>
  <c r="G910" i="3"/>
  <c r="H910" i="3"/>
  <c r="I910" i="3"/>
  <c r="F911" i="3"/>
  <c r="G911" i="3"/>
  <c r="H911" i="3"/>
  <c r="I911" i="3"/>
  <c r="F912" i="3"/>
  <c r="G912" i="3"/>
  <c r="H912" i="3"/>
  <c r="I912" i="3"/>
  <c r="F913" i="3"/>
  <c r="G913" i="3"/>
  <c r="H913" i="3"/>
  <c r="I913" i="3"/>
  <c r="F914" i="3"/>
  <c r="G914" i="3"/>
  <c r="H914" i="3"/>
  <c r="I914" i="3"/>
  <c r="F915" i="3"/>
  <c r="G915" i="3"/>
  <c r="H915" i="3"/>
  <c r="I915" i="3"/>
  <c r="F916" i="3"/>
  <c r="G916" i="3"/>
  <c r="H916" i="3"/>
  <c r="I916" i="3"/>
  <c r="F917" i="3"/>
  <c r="G917" i="3"/>
  <c r="H917" i="3"/>
  <c r="I917" i="3"/>
  <c r="F918" i="3"/>
  <c r="G918" i="3"/>
  <c r="H918" i="3"/>
  <c r="I918" i="3"/>
  <c r="F919" i="3"/>
  <c r="G919" i="3"/>
  <c r="H919" i="3"/>
  <c r="I919" i="3"/>
  <c r="F920" i="3"/>
  <c r="G920" i="3"/>
  <c r="H920" i="3"/>
  <c r="I920" i="3"/>
  <c r="F921" i="3"/>
  <c r="G921" i="3"/>
  <c r="H921" i="3"/>
  <c r="I921" i="3"/>
  <c r="F922" i="3"/>
  <c r="G922" i="3"/>
  <c r="H922" i="3"/>
  <c r="I922" i="3"/>
  <c r="F923" i="3"/>
  <c r="G923" i="3"/>
  <c r="H923" i="3"/>
  <c r="I923" i="3"/>
  <c r="F924" i="3"/>
  <c r="G924" i="3"/>
  <c r="H924" i="3"/>
  <c r="I924" i="3"/>
  <c r="F925" i="3"/>
  <c r="G925" i="3"/>
  <c r="H925" i="3"/>
  <c r="I925" i="3"/>
  <c r="F926" i="3"/>
  <c r="G926" i="3"/>
  <c r="H926" i="3"/>
  <c r="I926" i="3"/>
  <c r="F927" i="3"/>
  <c r="G927" i="3"/>
  <c r="H927" i="3"/>
  <c r="I927" i="3"/>
  <c r="F928" i="3"/>
  <c r="G928" i="3"/>
  <c r="H928" i="3"/>
  <c r="I928" i="3"/>
  <c r="F929" i="3"/>
  <c r="G929" i="3"/>
  <c r="H929" i="3"/>
  <c r="I929" i="3"/>
  <c r="F930" i="3"/>
  <c r="G930" i="3"/>
  <c r="H930" i="3"/>
  <c r="I930" i="3"/>
  <c r="F931" i="3"/>
  <c r="G931" i="3"/>
  <c r="H931" i="3"/>
  <c r="I931" i="3"/>
  <c r="F932" i="3"/>
  <c r="G932" i="3"/>
  <c r="H932" i="3"/>
  <c r="I932" i="3"/>
  <c r="F933" i="3"/>
  <c r="G933" i="3"/>
  <c r="H933" i="3"/>
  <c r="I933" i="3"/>
  <c r="F934" i="3"/>
  <c r="G934" i="3"/>
  <c r="H934" i="3"/>
  <c r="I934" i="3"/>
  <c r="F935" i="3"/>
  <c r="G935" i="3"/>
  <c r="H935" i="3"/>
  <c r="I935" i="3"/>
  <c r="F936" i="3"/>
  <c r="G936" i="3"/>
  <c r="H936" i="3"/>
  <c r="I936" i="3"/>
  <c r="F937" i="3"/>
  <c r="G937" i="3"/>
  <c r="H937" i="3"/>
  <c r="I937" i="3"/>
  <c r="F938" i="3"/>
  <c r="G938" i="3"/>
  <c r="H938" i="3"/>
  <c r="I938" i="3"/>
  <c r="F939" i="3"/>
  <c r="G939" i="3"/>
  <c r="H939" i="3"/>
  <c r="I939" i="3"/>
  <c r="F940" i="3"/>
  <c r="G940" i="3"/>
  <c r="H940" i="3"/>
  <c r="I940" i="3"/>
  <c r="F941" i="3"/>
  <c r="G941" i="3"/>
  <c r="H941" i="3"/>
  <c r="I941" i="3"/>
  <c r="F942" i="3"/>
  <c r="G942" i="3"/>
  <c r="H942" i="3"/>
  <c r="I942" i="3"/>
  <c r="F943" i="3"/>
  <c r="G943" i="3"/>
  <c r="H943" i="3"/>
  <c r="I943" i="3"/>
  <c r="F944" i="3"/>
  <c r="G944" i="3"/>
  <c r="H944" i="3"/>
  <c r="I944" i="3"/>
  <c r="F945" i="3"/>
  <c r="G945" i="3"/>
  <c r="H945" i="3"/>
  <c r="I945" i="3"/>
  <c r="F946" i="3"/>
  <c r="G946" i="3"/>
  <c r="H946" i="3"/>
  <c r="I946" i="3"/>
  <c r="F947" i="3"/>
  <c r="G947" i="3"/>
  <c r="H947" i="3"/>
  <c r="I947" i="3"/>
  <c r="F948" i="3"/>
  <c r="G948" i="3"/>
  <c r="H948" i="3"/>
  <c r="I948" i="3"/>
  <c r="F949" i="3"/>
  <c r="G949" i="3"/>
  <c r="H949" i="3"/>
  <c r="I949" i="3"/>
  <c r="F950" i="3"/>
  <c r="G950" i="3"/>
  <c r="H950" i="3"/>
  <c r="I950" i="3"/>
  <c r="F951" i="3"/>
  <c r="G951" i="3"/>
  <c r="H951" i="3"/>
  <c r="I951" i="3"/>
  <c r="F952" i="3"/>
  <c r="G952" i="3"/>
  <c r="H952" i="3"/>
  <c r="I952" i="3"/>
  <c r="F953" i="3"/>
  <c r="G953" i="3"/>
  <c r="H953" i="3"/>
  <c r="I953" i="3"/>
  <c r="F954" i="3"/>
  <c r="G954" i="3"/>
  <c r="H954" i="3"/>
  <c r="I954" i="3"/>
  <c r="F955" i="3"/>
  <c r="G955" i="3"/>
  <c r="H955" i="3"/>
  <c r="I955" i="3"/>
  <c r="F956" i="3"/>
  <c r="G956" i="3"/>
  <c r="H956" i="3"/>
  <c r="I956" i="3"/>
  <c r="F957" i="3"/>
  <c r="G957" i="3"/>
  <c r="H957" i="3"/>
  <c r="I957" i="3"/>
  <c r="F958" i="3"/>
  <c r="G958" i="3"/>
  <c r="H958" i="3"/>
  <c r="I958" i="3"/>
  <c r="F959" i="3"/>
  <c r="G959" i="3"/>
  <c r="H959" i="3"/>
  <c r="I959" i="3"/>
  <c r="F960" i="3"/>
  <c r="G960" i="3"/>
  <c r="H960" i="3"/>
  <c r="I960" i="3"/>
  <c r="F961" i="3"/>
  <c r="G961" i="3"/>
  <c r="H961" i="3"/>
  <c r="I961" i="3"/>
  <c r="F962" i="3"/>
  <c r="G962" i="3"/>
  <c r="H962" i="3"/>
  <c r="I962" i="3"/>
  <c r="F963" i="3"/>
  <c r="G963" i="3"/>
  <c r="H963" i="3"/>
  <c r="I963" i="3"/>
  <c r="F964" i="3"/>
  <c r="G964" i="3"/>
  <c r="H964" i="3"/>
  <c r="I964" i="3"/>
  <c r="F965" i="3"/>
  <c r="G965" i="3"/>
  <c r="H965" i="3"/>
  <c r="I965" i="3"/>
  <c r="F966" i="3"/>
  <c r="G966" i="3"/>
  <c r="H966" i="3"/>
  <c r="I966" i="3"/>
  <c r="F967" i="3"/>
  <c r="G967" i="3"/>
  <c r="H967" i="3"/>
  <c r="I967" i="3"/>
  <c r="F968" i="3"/>
  <c r="G968" i="3"/>
  <c r="H968" i="3"/>
  <c r="I968" i="3"/>
  <c r="F969" i="3"/>
  <c r="G969" i="3"/>
  <c r="H969" i="3"/>
  <c r="I969" i="3"/>
  <c r="F970" i="3"/>
  <c r="G970" i="3"/>
  <c r="H970" i="3"/>
  <c r="I970" i="3"/>
  <c r="F971" i="3"/>
  <c r="G971" i="3"/>
  <c r="H971" i="3"/>
  <c r="I971" i="3"/>
  <c r="F972" i="3"/>
  <c r="G972" i="3"/>
  <c r="H972" i="3"/>
  <c r="I972" i="3"/>
  <c r="F973" i="3"/>
  <c r="G973" i="3"/>
  <c r="H973" i="3"/>
  <c r="I973" i="3"/>
  <c r="F974" i="3"/>
  <c r="G974" i="3"/>
  <c r="H974" i="3"/>
  <c r="I974" i="3"/>
  <c r="F975" i="3"/>
  <c r="G975" i="3"/>
  <c r="H975" i="3"/>
  <c r="I975" i="3"/>
  <c r="F976" i="3"/>
  <c r="G976" i="3"/>
  <c r="H976" i="3"/>
  <c r="I976" i="3"/>
  <c r="F977" i="3"/>
  <c r="G977" i="3"/>
  <c r="H977" i="3"/>
  <c r="I977" i="3"/>
  <c r="F978" i="3"/>
  <c r="G978" i="3"/>
  <c r="H978" i="3"/>
  <c r="I978" i="3"/>
  <c r="F979" i="3"/>
  <c r="G979" i="3"/>
  <c r="H979" i="3"/>
  <c r="I979" i="3"/>
  <c r="F980" i="3"/>
  <c r="G980" i="3"/>
  <c r="H980" i="3"/>
  <c r="I980" i="3"/>
  <c r="F981" i="3"/>
  <c r="G981" i="3"/>
  <c r="H981" i="3"/>
  <c r="I981" i="3"/>
  <c r="F982" i="3"/>
  <c r="G982" i="3"/>
  <c r="H982" i="3"/>
  <c r="I982" i="3"/>
  <c r="F983" i="3"/>
  <c r="G983" i="3"/>
  <c r="H983" i="3"/>
  <c r="I983" i="3"/>
  <c r="F984" i="3"/>
  <c r="G984" i="3"/>
  <c r="H984" i="3"/>
  <c r="I984" i="3"/>
  <c r="F985" i="3"/>
  <c r="G985" i="3"/>
  <c r="H985" i="3"/>
  <c r="I985" i="3"/>
  <c r="F986" i="3"/>
  <c r="G986" i="3"/>
  <c r="H986" i="3"/>
  <c r="I986" i="3"/>
  <c r="F987" i="3"/>
  <c r="G987" i="3"/>
  <c r="H987" i="3"/>
  <c r="I987" i="3"/>
  <c r="F988" i="3"/>
  <c r="G988" i="3"/>
  <c r="H988" i="3"/>
  <c r="I988" i="3"/>
  <c r="F989" i="3"/>
  <c r="G989" i="3"/>
  <c r="H989" i="3"/>
  <c r="I989" i="3"/>
  <c r="F990" i="3"/>
  <c r="G990" i="3"/>
  <c r="H990" i="3"/>
  <c r="I990" i="3"/>
  <c r="F991" i="3"/>
  <c r="G991" i="3"/>
  <c r="H991" i="3"/>
  <c r="I991" i="3"/>
  <c r="F992" i="3"/>
  <c r="G992" i="3"/>
  <c r="H992" i="3"/>
  <c r="I992" i="3"/>
  <c r="F993" i="3"/>
  <c r="G993" i="3"/>
  <c r="H993" i="3"/>
  <c r="I993" i="3"/>
  <c r="F994" i="3"/>
  <c r="G994" i="3"/>
  <c r="H994" i="3"/>
  <c r="I994" i="3"/>
  <c r="F995" i="3"/>
  <c r="G995" i="3"/>
  <c r="H995" i="3"/>
  <c r="I995" i="3"/>
  <c r="F996" i="3"/>
  <c r="G996" i="3"/>
  <c r="H996" i="3"/>
  <c r="I996" i="3"/>
  <c r="F997" i="3"/>
  <c r="G997" i="3"/>
  <c r="H997" i="3"/>
  <c r="I997" i="3"/>
  <c r="F998" i="3"/>
  <c r="G998" i="3"/>
  <c r="H998" i="3"/>
  <c r="I998" i="3"/>
  <c r="F999" i="3"/>
  <c r="G999" i="3"/>
  <c r="H999" i="3"/>
  <c r="I999" i="3"/>
  <c r="F1000" i="3"/>
  <c r="G1000" i="3"/>
  <c r="H1000" i="3"/>
  <c r="I1000" i="3"/>
  <c r="F1001" i="3"/>
  <c r="G1001" i="3"/>
  <c r="H1001" i="3"/>
  <c r="I1001" i="3"/>
  <c r="F1002" i="3"/>
  <c r="G1002" i="3"/>
  <c r="H1002" i="3"/>
  <c r="I1002" i="3"/>
  <c r="F1003" i="3"/>
  <c r="G1003" i="3"/>
  <c r="H1003" i="3"/>
  <c r="I1003" i="3"/>
  <c r="F1004" i="3"/>
  <c r="G1004" i="3"/>
  <c r="H1004" i="3"/>
  <c r="I1004" i="3"/>
  <c r="F1005" i="3"/>
  <c r="G1005" i="3"/>
  <c r="H1005" i="3"/>
  <c r="I1005" i="3"/>
  <c r="F1006" i="3"/>
  <c r="G1006" i="3"/>
  <c r="H1006" i="3"/>
  <c r="I1006" i="3"/>
  <c r="F1007" i="3"/>
  <c r="G1007" i="3"/>
  <c r="H1007" i="3"/>
  <c r="I1007" i="3"/>
  <c r="F1008" i="3"/>
  <c r="G1008" i="3"/>
  <c r="H1008" i="3"/>
  <c r="I1008" i="3"/>
  <c r="F1009" i="3"/>
  <c r="G1009" i="3"/>
  <c r="H1009" i="3"/>
  <c r="I1009" i="3"/>
  <c r="F1010" i="3"/>
  <c r="G1010" i="3"/>
  <c r="H1010" i="3"/>
  <c r="I1010" i="3"/>
  <c r="F1011" i="3"/>
  <c r="G1011" i="3"/>
  <c r="H1011" i="3"/>
  <c r="I1011" i="3"/>
  <c r="F1012" i="3"/>
  <c r="G1012" i="3"/>
  <c r="H1012" i="3"/>
  <c r="I1012" i="3"/>
  <c r="F1013" i="3"/>
  <c r="G1013" i="3"/>
  <c r="H1013" i="3"/>
  <c r="I1013" i="3"/>
  <c r="F1014" i="3"/>
  <c r="G1014" i="3"/>
  <c r="H1014" i="3"/>
  <c r="I1014" i="3"/>
  <c r="F1015" i="3"/>
  <c r="G1015" i="3"/>
  <c r="H1015" i="3"/>
  <c r="I1015" i="3"/>
  <c r="F1016" i="3"/>
  <c r="G1016" i="3"/>
  <c r="H1016" i="3"/>
  <c r="I1016" i="3"/>
  <c r="F1017" i="3"/>
  <c r="G1017" i="3"/>
  <c r="H1017" i="3"/>
  <c r="I1017" i="3"/>
  <c r="F1018" i="3"/>
  <c r="G1018" i="3"/>
  <c r="H1018" i="3"/>
  <c r="I1018" i="3"/>
  <c r="F1019" i="3"/>
  <c r="G1019" i="3"/>
  <c r="H1019" i="3"/>
  <c r="I1019" i="3"/>
  <c r="F1020" i="3"/>
  <c r="G1020" i="3"/>
  <c r="H1020" i="3"/>
  <c r="I1020" i="3"/>
  <c r="F1021" i="3"/>
  <c r="G1021" i="3"/>
  <c r="H1021" i="3"/>
  <c r="I1021" i="3"/>
  <c r="F1022" i="3"/>
  <c r="G1022" i="3"/>
  <c r="H1022" i="3"/>
  <c r="I1022" i="3"/>
  <c r="F1023" i="3"/>
  <c r="G1023" i="3"/>
  <c r="H1023" i="3"/>
  <c r="I1023" i="3"/>
  <c r="F1024" i="3"/>
  <c r="G1024" i="3"/>
  <c r="H1024" i="3"/>
  <c r="I1024" i="3"/>
  <c r="F1025" i="3"/>
  <c r="G1025" i="3"/>
  <c r="H1025" i="3"/>
  <c r="I1025" i="3"/>
  <c r="F1026" i="3"/>
  <c r="G1026" i="3"/>
  <c r="H1026" i="3"/>
  <c r="I1026" i="3"/>
  <c r="F1027" i="3"/>
  <c r="G1027" i="3"/>
  <c r="H1027" i="3"/>
  <c r="I1027" i="3"/>
  <c r="F1028" i="3"/>
  <c r="G1028" i="3"/>
  <c r="H1028" i="3"/>
  <c r="I1028" i="3"/>
  <c r="F1029" i="3"/>
  <c r="G1029" i="3"/>
  <c r="H1029" i="3"/>
  <c r="I1029" i="3"/>
  <c r="F1030" i="3"/>
  <c r="G1030" i="3"/>
  <c r="H1030" i="3"/>
  <c r="I1030" i="3"/>
  <c r="F1031" i="3"/>
  <c r="G1031" i="3"/>
  <c r="H1031" i="3"/>
  <c r="I1031" i="3"/>
  <c r="F1032" i="3"/>
  <c r="G1032" i="3"/>
  <c r="H1032" i="3"/>
  <c r="I1032" i="3"/>
  <c r="F1033" i="3"/>
  <c r="G1033" i="3"/>
  <c r="H1033" i="3"/>
  <c r="I1033" i="3"/>
  <c r="F1034" i="3"/>
  <c r="G1034" i="3"/>
  <c r="H1034" i="3"/>
  <c r="I1034" i="3"/>
  <c r="F1035" i="3"/>
  <c r="G1035" i="3"/>
  <c r="H1035" i="3"/>
  <c r="I1035" i="3"/>
  <c r="F1036" i="3"/>
  <c r="G1036" i="3"/>
  <c r="H1036" i="3"/>
  <c r="I1036" i="3"/>
  <c r="F1037" i="3"/>
  <c r="G1037" i="3"/>
  <c r="H1037" i="3"/>
  <c r="I1037" i="3"/>
  <c r="F1038" i="3"/>
  <c r="G1038" i="3"/>
  <c r="H1038" i="3"/>
  <c r="I1038" i="3"/>
  <c r="F1039" i="3"/>
  <c r="G1039" i="3"/>
  <c r="H1039" i="3"/>
  <c r="I1039" i="3"/>
  <c r="F1040" i="3"/>
  <c r="G1040" i="3"/>
  <c r="H1040" i="3"/>
  <c r="I1040" i="3"/>
  <c r="F1041" i="3"/>
  <c r="G1041" i="3"/>
  <c r="H1041" i="3"/>
  <c r="I1041" i="3"/>
  <c r="F1042" i="3"/>
  <c r="G1042" i="3"/>
  <c r="H1042" i="3"/>
  <c r="I1042" i="3"/>
  <c r="F1043" i="3"/>
  <c r="G1043" i="3"/>
  <c r="H1043" i="3"/>
  <c r="I1043" i="3"/>
  <c r="F1044" i="3"/>
  <c r="G1044" i="3"/>
  <c r="H1044" i="3"/>
  <c r="I1044" i="3"/>
  <c r="F1045" i="3"/>
  <c r="G1045" i="3"/>
  <c r="H1045" i="3"/>
  <c r="I1045" i="3"/>
  <c r="F1046" i="3"/>
  <c r="G1046" i="3"/>
  <c r="H1046" i="3"/>
  <c r="I1046" i="3"/>
  <c r="F1047" i="3"/>
  <c r="G1047" i="3"/>
  <c r="H1047" i="3"/>
  <c r="I1047" i="3"/>
  <c r="F1048" i="3"/>
  <c r="G1048" i="3"/>
  <c r="H1048" i="3"/>
  <c r="I1048" i="3"/>
  <c r="F1049" i="3"/>
  <c r="G1049" i="3"/>
  <c r="H1049" i="3"/>
  <c r="I1049" i="3"/>
  <c r="F1050" i="3"/>
  <c r="G1050" i="3"/>
  <c r="H1050" i="3"/>
  <c r="I1050" i="3"/>
  <c r="F1051" i="3"/>
  <c r="G1051" i="3"/>
  <c r="H1051" i="3"/>
  <c r="I1051" i="3"/>
  <c r="F1052" i="3"/>
  <c r="G1052" i="3"/>
  <c r="H1052" i="3"/>
  <c r="I1052" i="3"/>
  <c r="F1053" i="3"/>
  <c r="G1053" i="3"/>
  <c r="H1053" i="3"/>
  <c r="I1053" i="3"/>
  <c r="F1054" i="3"/>
  <c r="G1054" i="3"/>
  <c r="H1054" i="3"/>
  <c r="I1054" i="3"/>
  <c r="F1055" i="3"/>
  <c r="G1055" i="3"/>
  <c r="H1055" i="3"/>
  <c r="I1055" i="3"/>
  <c r="F1056" i="3"/>
  <c r="G1056" i="3"/>
  <c r="H1056" i="3"/>
  <c r="I1056" i="3"/>
  <c r="F1057" i="3"/>
  <c r="G1057" i="3"/>
  <c r="H1057" i="3"/>
  <c r="I1057" i="3"/>
  <c r="F1058" i="3"/>
  <c r="G1058" i="3"/>
  <c r="H1058" i="3"/>
  <c r="I1058" i="3"/>
  <c r="F1059" i="3"/>
  <c r="G1059" i="3"/>
  <c r="H1059" i="3"/>
  <c r="I1059" i="3"/>
  <c r="F1060" i="3"/>
  <c r="G1060" i="3"/>
  <c r="H1060" i="3"/>
  <c r="I1060" i="3"/>
  <c r="F1061" i="3"/>
  <c r="G1061" i="3"/>
  <c r="H1061" i="3"/>
  <c r="I1061" i="3"/>
  <c r="F1062" i="3"/>
  <c r="G1062" i="3"/>
  <c r="H1062" i="3"/>
  <c r="I1062" i="3"/>
  <c r="F1063" i="3"/>
  <c r="G1063" i="3"/>
  <c r="H1063" i="3"/>
  <c r="I1063" i="3"/>
  <c r="F1064" i="3"/>
  <c r="G1064" i="3"/>
  <c r="H1064" i="3"/>
  <c r="I1064" i="3"/>
  <c r="F1065" i="3"/>
  <c r="G1065" i="3"/>
  <c r="H1065" i="3"/>
  <c r="I1065" i="3"/>
  <c r="F1066" i="3"/>
  <c r="G1066" i="3"/>
  <c r="H1066" i="3"/>
  <c r="I1066" i="3"/>
  <c r="F1067" i="3"/>
  <c r="G1067" i="3"/>
  <c r="H1067" i="3"/>
  <c r="I1067" i="3"/>
  <c r="F1068" i="3"/>
  <c r="G1068" i="3"/>
  <c r="H1068" i="3"/>
  <c r="I1068" i="3"/>
  <c r="F1069" i="3"/>
  <c r="G1069" i="3"/>
  <c r="H1069" i="3"/>
  <c r="I1069" i="3"/>
  <c r="F1070" i="3"/>
  <c r="G1070" i="3"/>
  <c r="H1070" i="3"/>
  <c r="I1070" i="3"/>
  <c r="F1071" i="3"/>
  <c r="G1071" i="3"/>
  <c r="H1071" i="3"/>
  <c r="I1071" i="3"/>
  <c r="F1072" i="3"/>
  <c r="G1072" i="3"/>
  <c r="H1072" i="3"/>
  <c r="I1072" i="3"/>
  <c r="F1073" i="3"/>
  <c r="G1073" i="3"/>
  <c r="H1073" i="3"/>
  <c r="I1073" i="3"/>
  <c r="F1074" i="3"/>
  <c r="G1074" i="3"/>
  <c r="H1074" i="3"/>
  <c r="I1074" i="3"/>
  <c r="F1075" i="3"/>
  <c r="G1075" i="3"/>
  <c r="H1075" i="3"/>
  <c r="I1075" i="3"/>
  <c r="F1076" i="3"/>
  <c r="G1076" i="3"/>
  <c r="H1076" i="3"/>
  <c r="I1076" i="3"/>
  <c r="F1077" i="3"/>
  <c r="G1077" i="3"/>
  <c r="H1077" i="3"/>
  <c r="I1077" i="3"/>
  <c r="F1078" i="3"/>
  <c r="G1078" i="3"/>
  <c r="H1078" i="3"/>
  <c r="I1078" i="3"/>
  <c r="F1079" i="3"/>
  <c r="G1079" i="3"/>
  <c r="H1079" i="3"/>
  <c r="I1079" i="3"/>
  <c r="F1080" i="3"/>
  <c r="G1080" i="3"/>
  <c r="H1080" i="3"/>
  <c r="I1080" i="3"/>
  <c r="F1081" i="3"/>
  <c r="G1081" i="3"/>
  <c r="H1081" i="3"/>
  <c r="I1081" i="3"/>
  <c r="F1082" i="3"/>
  <c r="G1082" i="3"/>
  <c r="H1082" i="3"/>
  <c r="I1082" i="3"/>
  <c r="F1083" i="3"/>
  <c r="G1083" i="3"/>
  <c r="H1083" i="3"/>
  <c r="I1083" i="3"/>
  <c r="F1084" i="3"/>
  <c r="G1084" i="3"/>
  <c r="H1084" i="3"/>
  <c r="I1084" i="3"/>
  <c r="F1085" i="3"/>
  <c r="G1085" i="3"/>
  <c r="H1085" i="3"/>
  <c r="I1085" i="3"/>
  <c r="F1086" i="3"/>
  <c r="G1086" i="3"/>
  <c r="H1086" i="3"/>
  <c r="I1086" i="3"/>
  <c r="F1087" i="3"/>
  <c r="G1087" i="3"/>
  <c r="H1087" i="3"/>
  <c r="I1087" i="3"/>
  <c r="F1088" i="3"/>
  <c r="G1088" i="3"/>
  <c r="H1088" i="3"/>
  <c r="I1088" i="3"/>
  <c r="F1089" i="3"/>
  <c r="G1089" i="3"/>
  <c r="H1089" i="3"/>
  <c r="I1089" i="3"/>
  <c r="F1090" i="3"/>
  <c r="G1090" i="3"/>
  <c r="H1090" i="3"/>
  <c r="I1090" i="3"/>
  <c r="F1091" i="3"/>
  <c r="G1091" i="3"/>
  <c r="H1091" i="3"/>
  <c r="I1091" i="3"/>
  <c r="F1092" i="3"/>
  <c r="G1092" i="3"/>
  <c r="H1092" i="3"/>
  <c r="I1092" i="3"/>
  <c r="F1093" i="3"/>
  <c r="G1093" i="3"/>
  <c r="H1093" i="3"/>
  <c r="I1093" i="3"/>
  <c r="F1094" i="3"/>
  <c r="G1094" i="3"/>
  <c r="H1094" i="3"/>
  <c r="I1094" i="3"/>
  <c r="F1095" i="3"/>
  <c r="G1095" i="3"/>
  <c r="H1095" i="3"/>
  <c r="I1095" i="3"/>
  <c r="F1096" i="3"/>
  <c r="G1096" i="3"/>
  <c r="H1096" i="3"/>
  <c r="I1096" i="3"/>
  <c r="F1097" i="3"/>
  <c r="G1097" i="3"/>
  <c r="H1097" i="3"/>
  <c r="I1097" i="3"/>
  <c r="F1098" i="3"/>
  <c r="G1098" i="3"/>
  <c r="H1098" i="3"/>
  <c r="I1098" i="3"/>
  <c r="F1099" i="3"/>
  <c r="G1099" i="3"/>
  <c r="H1099" i="3"/>
  <c r="I1099" i="3"/>
  <c r="F1100" i="3"/>
  <c r="G1100" i="3"/>
  <c r="H1100" i="3"/>
  <c r="I1100" i="3"/>
  <c r="F1101" i="3"/>
  <c r="G1101" i="3"/>
  <c r="H1101" i="3"/>
  <c r="I1101" i="3"/>
  <c r="F1102" i="3"/>
  <c r="G1102" i="3"/>
  <c r="H1102" i="3"/>
  <c r="I1102" i="3"/>
  <c r="I37" i="3"/>
  <c r="H36" i="3"/>
  <c r="H37" i="3"/>
  <c r="G36" i="3"/>
  <c r="G37" i="3"/>
  <c r="G37" i="2"/>
  <c r="F3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102" i="3"/>
  <c r="E103" i="3"/>
  <c r="E104" i="3"/>
  <c r="E105" i="3"/>
  <c r="E106" i="3"/>
  <c r="E107" i="3"/>
  <c r="E108" i="3"/>
  <c r="E109" i="3"/>
  <c r="E110" i="3"/>
  <c r="E111" i="3"/>
  <c r="E112" i="3"/>
  <c r="E113" i="3"/>
  <c r="E114" i="3"/>
  <c r="E115" i="3"/>
  <c r="E116" i="3"/>
  <c r="E117" i="3"/>
  <c r="E118" i="3"/>
  <c r="E119" i="3"/>
  <c r="E120" i="3"/>
  <c r="E121" i="3"/>
  <c r="E122" i="3"/>
  <c r="E123" i="3"/>
  <c r="E124" i="3"/>
  <c r="E125" i="3"/>
  <c r="E126" i="3"/>
  <c r="E127" i="3"/>
  <c r="E128" i="3"/>
  <c r="E129" i="3"/>
  <c r="E130" i="3"/>
  <c r="E131" i="3"/>
  <c r="E132" i="3"/>
  <c r="E133" i="3"/>
  <c r="E134" i="3"/>
  <c r="E135" i="3"/>
  <c r="E136" i="3"/>
  <c r="E137" i="3"/>
  <c r="E138" i="3"/>
  <c r="E139" i="3"/>
  <c r="E140" i="3"/>
  <c r="E141" i="3"/>
  <c r="E142" i="3"/>
  <c r="E143" i="3"/>
  <c r="E144" i="3"/>
  <c r="E145" i="3"/>
  <c r="E146" i="3"/>
  <c r="E147" i="3"/>
  <c r="E148" i="3"/>
  <c r="E149" i="3"/>
  <c r="E150" i="3"/>
  <c r="E151" i="3"/>
  <c r="E152" i="3"/>
  <c r="E153" i="3"/>
  <c r="E154" i="3"/>
  <c r="E155" i="3"/>
  <c r="E156" i="3"/>
  <c r="E157" i="3"/>
  <c r="E158" i="3"/>
  <c r="E159" i="3"/>
  <c r="E160" i="3"/>
  <c r="E161" i="3"/>
  <c r="E162" i="3"/>
  <c r="E163" i="3"/>
  <c r="E164" i="3"/>
  <c r="E165" i="3"/>
  <c r="E166" i="3"/>
  <c r="E167" i="3"/>
  <c r="E168" i="3"/>
  <c r="E169" i="3"/>
  <c r="E170" i="3"/>
  <c r="E171" i="3"/>
  <c r="E172" i="3"/>
  <c r="E173" i="3"/>
  <c r="E174" i="3"/>
  <c r="E175" i="3"/>
  <c r="E176" i="3"/>
  <c r="E177" i="3"/>
  <c r="E178" i="3"/>
  <c r="E179" i="3"/>
  <c r="E180" i="3"/>
  <c r="E181" i="3"/>
  <c r="E182" i="3"/>
  <c r="E183" i="3"/>
  <c r="E184" i="3"/>
  <c r="E185" i="3"/>
  <c r="E186" i="3"/>
  <c r="E187" i="3"/>
  <c r="E188" i="3"/>
  <c r="E189" i="3"/>
  <c r="E190" i="3"/>
  <c r="E191" i="3"/>
  <c r="E192" i="3"/>
  <c r="E193" i="3"/>
  <c r="E194" i="3"/>
  <c r="E195" i="3"/>
  <c r="E196" i="3"/>
  <c r="E197" i="3"/>
  <c r="E198" i="3"/>
  <c r="E199" i="3"/>
  <c r="E200" i="3"/>
  <c r="E201" i="3"/>
  <c r="E202" i="3"/>
  <c r="E203" i="3"/>
  <c r="E204" i="3"/>
  <c r="E205" i="3"/>
  <c r="E206" i="3"/>
  <c r="E207" i="3"/>
  <c r="E208" i="3"/>
  <c r="E209" i="3"/>
  <c r="E210" i="3"/>
  <c r="E211" i="3"/>
  <c r="E212" i="3"/>
  <c r="E213" i="3"/>
  <c r="E214" i="3"/>
  <c r="E215" i="3"/>
  <c r="E216" i="3"/>
  <c r="E217" i="3"/>
  <c r="E218" i="3"/>
  <c r="E219" i="3"/>
  <c r="E220" i="3"/>
  <c r="E221" i="3"/>
  <c r="E222" i="3"/>
  <c r="E223" i="3"/>
  <c r="E224" i="3"/>
  <c r="E225" i="3"/>
  <c r="E226" i="3"/>
  <c r="E227" i="3"/>
  <c r="E228" i="3"/>
  <c r="E229" i="3"/>
  <c r="E230" i="3"/>
  <c r="E231" i="3"/>
  <c r="E232" i="3"/>
  <c r="E233" i="3"/>
  <c r="E234" i="3"/>
  <c r="E235" i="3"/>
  <c r="E236" i="3"/>
  <c r="E237" i="3"/>
  <c r="E238" i="3"/>
  <c r="E239" i="3"/>
  <c r="E240" i="3"/>
  <c r="E241" i="3"/>
  <c r="E242" i="3"/>
  <c r="E243" i="3"/>
  <c r="E244" i="3"/>
  <c r="E245" i="3"/>
  <c r="E246" i="3"/>
  <c r="E247" i="3"/>
  <c r="E248" i="3"/>
  <c r="E249" i="3"/>
  <c r="E250" i="3"/>
  <c r="E251" i="3"/>
  <c r="E252" i="3"/>
  <c r="E253" i="3"/>
  <c r="E254" i="3"/>
  <c r="E255" i="3"/>
  <c r="E256" i="3"/>
  <c r="E257" i="3"/>
  <c r="E258" i="3"/>
  <c r="E259" i="3"/>
  <c r="E260" i="3"/>
  <c r="E261" i="3"/>
  <c r="E262" i="3"/>
  <c r="E263" i="3"/>
  <c r="E264" i="3"/>
  <c r="E265" i="3"/>
  <c r="E266" i="3"/>
  <c r="E267" i="3"/>
  <c r="E268" i="3"/>
  <c r="E269" i="3"/>
  <c r="E270" i="3"/>
  <c r="E271" i="3"/>
  <c r="E272" i="3"/>
  <c r="E273" i="3"/>
  <c r="E274" i="3"/>
  <c r="E275" i="3"/>
  <c r="E276" i="3"/>
  <c r="E277" i="3"/>
  <c r="E278" i="3"/>
  <c r="E279" i="3"/>
  <c r="E280" i="3"/>
  <c r="E281" i="3"/>
  <c r="E282" i="3"/>
  <c r="E283" i="3"/>
  <c r="E284" i="3"/>
  <c r="E285" i="3"/>
  <c r="E286" i="3"/>
  <c r="E287" i="3"/>
  <c r="E288" i="3"/>
  <c r="E289" i="3"/>
  <c r="E290" i="3"/>
  <c r="E291" i="3"/>
  <c r="E292" i="3"/>
  <c r="E293" i="3"/>
  <c r="E294" i="3"/>
  <c r="E295" i="3"/>
  <c r="E296" i="3"/>
  <c r="E297" i="3"/>
  <c r="E298" i="3"/>
  <c r="E299" i="3"/>
  <c r="E300" i="3"/>
  <c r="E301" i="3"/>
  <c r="E302" i="3"/>
  <c r="E303" i="3"/>
  <c r="E304" i="3"/>
  <c r="E305" i="3"/>
  <c r="E306" i="3"/>
  <c r="E307" i="3"/>
  <c r="E308" i="3"/>
  <c r="E309" i="3"/>
  <c r="E310" i="3"/>
  <c r="E311" i="3"/>
  <c r="E312" i="3"/>
  <c r="E313" i="3"/>
  <c r="E314" i="3"/>
  <c r="E315" i="3"/>
  <c r="E316" i="3"/>
  <c r="E317" i="3"/>
  <c r="E318" i="3"/>
  <c r="E319" i="3"/>
  <c r="E320" i="3"/>
  <c r="E321" i="3"/>
  <c r="E322" i="3"/>
  <c r="E323" i="3"/>
  <c r="E324" i="3"/>
  <c r="E325" i="3"/>
  <c r="E326" i="3"/>
  <c r="E327" i="3"/>
  <c r="E328" i="3"/>
  <c r="E329" i="3"/>
  <c r="E330" i="3"/>
  <c r="E331" i="3"/>
  <c r="E332" i="3"/>
  <c r="E333" i="3"/>
  <c r="E334" i="3"/>
  <c r="E335" i="3"/>
  <c r="E336" i="3"/>
  <c r="E337" i="3"/>
  <c r="E338" i="3"/>
  <c r="E339" i="3"/>
  <c r="E340" i="3"/>
  <c r="E341" i="3"/>
  <c r="E342" i="3"/>
  <c r="E343" i="3"/>
  <c r="E344" i="3"/>
  <c r="E345" i="3"/>
  <c r="E346" i="3"/>
  <c r="E347" i="3"/>
  <c r="E348" i="3"/>
  <c r="E349" i="3"/>
  <c r="E350" i="3"/>
  <c r="E351" i="3"/>
  <c r="E352" i="3"/>
  <c r="E353" i="3"/>
  <c r="E354" i="3"/>
  <c r="E355" i="3"/>
  <c r="E356" i="3"/>
  <c r="E357" i="3"/>
  <c r="E358" i="3"/>
  <c r="E359" i="3"/>
  <c r="E360" i="3"/>
  <c r="E361" i="3"/>
  <c r="E362" i="3"/>
  <c r="E363" i="3"/>
  <c r="E364" i="3"/>
  <c r="E365" i="3"/>
  <c r="E366" i="3"/>
  <c r="E367" i="3"/>
  <c r="E368" i="3"/>
  <c r="E369" i="3"/>
  <c r="E370" i="3"/>
  <c r="E371" i="3"/>
  <c r="E372" i="3"/>
  <c r="E373" i="3"/>
  <c r="E374" i="3"/>
  <c r="E375" i="3"/>
  <c r="E376" i="3"/>
  <c r="E377" i="3"/>
  <c r="E378" i="3"/>
  <c r="E379" i="3"/>
  <c r="E380" i="3"/>
  <c r="E381" i="3"/>
  <c r="E382" i="3"/>
  <c r="E383" i="3"/>
  <c r="E384" i="3"/>
  <c r="E385" i="3"/>
  <c r="E386" i="3"/>
  <c r="E387" i="3"/>
  <c r="E388" i="3"/>
  <c r="E389" i="3"/>
  <c r="E390" i="3"/>
  <c r="E391" i="3"/>
  <c r="E392" i="3"/>
  <c r="E393" i="3"/>
  <c r="E394" i="3"/>
  <c r="E395" i="3"/>
  <c r="E396" i="3"/>
  <c r="E397" i="3"/>
  <c r="E398" i="3"/>
  <c r="E399" i="3"/>
  <c r="E400" i="3"/>
  <c r="E401" i="3"/>
  <c r="E402" i="3"/>
  <c r="E403" i="3"/>
  <c r="E404" i="3"/>
  <c r="E405" i="3"/>
  <c r="E406" i="3"/>
  <c r="E407" i="3"/>
  <c r="E408" i="3"/>
  <c r="E409" i="3"/>
  <c r="E410" i="3"/>
  <c r="E411" i="3"/>
  <c r="E412" i="3"/>
  <c r="E413" i="3"/>
  <c r="E414" i="3"/>
  <c r="E415" i="3"/>
  <c r="E416" i="3"/>
  <c r="E417" i="3"/>
  <c r="E418" i="3"/>
  <c r="E419" i="3"/>
  <c r="E420" i="3"/>
  <c r="E421" i="3"/>
  <c r="E422" i="3"/>
  <c r="E423" i="3"/>
  <c r="E424" i="3"/>
  <c r="E425" i="3"/>
  <c r="E426" i="3"/>
  <c r="E427" i="3"/>
  <c r="E428" i="3"/>
  <c r="E429" i="3"/>
  <c r="E430" i="3"/>
  <c r="E431" i="3"/>
  <c r="E432" i="3"/>
  <c r="E433" i="3"/>
  <c r="E434" i="3"/>
  <c r="E435" i="3"/>
  <c r="E436" i="3"/>
  <c r="E437" i="3"/>
  <c r="E438" i="3"/>
  <c r="E439" i="3"/>
  <c r="E440" i="3"/>
  <c r="E441" i="3"/>
  <c r="E442" i="3"/>
  <c r="E443" i="3"/>
  <c r="E444" i="3"/>
  <c r="E445" i="3"/>
  <c r="E446" i="3"/>
  <c r="E447" i="3"/>
  <c r="E448" i="3"/>
  <c r="E449" i="3"/>
  <c r="E450" i="3"/>
  <c r="E451" i="3"/>
  <c r="E452" i="3"/>
  <c r="E453" i="3"/>
  <c r="E454" i="3"/>
  <c r="E455" i="3"/>
  <c r="E456" i="3"/>
  <c r="E457" i="3"/>
  <c r="E458" i="3"/>
  <c r="E459" i="3"/>
  <c r="E460" i="3"/>
  <c r="E461" i="3"/>
  <c r="E462" i="3"/>
  <c r="E463" i="3"/>
  <c r="E464" i="3"/>
  <c r="E465" i="3"/>
  <c r="E466" i="3"/>
  <c r="E467" i="3"/>
  <c r="E468" i="3"/>
  <c r="E469" i="3"/>
  <c r="E470" i="3"/>
  <c r="E471" i="3"/>
  <c r="E472" i="3"/>
  <c r="E473" i="3"/>
  <c r="E474" i="3"/>
  <c r="E475" i="3"/>
  <c r="E476" i="3"/>
  <c r="E477" i="3"/>
  <c r="E478" i="3"/>
  <c r="E479" i="3"/>
  <c r="E480" i="3"/>
  <c r="E481" i="3"/>
  <c r="E482" i="3"/>
  <c r="E483" i="3"/>
  <c r="E484" i="3"/>
  <c r="E485" i="3"/>
  <c r="E486" i="3"/>
  <c r="E487" i="3"/>
  <c r="E488" i="3"/>
  <c r="E489" i="3"/>
  <c r="E490" i="3"/>
  <c r="E491" i="3"/>
  <c r="E492" i="3"/>
  <c r="E493" i="3"/>
  <c r="E494" i="3"/>
  <c r="E495" i="3"/>
  <c r="E496" i="3"/>
  <c r="E497" i="3"/>
  <c r="E498" i="3"/>
  <c r="E499" i="3"/>
  <c r="E500" i="3"/>
  <c r="E501" i="3"/>
  <c r="E502" i="3"/>
  <c r="E503" i="3"/>
  <c r="E504" i="3"/>
  <c r="E505" i="3"/>
  <c r="E506" i="3"/>
  <c r="E507" i="3"/>
  <c r="E508" i="3"/>
  <c r="E509" i="3"/>
  <c r="E510" i="3"/>
  <c r="E511" i="3"/>
  <c r="E512" i="3"/>
  <c r="E513" i="3"/>
  <c r="E514" i="3"/>
  <c r="E515" i="3"/>
  <c r="E516" i="3"/>
  <c r="E517" i="3"/>
  <c r="E518" i="3"/>
  <c r="E519" i="3"/>
  <c r="E520" i="3"/>
  <c r="E521" i="3"/>
  <c r="E522" i="3"/>
  <c r="E523" i="3"/>
  <c r="E524" i="3"/>
  <c r="E525" i="3"/>
  <c r="E526" i="3"/>
  <c r="E527" i="3"/>
  <c r="E528" i="3"/>
  <c r="E529" i="3"/>
  <c r="E530" i="3"/>
  <c r="E531" i="3"/>
  <c r="E532" i="3"/>
  <c r="E533" i="3"/>
  <c r="E534" i="3"/>
  <c r="E535" i="3"/>
  <c r="E536" i="3"/>
  <c r="E537" i="3"/>
  <c r="E538" i="3"/>
  <c r="E539" i="3"/>
  <c r="E540" i="3"/>
  <c r="E541" i="3"/>
  <c r="E542" i="3"/>
  <c r="E543" i="3"/>
  <c r="E544" i="3"/>
  <c r="E545" i="3"/>
  <c r="E546" i="3"/>
  <c r="E547" i="3"/>
  <c r="E548" i="3"/>
  <c r="E549" i="3"/>
  <c r="E550" i="3"/>
  <c r="E551" i="3"/>
  <c r="E552" i="3"/>
  <c r="E553" i="3"/>
  <c r="E554" i="3"/>
  <c r="E555" i="3"/>
  <c r="E556" i="3"/>
  <c r="E557" i="3"/>
  <c r="E558" i="3"/>
  <c r="E559" i="3"/>
  <c r="E560" i="3"/>
  <c r="E561" i="3"/>
  <c r="E562" i="3"/>
  <c r="E563" i="3"/>
  <c r="E564" i="3"/>
  <c r="E565" i="3"/>
  <c r="E566" i="3"/>
  <c r="E567" i="3"/>
  <c r="E568" i="3"/>
  <c r="E569" i="3"/>
  <c r="E570" i="3"/>
  <c r="E571" i="3"/>
  <c r="E572" i="3"/>
  <c r="E573" i="3"/>
  <c r="E574" i="3"/>
  <c r="E575" i="3"/>
  <c r="E576" i="3"/>
  <c r="E577" i="3"/>
  <c r="E578" i="3"/>
  <c r="E579" i="3"/>
  <c r="E580" i="3"/>
  <c r="E581" i="3"/>
  <c r="E582" i="3"/>
  <c r="E583" i="3"/>
  <c r="E584" i="3"/>
  <c r="E585" i="3"/>
  <c r="E586" i="3"/>
  <c r="E587" i="3"/>
  <c r="E588" i="3"/>
  <c r="E589" i="3"/>
  <c r="E590" i="3"/>
  <c r="E591" i="3"/>
  <c r="E592" i="3"/>
  <c r="E593" i="3"/>
  <c r="E594" i="3"/>
  <c r="E595" i="3"/>
  <c r="E596" i="3"/>
  <c r="E597" i="3"/>
  <c r="E598" i="3"/>
  <c r="E599" i="3"/>
  <c r="E600" i="3"/>
  <c r="E601" i="3"/>
  <c r="E602" i="3"/>
  <c r="E603" i="3"/>
  <c r="E604" i="3"/>
  <c r="E605" i="3"/>
  <c r="E606" i="3"/>
  <c r="E607" i="3"/>
  <c r="E608" i="3"/>
  <c r="E609" i="3"/>
  <c r="E610" i="3"/>
  <c r="E611" i="3"/>
  <c r="E612" i="3"/>
  <c r="E613" i="3"/>
  <c r="E614" i="3"/>
  <c r="E615" i="3"/>
  <c r="E616" i="3"/>
  <c r="E617" i="3"/>
  <c r="E618" i="3"/>
  <c r="E619" i="3"/>
  <c r="E620" i="3"/>
  <c r="E621" i="3"/>
  <c r="E622" i="3"/>
  <c r="E623" i="3"/>
  <c r="E624" i="3"/>
  <c r="E625" i="3"/>
  <c r="E626" i="3"/>
  <c r="E627" i="3"/>
  <c r="E628" i="3"/>
  <c r="E629" i="3"/>
  <c r="E630" i="3"/>
  <c r="E631" i="3"/>
  <c r="E632" i="3"/>
  <c r="E633" i="3"/>
  <c r="E634" i="3"/>
  <c r="E635" i="3"/>
  <c r="E636" i="3"/>
  <c r="E637" i="3"/>
  <c r="E638" i="3"/>
  <c r="E639" i="3"/>
  <c r="E640" i="3"/>
  <c r="E641" i="3"/>
  <c r="E642" i="3"/>
  <c r="E643" i="3"/>
  <c r="E644" i="3"/>
  <c r="E645" i="3"/>
  <c r="E646" i="3"/>
  <c r="E647" i="3"/>
  <c r="E648" i="3"/>
  <c r="E649" i="3"/>
  <c r="E650" i="3"/>
  <c r="E651" i="3"/>
  <c r="E652" i="3"/>
  <c r="E653" i="3"/>
  <c r="E654" i="3"/>
  <c r="E655" i="3"/>
  <c r="E656" i="3"/>
  <c r="E657" i="3"/>
  <c r="E658" i="3"/>
  <c r="E659" i="3"/>
  <c r="E660" i="3"/>
  <c r="E661" i="3"/>
  <c r="E662" i="3"/>
  <c r="E663" i="3"/>
  <c r="E664" i="3"/>
  <c r="E665" i="3"/>
  <c r="E666" i="3"/>
  <c r="E667" i="3"/>
  <c r="E668" i="3"/>
  <c r="E669" i="3"/>
  <c r="E670" i="3"/>
  <c r="E671" i="3"/>
  <c r="E672" i="3"/>
  <c r="E673" i="3"/>
  <c r="E674" i="3"/>
  <c r="E675" i="3"/>
  <c r="E676" i="3"/>
  <c r="E677" i="3"/>
  <c r="E678" i="3"/>
  <c r="E679" i="3"/>
  <c r="E680" i="3"/>
  <c r="E681" i="3"/>
  <c r="E682" i="3"/>
  <c r="E683" i="3"/>
  <c r="E684" i="3"/>
  <c r="E685" i="3"/>
  <c r="E686" i="3"/>
  <c r="E687" i="3"/>
  <c r="E688" i="3"/>
  <c r="E689" i="3"/>
  <c r="E690" i="3"/>
  <c r="E691" i="3"/>
  <c r="E692" i="3"/>
  <c r="E693" i="3"/>
  <c r="E694" i="3"/>
  <c r="E695" i="3"/>
  <c r="E696" i="3"/>
  <c r="E697" i="3"/>
  <c r="E698" i="3"/>
  <c r="E699" i="3"/>
  <c r="E700" i="3"/>
  <c r="E701" i="3"/>
  <c r="E702" i="3"/>
  <c r="E703" i="3"/>
  <c r="E704" i="3"/>
  <c r="E705" i="3"/>
  <c r="E706" i="3"/>
  <c r="E707" i="3"/>
  <c r="E708" i="3"/>
  <c r="E709" i="3"/>
  <c r="E710" i="3"/>
  <c r="E711" i="3"/>
  <c r="E712" i="3"/>
  <c r="E713" i="3"/>
  <c r="E714" i="3"/>
  <c r="E715" i="3"/>
  <c r="E716" i="3"/>
  <c r="E717" i="3"/>
  <c r="E718" i="3"/>
  <c r="E719" i="3"/>
  <c r="E720" i="3"/>
  <c r="E721" i="3"/>
  <c r="E722" i="3"/>
  <c r="E723" i="3"/>
  <c r="E724" i="3"/>
  <c r="E725" i="3"/>
  <c r="E726" i="3"/>
  <c r="E727" i="3"/>
  <c r="E728" i="3"/>
  <c r="E729" i="3"/>
  <c r="E730" i="3"/>
  <c r="E731" i="3"/>
  <c r="E732" i="3"/>
  <c r="E733" i="3"/>
  <c r="E734" i="3"/>
  <c r="E735" i="3"/>
  <c r="E736" i="3"/>
  <c r="E737" i="3"/>
  <c r="E738" i="3"/>
  <c r="E739" i="3"/>
  <c r="E740" i="3"/>
  <c r="E741" i="3"/>
  <c r="E742" i="3"/>
  <c r="E743" i="3"/>
  <c r="E744" i="3"/>
  <c r="E745" i="3"/>
  <c r="E746" i="3"/>
  <c r="E747" i="3"/>
  <c r="E748" i="3"/>
  <c r="E749" i="3"/>
  <c r="E750" i="3"/>
  <c r="E751" i="3"/>
  <c r="E752" i="3"/>
  <c r="E753" i="3"/>
  <c r="E754" i="3"/>
  <c r="E755" i="3"/>
  <c r="E756" i="3"/>
  <c r="E757" i="3"/>
  <c r="E758" i="3"/>
  <c r="E759" i="3"/>
  <c r="E760" i="3"/>
  <c r="E761" i="3"/>
  <c r="E762" i="3"/>
  <c r="E763" i="3"/>
  <c r="E764" i="3"/>
  <c r="E765" i="3"/>
  <c r="E766" i="3"/>
  <c r="E767" i="3"/>
  <c r="E768" i="3"/>
  <c r="E769" i="3"/>
  <c r="E770" i="3"/>
  <c r="E771" i="3"/>
  <c r="E772" i="3"/>
  <c r="E773" i="3"/>
  <c r="E774" i="3"/>
  <c r="E775" i="3"/>
  <c r="E776" i="3"/>
  <c r="E777" i="3"/>
  <c r="E778" i="3"/>
  <c r="E779" i="3"/>
  <c r="E780" i="3"/>
  <c r="E781" i="3"/>
  <c r="E782" i="3"/>
  <c r="E783" i="3"/>
  <c r="E784" i="3"/>
  <c r="E785" i="3"/>
  <c r="E786" i="3"/>
  <c r="E787" i="3"/>
  <c r="E788" i="3"/>
  <c r="E789" i="3"/>
  <c r="E790" i="3"/>
  <c r="E791" i="3"/>
  <c r="E792" i="3"/>
  <c r="E793" i="3"/>
  <c r="E794" i="3"/>
  <c r="E795" i="3"/>
  <c r="E796" i="3"/>
  <c r="E797" i="3"/>
  <c r="E798" i="3"/>
  <c r="E799" i="3"/>
  <c r="E800" i="3"/>
  <c r="E801" i="3"/>
  <c r="E802" i="3"/>
  <c r="E803" i="3"/>
  <c r="E804" i="3"/>
  <c r="E805" i="3"/>
  <c r="E806" i="3"/>
  <c r="E807" i="3"/>
  <c r="E808" i="3"/>
  <c r="E809" i="3"/>
  <c r="E810" i="3"/>
  <c r="E811" i="3"/>
  <c r="E812" i="3"/>
  <c r="E813" i="3"/>
  <c r="E814" i="3"/>
  <c r="E815" i="3"/>
  <c r="E816" i="3"/>
  <c r="E817" i="3"/>
  <c r="E818" i="3"/>
  <c r="E819" i="3"/>
  <c r="E820" i="3"/>
  <c r="E821" i="3"/>
  <c r="E822" i="3"/>
  <c r="E823" i="3"/>
  <c r="E824" i="3"/>
  <c r="E825" i="3"/>
  <c r="E826" i="3"/>
  <c r="E827" i="3"/>
  <c r="E828" i="3"/>
  <c r="E829" i="3"/>
  <c r="E830" i="3"/>
  <c r="E831" i="3"/>
  <c r="E832" i="3"/>
  <c r="E833" i="3"/>
  <c r="E834" i="3"/>
  <c r="E835" i="3"/>
  <c r="E836" i="3"/>
  <c r="E837" i="3"/>
  <c r="E838" i="3"/>
  <c r="E839" i="3"/>
  <c r="E840" i="3"/>
  <c r="E841" i="3"/>
  <c r="E842" i="3"/>
  <c r="E843" i="3"/>
  <c r="E844" i="3"/>
  <c r="E845" i="3"/>
  <c r="E846" i="3"/>
  <c r="E847" i="3"/>
  <c r="E848" i="3"/>
  <c r="E849" i="3"/>
  <c r="E850" i="3"/>
  <c r="E851" i="3"/>
  <c r="E852" i="3"/>
  <c r="E853" i="3"/>
  <c r="E854" i="3"/>
  <c r="E855" i="3"/>
  <c r="E856" i="3"/>
  <c r="E857" i="3"/>
  <c r="E858" i="3"/>
  <c r="E859" i="3"/>
  <c r="E860" i="3"/>
  <c r="E861" i="3"/>
  <c r="E862" i="3"/>
  <c r="E863" i="3"/>
  <c r="E864" i="3"/>
  <c r="E865" i="3"/>
  <c r="E866" i="3"/>
  <c r="E867" i="3"/>
  <c r="E868" i="3"/>
  <c r="E869" i="3"/>
  <c r="E870" i="3"/>
  <c r="E871" i="3"/>
  <c r="E872" i="3"/>
  <c r="E873" i="3"/>
  <c r="E874" i="3"/>
  <c r="E875" i="3"/>
  <c r="E876" i="3"/>
  <c r="E877" i="3"/>
  <c r="E878" i="3"/>
  <c r="E879" i="3"/>
  <c r="E880" i="3"/>
  <c r="E881" i="3"/>
  <c r="E882" i="3"/>
  <c r="E883" i="3"/>
  <c r="E884" i="3"/>
  <c r="E885" i="3"/>
  <c r="E886" i="3"/>
  <c r="E887" i="3"/>
  <c r="E888" i="3"/>
  <c r="E889" i="3"/>
  <c r="E890" i="3"/>
  <c r="E891" i="3"/>
  <c r="E892" i="3"/>
  <c r="E893" i="3"/>
  <c r="E894" i="3"/>
  <c r="E895" i="3"/>
  <c r="E896" i="3"/>
  <c r="E897" i="3"/>
  <c r="E898" i="3"/>
  <c r="E899" i="3"/>
  <c r="E900" i="3"/>
  <c r="E901" i="3"/>
  <c r="E902" i="3"/>
  <c r="E903" i="3"/>
  <c r="E904" i="3"/>
  <c r="E905" i="3"/>
  <c r="E906" i="3"/>
  <c r="E907" i="3"/>
  <c r="E908" i="3"/>
  <c r="E909" i="3"/>
  <c r="E910" i="3"/>
  <c r="E911" i="3"/>
  <c r="E912" i="3"/>
  <c r="E913" i="3"/>
  <c r="E914" i="3"/>
  <c r="E915" i="3"/>
  <c r="E916" i="3"/>
  <c r="E917" i="3"/>
  <c r="E918" i="3"/>
  <c r="E919" i="3"/>
  <c r="E920" i="3"/>
  <c r="E921" i="3"/>
  <c r="E922" i="3"/>
  <c r="E923" i="3"/>
  <c r="E924" i="3"/>
  <c r="E925" i="3"/>
  <c r="E926" i="3"/>
  <c r="E927" i="3"/>
  <c r="E928" i="3"/>
  <c r="E929" i="3"/>
  <c r="E930" i="3"/>
  <c r="E931" i="3"/>
  <c r="E932" i="3"/>
  <c r="E933" i="3"/>
  <c r="E934" i="3"/>
  <c r="E935" i="3"/>
  <c r="E936" i="3"/>
  <c r="E937" i="3"/>
  <c r="E938" i="3"/>
  <c r="E939" i="3"/>
  <c r="E940" i="3"/>
  <c r="E941" i="3"/>
  <c r="E942" i="3"/>
  <c r="E943" i="3"/>
  <c r="E944" i="3"/>
  <c r="E945" i="3"/>
  <c r="E946" i="3"/>
  <c r="E947" i="3"/>
  <c r="E948" i="3"/>
  <c r="E949" i="3"/>
  <c r="E950" i="3"/>
  <c r="E951" i="3"/>
  <c r="E952" i="3"/>
  <c r="E953" i="3"/>
  <c r="E954" i="3"/>
  <c r="E955" i="3"/>
  <c r="E956" i="3"/>
  <c r="E957" i="3"/>
  <c r="E958" i="3"/>
  <c r="E959" i="3"/>
  <c r="E960" i="3"/>
  <c r="E961" i="3"/>
  <c r="E962" i="3"/>
  <c r="E963" i="3"/>
  <c r="E964" i="3"/>
  <c r="E965" i="3"/>
  <c r="E966" i="3"/>
  <c r="E967" i="3"/>
  <c r="E968" i="3"/>
  <c r="E969" i="3"/>
  <c r="E970" i="3"/>
  <c r="E971" i="3"/>
  <c r="E972" i="3"/>
  <c r="E973" i="3"/>
  <c r="E974" i="3"/>
  <c r="E975" i="3"/>
  <c r="E976" i="3"/>
  <c r="E977" i="3"/>
  <c r="E978" i="3"/>
  <c r="E979" i="3"/>
  <c r="E980" i="3"/>
  <c r="E981" i="3"/>
  <c r="E982" i="3"/>
  <c r="E983" i="3"/>
  <c r="E984" i="3"/>
  <c r="E985" i="3"/>
  <c r="E986" i="3"/>
  <c r="E987" i="3"/>
  <c r="E988" i="3"/>
  <c r="E989" i="3"/>
  <c r="E990" i="3"/>
  <c r="E991" i="3"/>
  <c r="E992" i="3"/>
  <c r="E993" i="3"/>
  <c r="E994" i="3"/>
  <c r="E995" i="3"/>
  <c r="E996" i="3"/>
  <c r="E997" i="3"/>
  <c r="E998" i="3"/>
  <c r="E999" i="3"/>
  <c r="E1000" i="3"/>
  <c r="E1001" i="3"/>
  <c r="E1002" i="3"/>
  <c r="E1003" i="3"/>
  <c r="E1004" i="3"/>
  <c r="E1005" i="3"/>
  <c r="E1006" i="3"/>
  <c r="E1007" i="3"/>
  <c r="E1008" i="3"/>
  <c r="E1009" i="3"/>
  <c r="E1010" i="3"/>
  <c r="E1011" i="3"/>
  <c r="E1012" i="3"/>
  <c r="E1013" i="3"/>
  <c r="E1014" i="3"/>
  <c r="E1015" i="3"/>
  <c r="E1016" i="3"/>
  <c r="E1017" i="3"/>
  <c r="E1018" i="3"/>
  <c r="E1019" i="3"/>
  <c r="E1020" i="3"/>
  <c r="E1021" i="3"/>
  <c r="E1022" i="3"/>
  <c r="E1023" i="3"/>
  <c r="E1024" i="3"/>
  <c r="E1025" i="3"/>
  <c r="E1026" i="3"/>
  <c r="E1027" i="3"/>
  <c r="E1028" i="3"/>
  <c r="E1029" i="3"/>
  <c r="E1030" i="3"/>
  <c r="E1031" i="3"/>
  <c r="E1032" i="3"/>
  <c r="E1033" i="3"/>
  <c r="E1034" i="3"/>
  <c r="E1035" i="3"/>
  <c r="E1036" i="3"/>
  <c r="E1037" i="3"/>
  <c r="E1038" i="3"/>
  <c r="E1039" i="3"/>
  <c r="E1040" i="3"/>
  <c r="E1041" i="3"/>
  <c r="E1042" i="3"/>
  <c r="E1043" i="3"/>
  <c r="E1044" i="3"/>
  <c r="E1045" i="3"/>
  <c r="E1046" i="3"/>
  <c r="E1047" i="3"/>
  <c r="E1048" i="3"/>
  <c r="E1049" i="3"/>
  <c r="E1050" i="3"/>
  <c r="E1051" i="3"/>
  <c r="E1052" i="3"/>
  <c r="E1053" i="3"/>
  <c r="E1054" i="3"/>
  <c r="E1055" i="3"/>
  <c r="E1056" i="3"/>
  <c r="E1057" i="3"/>
  <c r="E1058" i="3"/>
  <c r="E1059" i="3"/>
  <c r="E1060" i="3"/>
  <c r="E1061" i="3"/>
  <c r="E1062" i="3"/>
  <c r="E1063" i="3"/>
  <c r="E1064" i="3"/>
  <c r="E1065" i="3"/>
  <c r="E1066" i="3"/>
  <c r="E1067" i="3"/>
  <c r="E1068" i="3"/>
  <c r="E1069" i="3"/>
  <c r="E1070" i="3"/>
  <c r="E1071" i="3"/>
  <c r="E1072" i="3"/>
  <c r="E1073" i="3"/>
  <c r="E1074" i="3"/>
  <c r="E1075" i="3"/>
  <c r="E1076" i="3"/>
  <c r="E1077" i="3"/>
  <c r="E1078" i="3"/>
  <c r="E1079" i="3"/>
  <c r="E1080" i="3"/>
  <c r="E1081" i="3"/>
  <c r="E1082" i="3"/>
  <c r="E1083" i="3"/>
  <c r="E1084" i="3"/>
  <c r="E1085" i="3"/>
  <c r="E1086" i="3"/>
  <c r="E1087" i="3"/>
  <c r="E1088" i="3"/>
  <c r="E1089" i="3"/>
  <c r="E1090" i="3"/>
  <c r="E1091" i="3"/>
  <c r="E1092" i="3"/>
  <c r="E1093" i="3"/>
  <c r="E1094" i="3"/>
  <c r="E1095" i="3"/>
  <c r="E1096" i="3"/>
  <c r="E1097" i="3"/>
  <c r="E1098" i="3"/>
  <c r="E1099" i="3"/>
  <c r="E1100" i="3"/>
  <c r="E1101" i="3"/>
  <c r="E1102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37" i="3"/>
  <c r="C36" i="3"/>
  <c r="C42" i="3"/>
  <c r="D42" i="3" s="1"/>
  <c r="C43" i="3"/>
  <c r="D43" i="3" s="1"/>
  <c r="C44" i="3"/>
  <c r="D44" i="3" s="1"/>
  <c r="C45" i="3"/>
  <c r="D45" i="3"/>
  <c r="C46" i="3"/>
  <c r="D46" i="3" s="1"/>
  <c r="C47" i="3"/>
  <c r="D47" i="3"/>
  <c r="C48" i="3"/>
  <c r="D48" i="3"/>
  <c r="C49" i="3"/>
  <c r="D49" i="3"/>
  <c r="C50" i="3"/>
  <c r="D50" i="3" s="1"/>
  <c r="C51" i="3"/>
  <c r="D51" i="3"/>
  <c r="C52" i="3"/>
  <c r="D52" i="3" s="1"/>
  <c r="C53" i="3"/>
  <c r="D53" i="3"/>
  <c r="C54" i="3"/>
  <c r="D54" i="3" s="1"/>
  <c r="C55" i="3"/>
  <c r="D55" i="3"/>
  <c r="C56" i="3"/>
  <c r="D56" i="3"/>
  <c r="C57" i="3"/>
  <c r="D57" i="3"/>
  <c r="C58" i="3"/>
  <c r="D58" i="3" s="1"/>
  <c r="C59" i="3"/>
  <c r="D59" i="3"/>
  <c r="C60" i="3"/>
  <c r="D60" i="3" s="1"/>
  <c r="C61" i="3"/>
  <c r="D61" i="3"/>
  <c r="C62" i="3"/>
  <c r="D62" i="3" s="1"/>
  <c r="C63" i="3"/>
  <c r="D63" i="3"/>
  <c r="C64" i="3"/>
  <c r="D64" i="3" s="1"/>
  <c r="C65" i="3"/>
  <c r="D65" i="3"/>
  <c r="C66" i="3"/>
  <c r="D66" i="3" s="1"/>
  <c r="C67" i="3"/>
  <c r="D67" i="3"/>
  <c r="C68" i="3"/>
  <c r="D68" i="3"/>
  <c r="C69" i="3"/>
  <c r="D69" i="3"/>
  <c r="C70" i="3"/>
  <c r="D70" i="3" s="1"/>
  <c r="C71" i="3"/>
  <c r="D71" i="3"/>
  <c r="C72" i="3"/>
  <c r="D72" i="3"/>
  <c r="C73" i="3"/>
  <c r="D73" i="3"/>
  <c r="C74" i="3"/>
  <c r="D74" i="3" s="1"/>
  <c r="C75" i="3"/>
  <c r="D75" i="3"/>
  <c r="C76" i="3"/>
  <c r="D76" i="3" s="1"/>
  <c r="C77" i="3"/>
  <c r="D77" i="3"/>
  <c r="C78" i="3"/>
  <c r="D78" i="3" s="1"/>
  <c r="C79" i="3"/>
  <c r="D79" i="3"/>
  <c r="C80" i="3"/>
  <c r="D80" i="3"/>
  <c r="C81" i="3"/>
  <c r="D81" i="3"/>
  <c r="C82" i="3"/>
  <c r="D82" i="3" s="1"/>
  <c r="C83" i="3"/>
  <c r="D83" i="3"/>
  <c r="C84" i="3"/>
  <c r="D84" i="3" s="1"/>
  <c r="C85" i="3"/>
  <c r="D85" i="3"/>
  <c r="C86" i="3"/>
  <c r="D86" i="3" s="1"/>
  <c r="C87" i="3"/>
  <c r="D87" i="3"/>
  <c r="C88" i="3"/>
  <c r="D88" i="3"/>
  <c r="C89" i="3"/>
  <c r="D89" i="3"/>
  <c r="C90" i="3"/>
  <c r="D90" i="3" s="1"/>
  <c r="C91" i="3"/>
  <c r="D91" i="3"/>
  <c r="C92" i="3"/>
  <c r="D92" i="3" s="1"/>
  <c r="C93" i="3"/>
  <c r="D93" i="3"/>
  <c r="C94" i="3"/>
  <c r="D94" i="3" s="1"/>
  <c r="C95" i="3"/>
  <c r="D95" i="3"/>
  <c r="C96" i="3"/>
  <c r="D96" i="3" s="1"/>
  <c r="C97" i="3"/>
  <c r="D97" i="3"/>
  <c r="C98" i="3"/>
  <c r="D98" i="3" s="1"/>
  <c r="C99" i="3"/>
  <c r="D99" i="3"/>
  <c r="C100" i="3"/>
  <c r="D100" i="3"/>
  <c r="C101" i="3"/>
  <c r="D101" i="3"/>
  <c r="C102" i="3"/>
  <c r="D102" i="3" s="1"/>
  <c r="C103" i="3"/>
  <c r="D103" i="3"/>
  <c r="C104" i="3"/>
  <c r="D104" i="3"/>
  <c r="C105" i="3"/>
  <c r="D105" i="3"/>
  <c r="C106" i="3"/>
  <c r="D106" i="3" s="1"/>
  <c r="C107" i="3"/>
  <c r="D107" i="3"/>
  <c r="C108" i="3"/>
  <c r="D108" i="3" s="1"/>
  <c r="C109" i="3"/>
  <c r="D109" i="3"/>
  <c r="C110" i="3"/>
  <c r="D110" i="3" s="1"/>
  <c r="C111" i="3"/>
  <c r="D111" i="3"/>
  <c r="C112" i="3"/>
  <c r="D112" i="3"/>
  <c r="C113" i="3"/>
  <c r="D113" i="3"/>
  <c r="C114" i="3"/>
  <c r="D114" i="3" s="1"/>
  <c r="C115" i="3"/>
  <c r="D115" i="3"/>
  <c r="C116" i="3"/>
  <c r="D116" i="3" s="1"/>
  <c r="C117" i="3"/>
  <c r="D117" i="3"/>
  <c r="C118" i="3"/>
  <c r="D118" i="3" s="1"/>
  <c r="C119" i="3"/>
  <c r="D119" i="3"/>
  <c r="C120" i="3"/>
  <c r="D120" i="3"/>
  <c r="C121" i="3"/>
  <c r="D121" i="3"/>
  <c r="C122" i="3"/>
  <c r="D122" i="3" s="1"/>
  <c r="C123" i="3"/>
  <c r="D123" i="3"/>
  <c r="C124" i="3"/>
  <c r="D124" i="3" s="1"/>
  <c r="C125" i="3"/>
  <c r="D125" i="3"/>
  <c r="C126" i="3"/>
  <c r="D126" i="3" s="1"/>
  <c r="C127" i="3"/>
  <c r="D127" i="3"/>
  <c r="C128" i="3"/>
  <c r="D128" i="3" s="1"/>
  <c r="C129" i="3"/>
  <c r="D129" i="3"/>
  <c r="C130" i="3"/>
  <c r="D130" i="3" s="1"/>
  <c r="C131" i="3"/>
  <c r="D131" i="3"/>
  <c r="C132" i="3"/>
  <c r="D132" i="3"/>
  <c r="C133" i="3"/>
  <c r="D133" i="3"/>
  <c r="C134" i="3"/>
  <c r="D134" i="3" s="1"/>
  <c r="C135" i="3"/>
  <c r="D135" i="3"/>
  <c r="C136" i="3"/>
  <c r="D136" i="3"/>
  <c r="C137" i="3"/>
  <c r="D137" i="3"/>
  <c r="C138" i="3"/>
  <c r="D138" i="3" s="1"/>
  <c r="C139" i="3"/>
  <c r="D139" i="3"/>
  <c r="C140" i="3"/>
  <c r="D140" i="3" s="1"/>
  <c r="C141" i="3"/>
  <c r="D141" i="3"/>
  <c r="C142" i="3"/>
  <c r="D142" i="3" s="1"/>
  <c r="C143" i="3"/>
  <c r="D143" i="3"/>
  <c r="C144" i="3"/>
  <c r="D144" i="3"/>
  <c r="C145" i="3"/>
  <c r="D145" i="3"/>
  <c r="C146" i="3"/>
  <c r="D146" i="3" s="1"/>
  <c r="C147" i="3"/>
  <c r="D147" i="3"/>
  <c r="C148" i="3"/>
  <c r="D148" i="3" s="1"/>
  <c r="C149" i="3"/>
  <c r="D149" i="3"/>
  <c r="C150" i="3"/>
  <c r="D150" i="3" s="1"/>
  <c r="C151" i="3"/>
  <c r="D151" i="3"/>
  <c r="C152" i="3"/>
  <c r="D152" i="3"/>
  <c r="C153" i="3"/>
  <c r="D153" i="3"/>
  <c r="C154" i="3"/>
  <c r="D154" i="3" s="1"/>
  <c r="C155" i="3"/>
  <c r="D155" i="3"/>
  <c r="C156" i="3"/>
  <c r="D156" i="3" s="1"/>
  <c r="C157" i="3"/>
  <c r="D157" i="3" s="1"/>
  <c r="C158" i="3"/>
  <c r="D158" i="3" s="1"/>
  <c r="C159" i="3"/>
  <c r="D159" i="3"/>
  <c r="C160" i="3"/>
  <c r="D160" i="3" s="1"/>
  <c r="C161" i="3"/>
  <c r="D161" i="3"/>
  <c r="C162" i="3"/>
  <c r="D162" i="3" s="1"/>
  <c r="C163" i="3"/>
  <c r="D163" i="3"/>
  <c r="C164" i="3"/>
  <c r="D164" i="3"/>
  <c r="C165" i="3"/>
  <c r="D165" i="3" s="1"/>
  <c r="C166" i="3"/>
  <c r="D166" i="3" s="1"/>
  <c r="C167" i="3"/>
  <c r="D167" i="3"/>
  <c r="C168" i="3"/>
  <c r="D168" i="3"/>
  <c r="C169" i="3"/>
  <c r="D169" i="3" s="1"/>
  <c r="C170" i="3"/>
  <c r="D170" i="3" s="1"/>
  <c r="C171" i="3"/>
  <c r="D171" i="3"/>
  <c r="C172" i="3"/>
  <c r="D172" i="3" s="1"/>
  <c r="C173" i="3"/>
  <c r="D173" i="3"/>
  <c r="C174" i="3"/>
  <c r="D174" i="3" s="1"/>
  <c r="C175" i="3"/>
  <c r="D175" i="3"/>
  <c r="C176" i="3"/>
  <c r="D176" i="3"/>
  <c r="C177" i="3"/>
  <c r="D177" i="3"/>
  <c r="C178" i="3"/>
  <c r="D178" i="3" s="1"/>
  <c r="C179" i="3"/>
  <c r="D179" i="3"/>
  <c r="C180" i="3"/>
  <c r="D180" i="3" s="1"/>
  <c r="C181" i="3"/>
  <c r="D181" i="3" s="1"/>
  <c r="C182" i="3"/>
  <c r="D182" i="3" s="1"/>
  <c r="C183" i="3"/>
  <c r="D183" i="3"/>
  <c r="C184" i="3"/>
  <c r="D184" i="3"/>
  <c r="C185" i="3"/>
  <c r="D185" i="3"/>
  <c r="C186" i="3"/>
  <c r="D186" i="3" s="1"/>
  <c r="C187" i="3"/>
  <c r="D187" i="3"/>
  <c r="C188" i="3"/>
  <c r="D188" i="3" s="1"/>
  <c r="C189" i="3"/>
  <c r="D189" i="3" s="1"/>
  <c r="C190" i="3"/>
  <c r="D190" i="3" s="1"/>
  <c r="C191" i="3"/>
  <c r="D191" i="3"/>
  <c r="C192" i="3"/>
  <c r="D192" i="3" s="1"/>
  <c r="C193" i="3"/>
  <c r="D193" i="3"/>
  <c r="C194" i="3"/>
  <c r="D194" i="3" s="1"/>
  <c r="C195" i="3"/>
  <c r="D195" i="3"/>
  <c r="C196" i="3"/>
  <c r="D196" i="3"/>
  <c r="C197" i="3"/>
  <c r="D197" i="3" s="1"/>
  <c r="C198" i="3"/>
  <c r="D198" i="3" s="1"/>
  <c r="C199" i="3"/>
  <c r="D199" i="3"/>
  <c r="C200" i="3"/>
  <c r="D200" i="3"/>
  <c r="C201" i="3"/>
  <c r="D201" i="3" s="1"/>
  <c r="C202" i="3"/>
  <c r="D202" i="3" s="1"/>
  <c r="C203" i="3"/>
  <c r="D203" i="3"/>
  <c r="C204" i="3"/>
  <c r="D204" i="3" s="1"/>
  <c r="C205" i="3"/>
  <c r="D205" i="3"/>
  <c r="C206" i="3"/>
  <c r="D206" i="3" s="1"/>
  <c r="C207" i="3"/>
  <c r="D207" i="3"/>
  <c r="C208" i="3"/>
  <c r="D208" i="3"/>
  <c r="C209" i="3"/>
  <c r="D209" i="3"/>
  <c r="C210" i="3"/>
  <c r="D210" i="3" s="1"/>
  <c r="C211" i="3"/>
  <c r="D211" i="3"/>
  <c r="C212" i="3"/>
  <c r="D212" i="3" s="1"/>
  <c r="C213" i="3"/>
  <c r="D213" i="3" s="1"/>
  <c r="C214" i="3"/>
  <c r="D214" i="3" s="1"/>
  <c r="C215" i="3"/>
  <c r="D215" i="3"/>
  <c r="C216" i="3"/>
  <c r="D216" i="3"/>
  <c r="C217" i="3"/>
  <c r="D217" i="3"/>
  <c r="C218" i="3"/>
  <c r="D218" i="3" s="1"/>
  <c r="C219" i="3"/>
  <c r="D219" i="3"/>
  <c r="C220" i="3"/>
  <c r="D220" i="3" s="1"/>
  <c r="C221" i="3"/>
  <c r="D221" i="3" s="1"/>
  <c r="C222" i="3"/>
  <c r="D222" i="3" s="1"/>
  <c r="C223" i="3"/>
  <c r="D223" i="3"/>
  <c r="C224" i="3"/>
  <c r="D224" i="3" s="1"/>
  <c r="C225" i="3"/>
  <c r="D225" i="3"/>
  <c r="C226" i="3"/>
  <c r="D226" i="3" s="1"/>
  <c r="C227" i="3"/>
  <c r="D227" i="3"/>
  <c r="C228" i="3"/>
  <c r="D228" i="3"/>
  <c r="C229" i="3"/>
  <c r="D229" i="3" s="1"/>
  <c r="C230" i="3"/>
  <c r="D230" i="3" s="1"/>
  <c r="C231" i="3"/>
  <c r="D231" i="3"/>
  <c r="C232" i="3"/>
  <c r="D232" i="3"/>
  <c r="C233" i="3"/>
  <c r="D233" i="3" s="1"/>
  <c r="C234" i="3"/>
  <c r="D234" i="3" s="1"/>
  <c r="C235" i="3"/>
  <c r="D235" i="3" s="1"/>
  <c r="C236" i="3"/>
  <c r="D236" i="3" s="1"/>
  <c r="C237" i="3"/>
  <c r="D237" i="3"/>
  <c r="C238" i="3"/>
  <c r="D238" i="3" s="1"/>
  <c r="C239" i="3"/>
  <c r="D239" i="3"/>
  <c r="C240" i="3"/>
  <c r="D240" i="3"/>
  <c r="C241" i="3"/>
  <c r="D241" i="3"/>
  <c r="C242" i="3"/>
  <c r="D242" i="3" s="1"/>
  <c r="C243" i="3"/>
  <c r="D243" i="3" s="1"/>
  <c r="C244" i="3"/>
  <c r="D244" i="3" s="1"/>
  <c r="C245" i="3"/>
  <c r="D245" i="3" s="1"/>
  <c r="C246" i="3"/>
  <c r="D246" i="3" s="1"/>
  <c r="C247" i="3"/>
  <c r="D247" i="3" s="1"/>
  <c r="C248" i="3"/>
  <c r="D248" i="3"/>
  <c r="C249" i="3"/>
  <c r="D249" i="3"/>
  <c r="C250" i="3"/>
  <c r="D250" i="3" s="1"/>
  <c r="C251" i="3"/>
  <c r="D251" i="3" s="1"/>
  <c r="C252" i="3"/>
  <c r="D252" i="3" s="1"/>
  <c r="C253" i="3"/>
  <c r="D253" i="3" s="1"/>
  <c r="C254" i="3"/>
  <c r="D254" i="3" s="1"/>
  <c r="C255" i="3"/>
  <c r="D255" i="3"/>
  <c r="C256" i="3"/>
  <c r="D256" i="3" s="1"/>
  <c r="C257" i="3"/>
  <c r="D257" i="3"/>
  <c r="C258" i="3"/>
  <c r="D258" i="3" s="1"/>
  <c r="C259" i="3"/>
  <c r="D259" i="3" s="1"/>
  <c r="C260" i="3"/>
  <c r="D260" i="3" s="1"/>
  <c r="C261" i="3"/>
  <c r="D261" i="3" s="1"/>
  <c r="C262" i="3"/>
  <c r="D262" i="3" s="1"/>
  <c r="C263" i="3"/>
  <c r="D263" i="3"/>
  <c r="C264" i="3"/>
  <c r="D264" i="3"/>
  <c r="C265" i="3"/>
  <c r="D265" i="3" s="1"/>
  <c r="C266" i="3"/>
  <c r="D266" i="3" s="1"/>
  <c r="C267" i="3"/>
  <c r="D267" i="3" s="1"/>
  <c r="C268" i="3"/>
  <c r="D268" i="3" s="1"/>
  <c r="C269" i="3"/>
  <c r="D269" i="3" s="1"/>
  <c r="C270" i="3"/>
  <c r="D270" i="3" s="1"/>
  <c r="C271" i="3"/>
  <c r="D271" i="3"/>
  <c r="C272" i="3"/>
  <c r="D272" i="3"/>
  <c r="C273" i="3"/>
  <c r="D273" i="3"/>
  <c r="C274" i="3"/>
  <c r="D274" i="3" s="1"/>
  <c r="C275" i="3"/>
  <c r="D275" i="3" s="1"/>
  <c r="C276" i="3"/>
  <c r="D276" i="3" s="1"/>
  <c r="C277" i="3"/>
  <c r="D277" i="3" s="1"/>
  <c r="C278" i="3"/>
  <c r="D278" i="3" s="1"/>
  <c r="C279" i="3"/>
  <c r="D279" i="3" s="1"/>
  <c r="C280" i="3"/>
  <c r="D280" i="3"/>
  <c r="C281" i="3"/>
  <c r="D281" i="3"/>
  <c r="C282" i="3"/>
  <c r="D282" i="3" s="1"/>
  <c r="C283" i="3"/>
  <c r="D283" i="3" s="1"/>
  <c r="C284" i="3"/>
  <c r="D284" i="3" s="1"/>
  <c r="C285" i="3"/>
  <c r="D285" i="3" s="1"/>
  <c r="C286" i="3"/>
  <c r="D286" i="3" s="1"/>
  <c r="C287" i="3"/>
  <c r="D287" i="3"/>
  <c r="C288" i="3"/>
  <c r="D288" i="3" s="1"/>
  <c r="C289" i="3"/>
  <c r="D289" i="3"/>
  <c r="C290" i="3"/>
  <c r="D290" i="3" s="1"/>
  <c r="C291" i="3"/>
  <c r="D291" i="3" s="1"/>
  <c r="C292" i="3"/>
  <c r="D292" i="3" s="1"/>
  <c r="C293" i="3"/>
  <c r="D293" i="3" s="1"/>
  <c r="C294" i="3"/>
  <c r="D294" i="3" s="1"/>
  <c r="C295" i="3"/>
  <c r="D295" i="3"/>
  <c r="C296" i="3"/>
  <c r="D296" i="3"/>
  <c r="C297" i="3"/>
  <c r="D297" i="3" s="1"/>
  <c r="C298" i="3"/>
  <c r="D298" i="3" s="1"/>
  <c r="C299" i="3"/>
  <c r="D299" i="3" s="1"/>
  <c r="C300" i="3"/>
  <c r="D300" i="3" s="1"/>
  <c r="C301" i="3"/>
  <c r="D301" i="3" s="1"/>
  <c r="C302" i="3"/>
  <c r="D302" i="3" s="1"/>
  <c r="C303" i="3"/>
  <c r="D303" i="3"/>
  <c r="C304" i="3"/>
  <c r="D304" i="3"/>
  <c r="C305" i="3"/>
  <c r="D305" i="3"/>
  <c r="C306" i="3"/>
  <c r="D306" i="3" s="1"/>
  <c r="C307" i="3"/>
  <c r="D307" i="3" s="1"/>
  <c r="C308" i="3"/>
  <c r="D308" i="3" s="1"/>
  <c r="C309" i="3"/>
  <c r="D309" i="3" s="1"/>
  <c r="C310" i="3"/>
  <c r="D310" i="3" s="1"/>
  <c r="C311" i="3"/>
  <c r="D311" i="3" s="1"/>
  <c r="C312" i="3"/>
  <c r="D312" i="3"/>
  <c r="C313" i="3"/>
  <c r="D313" i="3"/>
  <c r="C314" i="3"/>
  <c r="D314" i="3" s="1"/>
  <c r="C315" i="3"/>
  <c r="D315" i="3" s="1"/>
  <c r="C316" i="3"/>
  <c r="D316" i="3" s="1"/>
  <c r="C317" i="3"/>
  <c r="D317" i="3" s="1"/>
  <c r="C318" i="3"/>
  <c r="D318" i="3" s="1"/>
  <c r="C319" i="3"/>
  <c r="D319" i="3"/>
  <c r="C320" i="3"/>
  <c r="D320" i="3" s="1"/>
  <c r="C321" i="3"/>
  <c r="D321" i="3"/>
  <c r="C322" i="3"/>
  <c r="D322" i="3" s="1"/>
  <c r="C323" i="3"/>
  <c r="D323" i="3" s="1"/>
  <c r="C324" i="3"/>
  <c r="D324" i="3" s="1"/>
  <c r="C325" i="3"/>
  <c r="D325" i="3" s="1"/>
  <c r="C326" i="3"/>
  <c r="D326" i="3" s="1"/>
  <c r="C327" i="3"/>
  <c r="D327" i="3"/>
  <c r="C328" i="3"/>
  <c r="D328" i="3"/>
  <c r="C329" i="3"/>
  <c r="D329" i="3" s="1"/>
  <c r="C330" i="3"/>
  <c r="D330" i="3" s="1"/>
  <c r="C331" i="3"/>
  <c r="D331" i="3" s="1"/>
  <c r="C332" i="3"/>
  <c r="D332" i="3" s="1"/>
  <c r="C333" i="3"/>
  <c r="D333" i="3" s="1"/>
  <c r="C334" i="3"/>
  <c r="D334" i="3" s="1"/>
  <c r="C335" i="3"/>
  <c r="D335" i="3"/>
  <c r="C336" i="3"/>
  <c r="D336" i="3"/>
  <c r="C337" i="3"/>
  <c r="D337" i="3"/>
  <c r="C338" i="3"/>
  <c r="D338" i="3" s="1"/>
  <c r="C339" i="3"/>
  <c r="D339" i="3" s="1"/>
  <c r="C340" i="3"/>
  <c r="D340" i="3"/>
  <c r="C341" i="3"/>
  <c r="D341" i="3" s="1"/>
  <c r="C342" i="3"/>
  <c r="D342" i="3" s="1"/>
  <c r="C343" i="3"/>
  <c r="D343" i="3" s="1"/>
  <c r="C344" i="3"/>
  <c r="D344" i="3"/>
  <c r="C345" i="3"/>
  <c r="D345" i="3"/>
  <c r="C346" i="3"/>
  <c r="D346" i="3" s="1"/>
  <c r="C347" i="3"/>
  <c r="D347" i="3"/>
  <c r="C348" i="3"/>
  <c r="D348" i="3" s="1"/>
  <c r="C349" i="3"/>
  <c r="D349" i="3" s="1"/>
  <c r="C350" i="3"/>
  <c r="D350" i="3" s="1"/>
  <c r="C351" i="3"/>
  <c r="D351" i="3"/>
  <c r="C352" i="3"/>
  <c r="D352" i="3" s="1"/>
  <c r="C353" i="3"/>
  <c r="D353" i="3"/>
  <c r="C354" i="3"/>
  <c r="D354" i="3" s="1"/>
  <c r="C355" i="3"/>
  <c r="D355" i="3" s="1"/>
  <c r="C356" i="3"/>
  <c r="D356" i="3" s="1"/>
  <c r="C357" i="3"/>
  <c r="D357" i="3" s="1"/>
  <c r="C358" i="3"/>
  <c r="D358" i="3" s="1"/>
  <c r="C359" i="3"/>
  <c r="D359" i="3"/>
  <c r="C360" i="3"/>
  <c r="D360" i="3"/>
  <c r="C361" i="3"/>
  <c r="D361" i="3" s="1"/>
  <c r="C362" i="3"/>
  <c r="D362" i="3" s="1"/>
  <c r="C363" i="3"/>
  <c r="D363" i="3" s="1"/>
  <c r="C364" i="3"/>
  <c r="D364" i="3" s="1"/>
  <c r="C365" i="3"/>
  <c r="D365" i="3" s="1"/>
  <c r="C366" i="3"/>
  <c r="D366" i="3" s="1"/>
  <c r="C367" i="3"/>
  <c r="D367" i="3"/>
  <c r="C368" i="3"/>
  <c r="D368" i="3" s="1"/>
  <c r="C369" i="3"/>
  <c r="D369" i="3"/>
  <c r="C370" i="3"/>
  <c r="D370" i="3" s="1"/>
  <c r="C371" i="3"/>
  <c r="D371" i="3" s="1"/>
  <c r="C372" i="3"/>
  <c r="D372" i="3" s="1"/>
  <c r="C373" i="3"/>
  <c r="D373" i="3" s="1"/>
  <c r="C374" i="3"/>
  <c r="D374" i="3" s="1"/>
  <c r="C375" i="3"/>
  <c r="D375" i="3" s="1"/>
  <c r="C376" i="3"/>
  <c r="D376" i="3"/>
  <c r="C377" i="3"/>
  <c r="D377" i="3" s="1"/>
  <c r="C378" i="3"/>
  <c r="D378" i="3" s="1"/>
  <c r="C379" i="3"/>
  <c r="D379" i="3" s="1"/>
  <c r="C380" i="3"/>
  <c r="D380" i="3" s="1"/>
  <c r="C381" i="3"/>
  <c r="D381" i="3" s="1"/>
  <c r="C382" i="3"/>
  <c r="D382" i="3" s="1"/>
  <c r="C383" i="3"/>
  <c r="D383" i="3" s="1"/>
  <c r="C384" i="3"/>
  <c r="D384" i="3" s="1"/>
  <c r="C385" i="3"/>
  <c r="D385" i="3"/>
  <c r="C386" i="3"/>
  <c r="D386" i="3" s="1"/>
  <c r="C387" i="3"/>
  <c r="D387" i="3" s="1"/>
  <c r="C388" i="3"/>
  <c r="D388" i="3" s="1"/>
  <c r="C389" i="3"/>
  <c r="D389" i="3"/>
  <c r="C390" i="3"/>
  <c r="D390" i="3" s="1"/>
  <c r="C391" i="3"/>
  <c r="D391" i="3" s="1"/>
  <c r="C392" i="3"/>
  <c r="D392" i="3" s="1"/>
  <c r="C393" i="3"/>
  <c r="D393" i="3" s="1"/>
  <c r="C394" i="3"/>
  <c r="D394" i="3" s="1"/>
  <c r="C395" i="3"/>
  <c r="D395" i="3" s="1"/>
  <c r="C396" i="3"/>
  <c r="D396" i="3" s="1"/>
  <c r="C397" i="3"/>
  <c r="D397" i="3" s="1"/>
  <c r="C398" i="3"/>
  <c r="D398" i="3" s="1"/>
  <c r="C399" i="3"/>
  <c r="D399" i="3" s="1"/>
  <c r="C400" i="3"/>
  <c r="D400" i="3" s="1"/>
  <c r="C401" i="3"/>
  <c r="D401" i="3"/>
  <c r="C402" i="3"/>
  <c r="D402" i="3" s="1"/>
  <c r="C403" i="3"/>
  <c r="D403" i="3" s="1"/>
  <c r="C404" i="3"/>
  <c r="D404" i="3" s="1"/>
  <c r="C405" i="3"/>
  <c r="D405" i="3"/>
  <c r="C406" i="3"/>
  <c r="D406" i="3"/>
  <c r="C407" i="3"/>
  <c r="D407" i="3" s="1"/>
  <c r="C408" i="3"/>
  <c r="D408" i="3" s="1"/>
  <c r="C409" i="3"/>
  <c r="D409" i="3" s="1"/>
  <c r="C410" i="3"/>
  <c r="D410" i="3" s="1"/>
  <c r="C411" i="3"/>
  <c r="D411" i="3" s="1"/>
  <c r="C412" i="3"/>
  <c r="D412" i="3" s="1"/>
  <c r="C413" i="3"/>
  <c r="D413" i="3" s="1"/>
  <c r="C414" i="3"/>
  <c r="D414" i="3"/>
  <c r="C415" i="3"/>
  <c r="D415" i="3"/>
  <c r="C416" i="3"/>
  <c r="D416" i="3" s="1"/>
  <c r="C417" i="3"/>
  <c r="D417" i="3" s="1"/>
  <c r="C418" i="3"/>
  <c r="D418" i="3" s="1"/>
  <c r="C419" i="3"/>
  <c r="D419" i="3" s="1"/>
  <c r="C420" i="3"/>
  <c r="D420" i="3" s="1"/>
  <c r="C421" i="3"/>
  <c r="D421" i="3" s="1"/>
  <c r="C422" i="3"/>
  <c r="D422" i="3" s="1"/>
  <c r="C423" i="3"/>
  <c r="D423" i="3"/>
  <c r="C424" i="3"/>
  <c r="D424" i="3" s="1"/>
  <c r="C425" i="3"/>
  <c r="D425" i="3" s="1"/>
  <c r="C426" i="3"/>
  <c r="D426" i="3" s="1"/>
  <c r="C427" i="3"/>
  <c r="D427" i="3" s="1"/>
  <c r="C428" i="3"/>
  <c r="D428" i="3" s="1"/>
  <c r="C429" i="3"/>
  <c r="D429" i="3"/>
  <c r="C430" i="3"/>
  <c r="D430" i="3" s="1"/>
  <c r="C431" i="3"/>
  <c r="D431" i="3" s="1"/>
  <c r="C432" i="3"/>
  <c r="D432" i="3" s="1"/>
  <c r="C433" i="3"/>
  <c r="D433" i="3" s="1"/>
  <c r="C434" i="3"/>
  <c r="D434" i="3"/>
  <c r="C435" i="3"/>
  <c r="D435" i="3" s="1"/>
  <c r="C436" i="3"/>
  <c r="D436" i="3" s="1"/>
  <c r="C437" i="3"/>
  <c r="D437" i="3"/>
  <c r="C438" i="3"/>
  <c r="D438" i="3"/>
  <c r="C439" i="3"/>
  <c r="D439" i="3" s="1"/>
  <c r="C440" i="3"/>
  <c r="D440" i="3" s="1"/>
  <c r="C441" i="3"/>
  <c r="D441" i="3" s="1"/>
  <c r="C442" i="3"/>
  <c r="D442" i="3" s="1"/>
  <c r="C443" i="3"/>
  <c r="D443" i="3" s="1"/>
  <c r="C444" i="3"/>
  <c r="D444" i="3" s="1"/>
  <c r="C445" i="3"/>
  <c r="D445" i="3" s="1"/>
  <c r="C446" i="3"/>
  <c r="D446" i="3"/>
  <c r="C447" i="3"/>
  <c r="D447" i="3"/>
  <c r="C448" i="3"/>
  <c r="D448" i="3" s="1"/>
  <c r="C449" i="3"/>
  <c r="D449" i="3" s="1"/>
  <c r="C450" i="3"/>
  <c r="D450" i="3" s="1"/>
  <c r="C451" i="3"/>
  <c r="D451" i="3" s="1"/>
  <c r="C452" i="3"/>
  <c r="D452" i="3" s="1"/>
  <c r="C453" i="3"/>
  <c r="D453" i="3" s="1"/>
  <c r="C454" i="3"/>
  <c r="D454" i="3" s="1"/>
  <c r="C455" i="3"/>
  <c r="D455" i="3"/>
  <c r="C456" i="3"/>
  <c r="D456" i="3" s="1"/>
  <c r="C457" i="3"/>
  <c r="D457" i="3"/>
  <c r="C458" i="3"/>
  <c r="D458" i="3" s="1"/>
  <c r="C459" i="3"/>
  <c r="D459" i="3" s="1"/>
  <c r="C460" i="3"/>
  <c r="D460" i="3" s="1"/>
  <c r="C461" i="3"/>
  <c r="D461" i="3"/>
  <c r="C462" i="3"/>
  <c r="D462" i="3" s="1"/>
  <c r="C463" i="3"/>
  <c r="D463" i="3" s="1"/>
  <c r="C464" i="3"/>
  <c r="D464" i="3" s="1"/>
  <c r="C465" i="3"/>
  <c r="D465" i="3" s="1"/>
  <c r="C466" i="3"/>
  <c r="D466" i="3" s="1"/>
  <c r="C467" i="3"/>
  <c r="D467" i="3" s="1"/>
  <c r="C468" i="3"/>
  <c r="D468" i="3" s="1"/>
  <c r="C469" i="3"/>
  <c r="D469" i="3"/>
  <c r="C470" i="3"/>
  <c r="D470" i="3"/>
  <c r="C471" i="3"/>
  <c r="D471" i="3" s="1"/>
  <c r="C472" i="3"/>
  <c r="D472" i="3" s="1"/>
  <c r="C473" i="3"/>
  <c r="D473" i="3" s="1"/>
  <c r="C474" i="3"/>
  <c r="D474" i="3" s="1"/>
  <c r="C475" i="3"/>
  <c r="D475" i="3" s="1"/>
  <c r="C476" i="3"/>
  <c r="D476" i="3" s="1"/>
  <c r="C477" i="3"/>
  <c r="D477" i="3" s="1"/>
  <c r="C478" i="3"/>
  <c r="D478" i="3"/>
  <c r="C479" i="3"/>
  <c r="D479" i="3"/>
  <c r="C480" i="3"/>
  <c r="D480" i="3" s="1"/>
  <c r="C481" i="3"/>
  <c r="D481" i="3" s="1"/>
  <c r="C482" i="3"/>
  <c r="D482" i="3" s="1"/>
  <c r="C483" i="3"/>
  <c r="D483" i="3" s="1"/>
  <c r="C484" i="3"/>
  <c r="D484" i="3" s="1"/>
  <c r="C485" i="3"/>
  <c r="D485" i="3" s="1"/>
  <c r="C486" i="3"/>
  <c r="D486" i="3" s="1"/>
  <c r="C487" i="3"/>
  <c r="D487" i="3"/>
  <c r="C488" i="3"/>
  <c r="D488" i="3" s="1"/>
  <c r="C489" i="3"/>
  <c r="D489" i="3" s="1"/>
  <c r="C490" i="3"/>
  <c r="D490" i="3" s="1"/>
  <c r="C491" i="3"/>
  <c r="D491" i="3" s="1"/>
  <c r="C492" i="3"/>
  <c r="D492" i="3" s="1"/>
  <c r="C493" i="3"/>
  <c r="D493" i="3"/>
  <c r="C494" i="3"/>
  <c r="D494" i="3" s="1"/>
  <c r="C495" i="3"/>
  <c r="D495" i="3" s="1"/>
  <c r="C496" i="3"/>
  <c r="D496" i="3" s="1"/>
  <c r="C497" i="3"/>
  <c r="D497" i="3" s="1"/>
  <c r="C498" i="3"/>
  <c r="D498" i="3"/>
  <c r="C499" i="3"/>
  <c r="D499" i="3" s="1"/>
  <c r="C500" i="3"/>
  <c r="D500" i="3" s="1"/>
  <c r="C501" i="3"/>
  <c r="D501" i="3"/>
  <c r="C502" i="3"/>
  <c r="D502" i="3"/>
  <c r="C503" i="3"/>
  <c r="D503" i="3" s="1"/>
  <c r="C504" i="3"/>
  <c r="D504" i="3" s="1"/>
  <c r="C505" i="3"/>
  <c r="D505" i="3" s="1"/>
  <c r="C506" i="3"/>
  <c r="D506" i="3" s="1"/>
  <c r="C507" i="3"/>
  <c r="D507" i="3"/>
  <c r="C508" i="3"/>
  <c r="D508" i="3" s="1"/>
  <c r="C509" i="3"/>
  <c r="D509" i="3" s="1"/>
  <c r="C510" i="3"/>
  <c r="D510" i="3"/>
  <c r="C511" i="3"/>
  <c r="D511" i="3"/>
  <c r="C512" i="3"/>
  <c r="D512" i="3" s="1"/>
  <c r="C513" i="3"/>
  <c r="D513" i="3" s="1"/>
  <c r="C514" i="3"/>
  <c r="D514" i="3" s="1"/>
  <c r="C515" i="3"/>
  <c r="D515" i="3" s="1"/>
  <c r="C516" i="3"/>
  <c r="D516" i="3" s="1"/>
  <c r="C517" i="3"/>
  <c r="D517" i="3" s="1"/>
  <c r="C518" i="3"/>
  <c r="D518" i="3" s="1"/>
  <c r="C519" i="3"/>
  <c r="D519" i="3"/>
  <c r="C520" i="3"/>
  <c r="D520" i="3" s="1"/>
  <c r="C521" i="3"/>
  <c r="D521" i="3"/>
  <c r="C522" i="3"/>
  <c r="D522" i="3" s="1"/>
  <c r="C523" i="3"/>
  <c r="D523" i="3" s="1"/>
  <c r="C524" i="3"/>
  <c r="D524" i="3" s="1"/>
  <c r="C525" i="3"/>
  <c r="D525" i="3" s="1"/>
  <c r="C526" i="3"/>
  <c r="D526" i="3" s="1"/>
  <c r="C527" i="3"/>
  <c r="D527" i="3" s="1"/>
  <c r="C528" i="3"/>
  <c r="D528" i="3" s="1"/>
  <c r="C529" i="3"/>
  <c r="D529" i="3"/>
  <c r="C530" i="3"/>
  <c r="D530" i="3" s="1"/>
  <c r="C531" i="3"/>
  <c r="D531" i="3" s="1"/>
  <c r="C532" i="3"/>
  <c r="D532" i="3" s="1"/>
  <c r="C533" i="3"/>
  <c r="D533" i="3"/>
  <c r="C534" i="3"/>
  <c r="D534" i="3"/>
  <c r="C535" i="3"/>
  <c r="D535" i="3" s="1"/>
  <c r="C536" i="3"/>
  <c r="D536" i="3" s="1"/>
  <c r="C537" i="3"/>
  <c r="D537" i="3" s="1"/>
  <c r="C538" i="3"/>
  <c r="D538" i="3" s="1"/>
  <c r="C539" i="3"/>
  <c r="D539" i="3"/>
  <c r="C540" i="3"/>
  <c r="D540" i="3" s="1"/>
  <c r="C541" i="3"/>
  <c r="D541" i="3" s="1"/>
  <c r="C542" i="3"/>
  <c r="D542" i="3"/>
  <c r="C543" i="3"/>
  <c r="D543" i="3" s="1"/>
  <c r="C544" i="3"/>
  <c r="D544" i="3" s="1"/>
  <c r="C545" i="3"/>
  <c r="D545" i="3" s="1"/>
  <c r="C546" i="3"/>
  <c r="D546" i="3" s="1"/>
  <c r="C547" i="3"/>
  <c r="D547" i="3"/>
  <c r="C548" i="3"/>
  <c r="D548" i="3" s="1"/>
  <c r="C549" i="3"/>
  <c r="D549" i="3" s="1"/>
  <c r="C550" i="3"/>
  <c r="D550" i="3" s="1"/>
  <c r="C551" i="3"/>
  <c r="D551" i="3"/>
  <c r="C552" i="3"/>
  <c r="D552" i="3" s="1"/>
  <c r="C553" i="3"/>
  <c r="D553" i="3" s="1"/>
  <c r="C554" i="3"/>
  <c r="D554" i="3" s="1"/>
  <c r="C555" i="3"/>
  <c r="D555" i="3" s="1"/>
  <c r="C556" i="3"/>
  <c r="D556" i="3" s="1"/>
  <c r="C557" i="3"/>
  <c r="D557" i="3" s="1"/>
  <c r="C558" i="3"/>
  <c r="D558" i="3"/>
  <c r="C559" i="3"/>
  <c r="D559" i="3" s="1"/>
  <c r="C560" i="3"/>
  <c r="D560" i="3" s="1"/>
  <c r="C561" i="3"/>
  <c r="D561" i="3"/>
  <c r="C562" i="3"/>
  <c r="D562" i="3" s="1"/>
  <c r="C563" i="3"/>
  <c r="D563" i="3" s="1"/>
  <c r="C564" i="3"/>
  <c r="D564" i="3" s="1"/>
  <c r="C565" i="3"/>
  <c r="D565" i="3"/>
  <c r="C566" i="3"/>
  <c r="D566" i="3"/>
  <c r="C567" i="3"/>
  <c r="D567" i="3" s="1"/>
  <c r="C568" i="3"/>
  <c r="D568" i="3" s="1"/>
  <c r="C569" i="3"/>
  <c r="D569" i="3" s="1"/>
  <c r="C570" i="3"/>
  <c r="D570" i="3"/>
  <c r="C571" i="3"/>
  <c r="D571" i="3"/>
  <c r="C572" i="3"/>
  <c r="D572" i="3" s="1"/>
  <c r="C573" i="3"/>
  <c r="D573" i="3" s="1"/>
  <c r="C574" i="3"/>
  <c r="D574" i="3"/>
  <c r="C575" i="3"/>
  <c r="D575" i="3"/>
  <c r="C576" i="3"/>
  <c r="D576" i="3" s="1"/>
  <c r="C577" i="3"/>
  <c r="D577" i="3" s="1"/>
  <c r="C578" i="3"/>
  <c r="D578" i="3" s="1"/>
  <c r="C579" i="3"/>
  <c r="D579" i="3" s="1"/>
  <c r="C580" i="3"/>
  <c r="D580" i="3" s="1"/>
  <c r="C581" i="3"/>
  <c r="D581" i="3"/>
  <c r="C582" i="3"/>
  <c r="D582" i="3" s="1"/>
  <c r="C583" i="3"/>
  <c r="D583" i="3"/>
  <c r="C584" i="3"/>
  <c r="D584" i="3" s="1"/>
  <c r="C585" i="3"/>
  <c r="D585" i="3"/>
  <c r="C586" i="3"/>
  <c r="D586" i="3" s="1"/>
  <c r="C587" i="3"/>
  <c r="D587" i="3"/>
  <c r="C588" i="3"/>
  <c r="D588" i="3" s="1"/>
  <c r="C589" i="3"/>
  <c r="D589" i="3" s="1"/>
  <c r="C590" i="3"/>
  <c r="D590" i="3"/>
  <c r="C591" i="3"/>
  <c r="D591" i="3" s="1"/>
  <c r="C592" i="3"/>
  <c r="D592" i="3" s="1"/>
  <c r="C593" i="3"/>
  <c r="D593" i="3"/>
  <c r="C594" i="3"/>
  <c r="D594" i="3" s="1"/>
  <c r="C595" i="3"/>
  <c r="D595" i="3" s="1"/>
  <c r="C596" i="3"/>
  <c r="D596" i="3" s="1"/>
  <c r="C597" i="3"/>
  <c r="D597" i="3"/>
  <c r="C598" i="3"/>
  <c r="D598" i="3"/>
  <c r="C599" i="3"/>
  <c r="D599" i="3" s="1"/>
  <c r="C600" i="3"/>
  <c r="D600" i="3" s="1"/>
  <c r="C601" i="3"/>
  <c r="D601" i="3"/>
  <c r="C602" i="3"/>
  <c r="D602" i="3" s="1"/>
  <c r="C603" i="3"/>
  <c r="D603" i="3"/>
  <c r="C604" i="3"/>
  <c r="D604" i="3" s="1"/>
  <c r="C605" i="3"/>
  <c r="D605" i="3" s="1"/>
  <c r="C606" i="3"/>
  <c r="D606" i="3"/>
  <c r="C607" i="3"/>
  <c r="D607" i="3" s="1"/>
  <c r="C608" i="3"/>
  <c r="D608" i="3" s="1"/>
  <c r="C609" i="3"/>
  <c r="D609" i="3" s="1"/>
  <c r="C610" i="3"/>
  <c r="D610" i="3"/>
  <c r="C611" i="3"/>
  <c r="D611" i="3"/>
  <c r="C612" i="3"/>
  <c r="D612" i="3" s="1"/>
  <c r="C613" i="3"/>
  <c r="D613" i="3" s="1"/>
  <c r="C614" i="3"/>
  <c r="D614" i="3" s="1"/>
  <c r="C615" i="3"/>
  <c r="D615" i="3"/>
  <c r="C616" i="3"/>
  <c r="D616" i="3" s="1"/>
  <c r="C617" i="3"/>
  <c r="D617" i="3" s="1"/>
  <c r="C618" i="3"/>
  <c r="D618" i="3"/>
  <c r="C619" i="3"/>
  <c r="D619" i="3"/>
  <c r="C620" i="3"/>
  <c r="D620" i="3" s="1"/>
  <c r="C621" i="3"/>
  <c r="D621" i="3"/>
  <c r="C622" i="3"/>
  <c r="D622" i="3"/>
  <c r="C623" i="3"/>
  <c r="D623" i="3" s="1"/>
  <c r="C624" i="3"/>
  <c r="D624" i="3" s="1"/>
  <c r="C625" i="3"/>
  <c r="D625" i="3"/>
  <c r="C626" i="3"/>
  <c r="D626" i="3"/>
  <c r="C627" i="3"/>
  <c r="D627" i="3"/>
  <c r="C628" i="3"/>
  <c r="D628" i="3" s="1"/>
  <c r="C629" i="3"/>
  <c r="D629" i="3"/>
  <c r="C630" i="3"/>
  <c r="D630" i="3" s="1"/>
  <c r="C631" i="3"/>
  <c r="D631" i="3" s="1"/>
  <c r="C632" i="3"/>
  <c r="D632" i="3" s="1"/>
  <c r="C633" i="3"/>
  <c r="D633" i="3"/>
  <c r="C634" i="3"/>
  <c r="D634" i="3"/>
  <c r="C635" i="3"/>
  <c r="D635" i="3"/>
  <c r="C636" i="3"/>
  <c r="D636" i="3" s="1"/>
  <c r="C637" i="3"/>
  <c r="D637" i="3"/>
  <c r="C638" i="3"/>
  <c r="D638" i="3" s="1"/>
  <c r="C639" i="3"/>
  <c r="D639" i="3" s="1"/>
  <c r="C640" i="3"/>
  <c r="D640" i="3" s="1"/>
  <c r="C641" i="3"/>
  <c r="D641" i="3"/>
  <c r="C642" i="3"/>
  <c r="D642" i="3" s="1"/>
  <c r="C643" i="3"/>
  <c r="D643" i="3"/>
  <c r="C644" i="3"/>
  <c r="D644" i="3" s="1"/>
  <c r="C645" i="3"/>
  <c r="D645" i="3"/>
  <c r="C646" i="3"/>
  <c r="D646" i="3"/>
  <c r="C647" i="3"/>
  <c r="D647" i="3" s="1"/>
  <c r="C648" i="3"/>
  <c r="D648" i="3" s="1"/>
  <c r="C649" i="3"/>
  <c r="D649" i="3"/>
  <c r="C650" i="3"/>
  <c r="D650" i="3"/>
  <c r="C651" i="3"/>
  <c r="D651" i="3" s="1"/>
  <c r="C652" i="3"/>
  <c r="D652" i="3" s="1"/>
  <c r="C653" i="3"/>
  <c r="D653" i="3"/>
  <c r="C654" i="3"/>
  <c r="D654" i="3" s="1"/>
  <c r="C655" i="3"/>
  <c r="D655" i="3"/>
  <c r="C656" i="3"/>
  <c r="D656" i="3" s="1"/>
  <c r="C657" i="3"/>
  <c r="D657" i="3"/>
  <c r="C658" i="3"/>
  <c r="D658" i="3"/>
  <c r="C659" i="3"/>
  <c r="D659" i="3"/>
  <c r="C660" i="3"/>
  <c r="D660" i="3" s="1"/>
  <c r="C661" i="3"/>
  <c r="D661" i="3"/>
  <c r="C662" i="3"/>
  <c r="D662" i="3" s="1"/>
  <c r="C663" i="3"/>
  <c r="D663" i="3" s="1"/>
  <c r="C664" i="3"/>
  <c r="D664" i="3" s="1"/>
  <c r="C665" i="3"/>
  <c r="D665" i="3"/>
  <c r="C666" i="3"/>
  <c r="D666" i="3"/>
  <c r="C667" i="3"/>
  <c r="D667" i="3" s="1"/>
  <c r="C668" i="3"/>
  <c r="D668" i="3" s="1"/>
  <c r="C669" i="3"/>
  <c r="D669" i="3"/>
  <c r="C670" i="3"/>
  <c r="D670" i="3" s="1"/>
  <c r="C671" i="3"/>
  <c r="D671" i="3" s="1"/>
  <c r="C672" i="3"/>
  <c r="D672" i="3" s="1"/>
  <c r="C673" i="3"/>
  <c r="D673" i="3"/>
  <c r="C674" i="3"/>
  <c r="D674" i="3" s="1"/>
  <c r="C675" i="3"/>
  <c r="D675" i="3"/>
  <c r="C676" i="3"/>
  <c r="D676" i="3" s="1"/>
  <c r="C677" i="3"/>
  <c r="D677" i="3"/>
  <c r="C678" i="3"/>
  <c r="D678" i="3"/>
  <c r="C679" i="3"/>
  <c r="D679" i="3" s="1"/>
  <c r="C680" i="3"/>
  <c r="D680" i="3" s="1"/>
  <c r="C681" i="3"/>
  <c r="D681" i="3"/>
  <c r="C682" i="3"/>
  <c r="D682" i="3"/>
  <c r="C683" i="3"/>
  <c r="D683" i="3" s="1"/>
  <c r="C684" i="3"/>
  <c r="D684" i="3" s="1"/>
  <c r="C685" i="3"/>
  <c r="D685" i="3" s="1"/>
  <c r="C686" i="3"/>
  <c r="D686" i="3" s="1"/>
  <c r="C687" i="3"/>
  <c r="D687" i="3" s="1"/>
  <c r="C688" i="3"/>
  <c r="D688" i="3" s="1"/>
  <c r="C689" i="3"/>
  <c r="D689" i="3"/>
  <c r="C690" i="3"/>
  <c r="D690" i="3" s="1"/>
  <c r="C691" i="3"/>
  <c r="D691" i="3"/>
  <c r="C692" i="3"/>
  <c r="D692" i="3" s="1"/>
  <c r="C693" i="3"/>
  <c r="D693" i="3" s="1"/>
  <c r="C694" i="3"/>
  <c r="D694" i="3"/>
  <c r="C695" i="3"/>
  <c r="D695" i="3" s="1"/>
  <c r="C696" i="3"/>
  <c r="D696" i="3" s="1"/>
  <c r="C697" i="3"/>
  <c r="D697" i="3" s="1"/>
  <c r="C698" i="3"/>
  <c r="D698" i="3"/>
  <c r="C699" i="3"/>
  <c r="D699" i="3" s="1"/>
  <c r="C700" i="3"/>
  <c r="D700" i="3" s="1"/>
  <c r="C701" i="3"/>
  <c r="D701" i="3" s="1"/>
  <c r="C702" i="3"/>
  <c r="D702" i="3" s="1"/>
  <c r="C703" i="3"/>
  <c r="D703" i="3" s="1"/>
  <c r="C704" i="3"/>
  <c r="D704" i="3" s="1"/>
  <c r="C705" i="3"/>
  <c r="D705" i="3"/>
  <c r="C706" i="3"/>
  <c r="D706" i="3" s="1"/>
  <c r="C707" i="3"/>
  <c r="D707" i="3"/>
  <c r="C708" i="3"/>
  <c r="D708" i="3" s="1"/>
  <c r="C709" i="3"/>
  <c r="D709" i="3" s="1"/>
  <c r="C710" i="3"/>
  <c r="D710" i="3" s="1"/>
  <c r="C711" i="3"/>
  <c r="D711" i="3" s="1"/>
  <c r="C712" i="3"/>
  <c r="D712" i="3" s="1"/>
  <c r="C713" i="3"/>
  <c r="D713" i="3"/>
  <c r="C714" i="3"/>
  <c r="D714" i="3"/>
  <c r="C715" i="3"/>
  <c r="D715" i="3" s="1"/>
  <c r="C716" i="3"/>
  <c r="D716" i="3" s="1"/>
  <c r="C717" i="3"/>
  <c r="D717" i="3"/>
  <c r="C718" i="3"/>
  <c r="D718" i="3" s="1"/>
  <c r="C719" i="3"/>
  <c r="D719" i="3" s="1"/>
  <c r="C720" i="3"/>
  <c r="D720" i="3" s="1"/>
  <c r="C721" i="3"/>
  <c r="D721" i="3"/>
  <c r="C722" i="3"/>
  <c r="D722" i="3"/>
  <c r="C723" i="3"/>
  <c r="D723" i="3"/>
  <c r="C724" i="3"/>
  <c r="D724" i="3" s="1"/>
  <c r="C725" i="3"/>
  <c r="D725" i="3" s="1"/>
  <c r="C726" i="3"/>
  <c r="D726" i="3" s="1"/>
  <c r="C727" i="3"/>
  <c r="D727" i="3" s="1"/>
  <c r="C728" i="3"/>
  <c r="D728" i="3" s="1"/>
  <c r="C729" i="3"/>
  <c r="D729" i="3" s="1"/>
  <c r="C730" i="3"/>
  <c r="D730" i="3"/>
  <c r="C731" i="3"/>
  <c r="D731" i="3"/>
  <c r="C732" i="3"/>
  <c r="D732" i="3" s="1"/>
  <c r="C733" i="3"/>
  <c r="D733" i="3"/>
  <c r="C734" i="3"/>
  <c r="D734" i="3" s="1"/>
  <c r="C735" i="3"/>
  <c r="D735" i="3" s="1"/>
  <c r="C736" i="3"/>
  <c r="D736" i="3" s="1"/>
  <c r="C737" i="3"/>
  <c r="D737" i="3"/>
  <c r="C738" i="3"/>
  <c r="D738" i="3" s="1"/>
  <c r="C739" i="3"/>
  <c r="D739" i="3"/>
  <c r="C740" i="3"/>
  <c r="D740" i="3" s="1"/>
  <c r="C741" i="3"/>
  <c r="D741" i="3" s="1"/>
  <c r="C742" i="3"/>
  <c r="D742" i="3"/>
  <c r="C743" i="3"/>
  <c r="D743" i="3" s="1"/>
  <c r="C744" i="3"/>
  <c r="D744" i="3" s="1"/>
  <c r="C745" i="3"/>
  <c r="D745" i="3" s="1"/>
  <c r="C746" i="3"/>
  <c r="D746" i="3"/>
  <c r="C747" i="3"/>
  <c r="D747" i="3" s="1"/>
  <c r="C748" i="3"/>
  <c r="D748" i="3" s="1"/>
  <c r="C749" i="3"/>
  <c r="D749" i="3"/>
  <c r="C750" i="3"/>
  <c r="D750" i="3" s="1"/>
  <c r="C751" i="3"/>
  <c r="D751" i="3"/>
  <c r="C752" i="3"/>
  <c r="D752" i="3" s="1"/>
  <c r="C753" i="3"/>
  <c r="D753" i="3"/>
  <c r="C754" i="3"/>
  <c r="D754" i="3"/>
  <c r="C755" i="3"/>
  <c r="D755" i="3"/>
  <c r="C756" i="3"/>
  <c r="D756" i="3" s="1"/>
  <c r="C757" i="3"/>
  <c r="D757" i="3" s="1"/>
  <c r="C758" i="3"/>
  <c r="D758" i="3"/>
  <c r="C759" i="3"/>
  <c r="D759" i="3" s="1"/>
  <c r="C760" i="3"/>
  <c r="D760" i="3" s="1"/>
  <c r="C761" i="3"/>
  <c r="D761" i="3" s="1"/>
  <c r="C762" i="3"/>
  <c r="D762" i="3"/>
  <c r="C763" i="3"/>
  <c r="D763" i="3" s="1"/>
  <c r="C764" i="3"/>
  <c r="D764" i="3" s="1"/>
  <c r="C765" i="3"/>
  <c r="D765" i="3"/>
  <c r="C766" i="3"/>
  <c r="D766" i="3" s="1"/>
  <c r="C767" i="3"/>
  <c r="D767" i="3"/>
  <c r="C768" i="3"/>
  <c r="D768" i="3" s="1"/>
  <c r="C769" i="3"/>
  <c r="D769" i="3"/>
  <c r="C770" i="3"/>
  <c r="D770" i="3" s="1"/>
  <c r="C771" i="3"/>
  <c r="D771" i="3"/>
  <c r="C772" i="3"/>
  <c r="D772" i="3" s="1"/>
  <c r="C773" i="3"/>
  <c r="D773" i="3" s="1"/>
  <c r="C774" i="3"/>
  <c r="D774" i="3" s="1"/>
  <c r="C775" i="3"/>
  <c r="D775" i="3" s="1"/>
  <c r="C776" i="3"/>
  <c r="D776" i="3" s="1"/>
  <c r="C777" i="3"/>
  <c r="D777" i="3"/>
  <c r="C778" i="3"/>
  <c r="D778" i="3"/>
  <c r="C779" i="3"/>
  <c r="D779" i="3" s="1"/>
  <c r="C780" i="3"/>
  <c r="D780" i="3" s="1"/>
  <c r="C781" i="3"/>
  <c r="D781" i="3" s="1"/>
  <c r="C782" i="3"/>
  <c r="D782" i="3" s="1"/>
  <c r="C783" i="3"/>
  <c r="D783" i="3" s="1"/>
  <c r="C784" i="3"/>
  <c r="D784" i="3" s="1"/>
  <c r="C785" i="3"/>
  <c r="D785" i="3"/>
  <c r="C786" i="3"/>
  <c r="D786" i="3" s="1"/>
  <c r="C787" i="3"/>
  <c r="D787" i="3"/>
  <c r="C788" i="3"/>
  <c r="D788" i="3" s="1"/>
  <c r="C789" i="3"/>
  <c r="D789" i="3" s="1"/>
  <c r="C790" i="3"/>
  <c r="D790" i="3" s="1"/>
  <c r="C791" i="3"/>
  <c r="D791" i="3" s="1"/>
  <c r="C792" i="3"/>
  <c r="D792" i="3" s="1"/>
  <c r="C793" i="3"/>
  <c r="D793" i="3" s="1"/>
  <c r="C794" i="3"/>
  <c r="D794" i="3"/>
  <c r="C795" i="3"/>
  <c r="D795" i="3" s="1"/>
  <c r="C796" i="3"/>
  <c r="D796" i="3" s="1"/>
  <c r="C797" i="3"/>
  <c r="D797" i="3" s="1"/>
  <c r="C798" i="3"/>
  <c r="D798" i="3" s="1"/>
  <c r="C799" i="3"/>
  <c r="D799" i="3" s="1"/>
  <c r="C800" i="3"/>
  <c r="D800" i="3" s="1"/>
  <c r="C801" i="3"/>
  <c r="D801" i="3"/>
  <c r="C802" i="3"/>
  <c r="D802" i="3" s="1"/>
  <c r="C803" i="3"/>
  <c r="D803" i="3"/>
  <c r="C804" i="3"/>
  <c r="D804" i="3" s="1"/>
  <c r="C805" i="3"/>
  <c r="D805" i="3" s="1"/>
  <c r="C806" i="3"/>
  <c r="D806" i="3" s="1"/>
  <c r="C807" i="3"/>
  <c r="D807" i="3" s="1"/>
  <c r="C808" i="3"/>
  <c r="D808" i="3" s="1"/>
  <c r="C809" i="3"/>
  <c r="D809" i="3"/>
  <c r="C810" i="3"/>
  <c r="D810" i="3"/>
  <c r="C811" i="3"/>
  <c r="D811" i="3" s="1"/>
  <c r="C812" i="3"/>
  <c r="D812" i="3" s="1"/>
  <c r="C813" i="3"/>
  <c r="D813" i="3"/>
  <c r="C814" i="3"/>
  <c r="D814" i="3" s="1"/>
  <c r="C815" i="3"/>
  <c r="D815" i="3" s="1"/>
  <c r="C816" i="3"/>
  <c r="D816" i="3" s="1"/>
  <c r="C817" i="3"/>
  <c r="D817" i="3"/>
  <c r="C818" i="3"/>
  <c r="D818" i="3"/>
  <c r="C819" i="3"/>
  <c r="D819" i="3"/>
  <c r="C820" i="3"/>
  <c r="D820" i="3" s="1"/>
  <c r="C821" i="3"/>
  <c r="D821" i="3" s="1"/>
  <c r="C822" i="3"/>
  <c r="D822" i="3" s="1"/>
  <c r="C823" i="3"/>
  <c r="D823" i="3" s="1"/>
  <c r="C824" i="3"/>
  <c r="D824" i="3" s="1"/>
  <c r="C825" i="3"/>
  <c r="D825" i="3" s="1"/>
  <c r="C826" i="3"/>
  <c r="D826" i="3"/>
  <c r="C827" i="3"/>
  <c r="D827" i="3"/>
  <c r="C828" i="3"/>
  <c r="D828" i="3" s="1"/>
  <c r="C829" i="3"/>
  <c r="D829" i="3"/>
  <c r="C830" i="3"/>
  <c r="D830" i="3" s="1"/>
  <c r="C831" i="3"/>
  <c r="D831" i="3" s="1"/>
  <c r="C832" i="3"/>
  <c r="D832" i="3" s="1"/>
  <c r="C833" i="3"/>
  <c r="D833" i="3"/>
  <c r="C834" i="3"/>
  <c r="D834" i="3" s="1"/>
  <c r="C835" i="3"/>
  <c r="D835" i="3"/>
  <c r="C836" i="3"/>
  <c r="D836" i="3" s="1"/>
  <c r="C837" i="3"/>
  <c r="D837" i="3" s="1"/>
  <c r="C838" i="3"/>
  <c r="D838" i="3"/>
  <c r="C839" i="3"/>
  <c r="D839" i="3" s="1"/>
  <c r="C840" i="3"/>
  <c r="D840" i="3" s="1"/>
  <c r="C841" i="3"/>
  <c r="D841" i="3" s="1"/>
  <c r="C842" i="3"/>
  <c r="D842" i="3"/>
  <c r="C843" i="3"/>
  <c r="D843" i="3" s="1"/>
  <c r="C844" i="3"/>
  <c r="D844" i="3" s="1"/>
  <c r="C845" i="3"/>
  <c r="D845" i="3" s="1"/>
  <c r="C846" i="3"/>
  <c r="D846" i="3" s="1"/>
  <c r="C847" i="3"/>
  <c r="D847" i="3"/>
  <c r="C848" i="3"/>
  <c r="D848" i="3" s="1"/>
  <c r="C849" i="3"/>
  <c r="D849" i="3"/>
  <c r="C850" i="3"/>
  <c r="D850" i="3" s="1"/>
  <c r="C851" i="3"/>
  <c r="D851" i="3"/>
  <c r="C852" i="3"/>
  <c r="D852" i="3" s="1"/>
  <c r="C853" i="3"/>
  <c r="D853" i="3" s="1"/>
  <c r="C854" i="3"/>
  <c r="D854" i="3"/>
  <c r="C855" i="3"/>
  <c r="D855" i="3" s="1"/>
  <c r="C856" i="3"/>
  <c r="D856" i="3" s="1"/>
  <c r="C857" i="3"/>
  <c r="D857" i="3" s="1"/>
  <c r="C858" i="3"/>
  <c r="D858" i="3"/>
  <c r="C859" i="3"/>
  <c r="D859" i="3"/>
  <c r="C860" i="3"/>
  <c r="D860" i="3" s="1"/>
  <c r="C861" i="3"/>
  <c r="D861" i="3"/>
  <c r="C862" i="3"/>
  <c r="D862" i="3" s="1"/>
  <c r="C863" i="3"/>
  <c r="D863" i="3"/>
  <c r="C864" i="3"/>
  <c r="D864" i="3" s="1"/>
  <c r="C865" i="3"/>
  <c r="D865" i="3"/>
  <c r="C866" i="3"/>
  <c r="D866" i="3"/>
  <c r="C867" i="3"/>
  <c r="D867" i="3"/>
  <c r="C868" i="3"/>
  <c r="D868" i="3" s="1"/>
  <c r="C869" i="3"/>
  <c r="D869" i="3" s="1"/>
  <c r="C870" i="3"/>
  <c r="D870" i="3" s="1"/>
  <c r="C871" i="3"/>
  <c r="D871" i="3" s="1"/>
  <c r="C872" i="3"/>
  <c r="D872" i="3" s="1"/>
  <c r="C873" i="3"/>
  <c r="D873" i="3"/>
  <c r="C874" i="3"/>
  <c r="D874" i="3"/>
  <c r="C875" i="3"/>
  <c r="D875" i="3" s="1"/>
  <c r="C876" i="3"/>
  <c r="D876" i="3" s="1"/>
  <c r="C877" i="3"/>
  <c r="D877" i="3" s="1"/>
  <c r="C878" i="3"/>
  <c r="D878" i="3" s="1"/>
  <c r="C879" i="3"/>
  <c r="D879" i="3" s="1"/>
  <c r="C880" i="3"/>
  <c r="D880" i="3" s="1"/>
  <c r="C881" i="3"/>
  <c r="D881" i="3" s="1"/>
  <c r="C882" i="3"/>
  <c r="D882" i="3" s="1"/>
  <c r="C883" i="3"/>
  <c r="D883" i="3"/>
  <c r="C884" i="3"/>
  <c r="D884" i="3" s="1"/>
  <c r="C885" i="3"/>
  <c r="D885" i="3"/>
  <c r="C886" i="3"/>
  <c r="D886" i="3" s="1"/>
  <c r="C887" i="3"/>
  <c r="D887" i="3"/>
  <c r="C888" i="3"/>
  <c r="D888" i="3" s="1"/>
  <c r="C889" i="3"/>
  <c r="D889" i="3" s="1"/>
  <c r="C890" i="3"/>
  <c r="D890" i="3" s="1"/>
  <c r="C891" i="3"/>
  <c r="D891" i="3" s="1"/>
  <c r="C892" i="3"/>
  <c r="D892" i="3" s="1"/>
  <c r="C893" i="3"/>
  <c r="D893" i="3" s="1"/>
  <c r="C894" i="3"/>
  <c r="D894" i="3" s="1"/>
  <c r="C895" i="3"/>
  <c r="D895" i="3" s="1"/>
  <c r="C896" i="3"/>
  <c r="D896" i="3" s="1"/>
  <c r="C897" i="3"/>
  <c r="D897" i="3" s="1"/>
  <c r="C898" i="3"/>
  <c r="D898" i="3" s="1"/>
  <c r="C899" i="3"/>
  <c r="D899" i="3"/>
  <c r="C900" i="3"/>
  <c r="D900" i="3" s="1"/>
  <c r="C901" i="3"/>
  <c r="D901" i="3"/>
  <c r="C902" i="3"/>
  <c r="D902" i="3" s="1"/>
  <c r="C903" i="3"/>
  <c r="D903" i="3"/>
  <c r="C904" i="3"/>
  <c r="D904" i="3" s="1"/>
  <c r="C905" i="3"/>
  <c r="D905" i="3" s="1"/>
  <c r="C906" i="3"/>
  <c r="D906" i="3" s="1"/>
  <c r="C907" i="3"/>
  <c r="D907" i="3" s="1"/>
  <c r="C908" i="3"/>
  <c r="D908" i="3" s="1"/>
  <c r="C909" i="3"/>
  <c r="D909" i="3" s="1"/>
  <c r="C910" i="3"/>
  <c r="D910" i="3" s="1"/>
  <c r="C911" i="3"/>
  <c r="D911" i="3" s="1"/>
  <c r="C912" i="3"/>
  <c r="D912" i="3" s="1"/>
  <c r="C913" i="3"/>
  <c r="D913" i="3" s="1"/>
  <c r="C914" i="3"/>
  <c r="D914" i="3" s="1"/>
  <c r="C915" i="3"/>
  <c r="D915" i="3"/>
  <c r="C916" i="3"/>
  <c r="D916" i="3" s="1"/>
  <c r="C917" i="3"/>
  <c r="D917" i="3"/>
  <c r="C918" i="3"/>
  <c r="D918" i="3" s="1"/>
  <c r="C919" i="3"/>
  <c r="D919" i="3"/>
  <c r="C920" i="3"/>
  <c r="D920" i="3" s="1"/>
  <c r="C921" i="3"/>
  <c r="D921" i="3" s="1"/>
  <c r="C922" i="3"/>
  <c r="D922" i="3" s="1"/>
  <c r="C923" i="3"/>
  <c r="D923" i="3" s="1"/>
  <c r="C924" i="3"/>
  <c r="D924" i="3" s="1"/>
  <c r="C925" i="3"/>
  <c r="D925" i="3" s="1"/>
  <c r="C926" i="3"/>
  <c r="D926" i="3" s="1"/>
  <c r="C927" i="3"/>
  <c r="D927" i="3" s="1"/>
  <c r="C928" i="3"/>
  <c r="D928" i="3" s="1"/>
  <c r="C929" i="3"/>
  <c r="D929" i="3" s="1"/>
  <c r="C930" i="3"/>
  <c r="D930" i="3" s="1"/>
  <c r="C931" i="3"/>
  <c r="D931" i="3"/>
  <c r="C932" i="3"/>
  <c r="D932" i="3" s="1"/>
  <c r="C933" i="3"/>
  <c r="D933" i="3"/>
  <c r="C934" i="3"/>
  <c r="D934" i="3" s="1"/>
  <c r="C935" i="3"/>
  <c r="D935" i="3"/>
  <c r="C936" i="3"/>
  <c r="D936" i="3" s="1"/>
  <c r="C937" i="3"/>
  <c r="D937" i="3" s="1"/>
  <c r="C938" i="3"/>
  <c r="D938" i="3" s="1"/>
  <c r="C939" i="3"/>
  <c r="D939" i="3" s="1"/>
  <c r="C940" i="3"/>
  <c r="D940" i="3" s="1"/>
  <c r="C941" i="3"/>
  <c r="D941" i="3" s="1"/>
  <c r="C942" i="3"/>
  <c r="D942" i="3" s="1"/>
  <c r="C943" i="3"/>
  <c r="D943" i="3" s="1"/>
  <c r="C944" i="3"/>
  <c r="D944" i="3" s="1"/>
  <c r="C945" i="3"/>
  <c r="D945" i="3" s="1"/>
  <c r="C946" i="3"/>
  <c r="D946" i="3" s="1"/>
  <c r="C947" i="3"/>
  <c r="D947" i="3"/>
  <c r="C948" i="3"/>
  <c r="D948" i="3" s="1"/>
  <c r="C949" i="3"/>
  <c r="D949" i="3"/>
  <c r="C950" i="3"/>
  <c r="D950" i="3" s="1"/>
  <c r="C951" i="3"/>
  <c r="D951" i="3"/>
  <c r="C952" i="3"/>
  <c r="D952" i="3" s="1"/>
  <c r="C953" i="3"/>
  <c r="D953" i="3" s="1"/>
  <c r="C954" i="3"/>
  <c r="D954" i="3" s="1"/>
  <c r="C955" i="3"/>
  <c r="D955" i="3" s="1"/>
  <c r="C956" i="3"/>
  <c r="D956" i="3" s="1"/>
  <c r="C957" i="3"/>
  <c r="D957" i="3" s="1"/>
  <c r="C958" i="3"/>
  <c r="D958" i="3" s="1"/>
  <c r="C959" i="3"/>
  <c r="D959" i="3" s="1"/>
  <c r="C960" i="3"/>
  <c r="D960" i="3" s="1"/>
  <c r="C961" i="3"/>
  <c r="D961" i="3" s="1"/>
  <c r="C962" i="3"/>
  <c r="D962" i="3" s="1"/>
  <c r="C963" i="3"/>
  <c r="D963" i="3"/>
  <c r="C964" i="3"/>
  <c r="D964" i="3" s="1"/>
  <c r="C965" i="3"/>
  <c r="D965" i="3"/>
  <c r="C966" i="3"/>
  <c r="D966" i="3" s="1"/>
  <c r="C967" i="3"/>
  <c r="D967" i="3"/>
  <c r="C968" i="3"/>
  <c r="D968" i="3" s="1"/>
  <c r="C969" i="3"/>
  <c r="D969" i="3" s="1"/>
  <c r="C970" i="3"/>
  <c r="D970" i="3" s="1"/>
  <c r="C971" i="3"/>
  <c r="D971" i="3" s="1"/>
  <c r="C972" i="3"/>
  <c r="D972" i="3" s="1"/>
  <c r="C973" i="3"/>
  <c r="D973" i="3" s="1"/>
  <c r="C974" i="3"/>
  <c r="D974" i="3" s="1"/>
  <c r="C975" i="3"/>
  <c r="D975" i="3" s="1"/>
  <c r="C976" i="3"/>
  <c r="D976" i="3" s="1"/>
  <c r="C977" i="3"/>
  <c r="D977" i="3" s="1"/>
  <c r="C978" i="3"/>
  <c r="D978" i="3" s="1"/>
  <c r="C979" i="3"/>
  <c r="D979" i="3"/>
  <c r="C980" i="3"/>
  <c r="D980" i="3" s="1"/>
  <c r="C981" i="3"/>
  <c r="D981" i="3"/>
  <c r="C982" i="3"/>
  <c r="D982" i="3" s="1"/>
  <c r="C983" i="3"/>
  <c r="D983" i="3"/>
  <c r="C984" i="3"/>
  <c r="D984" i="3" s="1"/>
  <c r="C985" i="3"/>
  <c r="D985" i="3" s="1"/>
  <c r="C986" i="3"/>
  <c r="D986" i="3" s="1"/>
  <c r="C987" i="3"/>
  <c r="D987" i="3" s="1"/>
  <c r="C988" i="3"/>
  <c r="D988" i="3" s="1"/>
  <c r="C989" i="3"/>
  <c r="D989" i="3" s="1"/>
  <c r="C990" i="3"/>
  <c r="D990" i="3" s="1"/>
  <c r="C991" i="3"/>
  <c r="D991" i="3" s="1"/>
  <c r="C992" i="3"/>
  <c r="D992" i="3" s="1"/>
  <c r="C993" i="3"/>
  <c r="D993" i="3" s="1"/>
  <c r="C994" i="3"/>
  <c r="D994" i="3" s="1"/>
  <c r="C995" i="3"/>
  <c r="D995" i="3"/>
  <c r="C996" i="3"/>
  <c r="D996" i="3" s="1"/>
  <c r="C997" i="3"/>
  <c r="D997" i="3"/>
  <c r="C998" i="3"/>
  <c r="D998" i="3" s="1"/>
  <c r="C999" i="3"/>
  <c r="D999" i="3"/>
  <c r="C1000" i="3"/>
  <c r="D1000" i="3" s="1"/>
  <c r="C1001" i="3"/>
  <c r="D1001" i="3" s="1"/>
  <c r="C1002" i="3"/>
  <c r="D1002" i="3" s="1"/>
  <c r="C1003" i="3"/>
  <c r="D1003" i="3" s="1"/>
  <c r="C1004" i="3"/>
  <c r="D1004" i="3" s="1"/>
  <c r="C1005" i="3"/>
  <c r="D1005" i="3" s="1"/>
  <c r="C1006" i="3"/>
  <c r="D1006" i="3" s="1"/>
  <c r="C1007" i="3"/>
  <c r="D1007" i="3" s="1"/>
  <c r="C1008" i="3"/>
  <c r="D1008" i="3" s="1"/>
  <c r="C1009" i="3"/>
  <c r="D1009" i="3" s="1"/>
  <c r="C1010" i="3"/>
  <c r="D1010" i="3" s="1"/>
  <c r="C1011" i="3"/>
  <c r="D1011" i="3"/>
  <c r="C1012" i="3"/>
  <c r="D1012" i="3" s="1"/>
  <c r="C1013" i="3"/>
  <c r="D1013" i="3"/>
  <c r="C1014" i="3"/>
  <c r="D1014" i="3" s="1"/>
  <c r="C1015" i="3"/>
  <c r="D1015" i="3"/>
  <c r="C1016" i="3"/>
  <c r="D1016" i="3" s="1"/>
  <c r="C1017" i="3"/>
  <c r="D1017" i="3" s="1"/>
  <c r="C1018" i="3"/>
  <c r="D1018" i="3" s="1"/>
  <c r="C1019" i="3"/>
  <c r="D1019" i="3" s="1"/>
  <c r="C1020" i="3"/>
  <c r="D1020" i="3" s="1"/>
  <c r="C1021" i="3"/>
  <c r="D1021" i="3" s="1"/>
  <c r="C1022" i="3"/>
  <c r="D1022" i="3" s="1"/>
  <c r="C1023" i="3"/>
  <c r="D1023" i="3" s="1"/>
  <c r="C1024" i="3"/>
  <c r="D1024" i="3" s="1"/>
  <c r="C1025" i="3"/>
  <c r="D1025" i="3" s="1"/>
  <c r="C1026" i="3"/>
  <c r="D1026" i="3" s="1"/>
  <c r="C1027" i="3"/>
  <c r="D1027" i="3"/>
  <c r="C1028" i="3"/>
  <c r="D1028" i="3" s="1"/>
  <c r="C1029" i="3"/>
  <c r="D1029" i="3"/>
  <c r="C1030" i="3"/>
  <c r="D1030" i="3" s="1"/>
  <c r="C1031" i="3"/>
  <c r="D1031" i="3"/>
  <c r="C1032" i="3"/>
  <c r="D1032" i="3" s="1"/>
  <c r="C1033" i="3"/>
  <c r="D1033" i="3" s="1"/>
  <c r="C1034" i="3"/>
  <c r="D1034" i="3" s="1"/>
  <c r="C1035" i="3"/>
  <c r="D1035" i="3" s="1"/>
  <c r="C1036" i="3"/>
  <c r="D1036" i="3" s="1"/>
  <c r="C1037" i="3"/>
  <c r="D1037" i="3" s="1"/>
  <c r="C1038" i="3"/>
  <c r="D1038" i="3" s="1"/>
  <c r="C1039" i="3"/>
  <c r="D1039" i="3" s="1"/>
  <c r="C1040" i="3"/>
  <c r="D1040" i="3" s="1"/>
  <c r="C1041" i="3"/>
  <c r="D1041" i="3" s="1"/>
  <c r="C1042" i="3"/>
  <c r="D1042" i="3" s="1"/>
  <c r="C1043" i="3"/>
  <c r="D1043" i="3"/>
  <c r="C1044" i="3"/>
  <c r="D1044" i="3" s="1"/>
  <c r="C1045" i="3"/>
  <c r="D1045" i="3"/>
  <c r="C1046" i="3"/>
  <c r="D1046" i="3" s="1"/>
  <c r="C1047" i="3"/>
  <c r="D1047" i="3"/>
  <c r="C1048" i="3"/>
  <c r="D1048" i="3" s="1"/>
  <c r="C1049" i="3"/>
  <c r="D1049" i="3" s="1"/>
  <c r="C1050" i="3"/>
  <c r="D1050" i="3" s="1"/>
  <c r="C1051" i="3"/>
  <c r="D1051" i="3" s="1"/>
  <c r="C1052" i="3"/>
  <c r="D1052" i="3" s="1"/>
  <c r="C1053" i="3"/>
  <c r="D1053" i="3" s="1"/>
  <c r="C1054" i="3"/>
  <c r="D1054" i="3" s="1"/>
  <c r="C1055" i="3"/>
  <c r="D1055" i="3" s="1"/>
  <c r="C1056" i="3"/>
  <c r="D1056" i="3" s="1"/>
  <c r="C1057" i="3"/>
  <c r="D1057" i="3" s="1"/>
  <c r="C1058" i="3"/>
  <c r="D1058" i="3" s="1"/>
  <c r="C1059" i="3"/>
  <c r="D1059" i="3"/>
  <c r="C1060" i="3"/>
  <c r="D1060" i="3" s="1"/>
  <c r="C1061" i="3"/>
  <c r="D1061" i="3"/>
  <c r="C1062" i="3"/>
  <c r="D1062" i="3" s="1"/>
  <c r="C1063" i="3"/>
  <c r="D1063" i="3"/>
  <c r="C1064" i="3"/>
  <c r="D1064" i="3" s="1"/>
  <c r="C1065" i="3"/>
  <c r="D1065" i="3" s="1"/>
  <c r="C1066" i="3"/>
  <c r="D1066" i="3" s="1"/>
  <c r="C1067" i="3"/>
  <c r="D1067" i="3" s="1"/>
  <c r="C1068" i="3"/>
  <c r="D1068" i="3" s="1"/>
  <c r="C1069" i="3"/>
  <c r="D1069" i="3" s="1"/>
  <c r="C1070" i="3"/>
  <c r="D1070" i="3" s="1"/>
  <c r="C1071" i="3"/>
  <c r="D1071" i="3" s="1"/>
  <c r="C1072" i="3"/>
  <c r="D1072" i="3" s="1"/>
  <c r="C1073" i="3"/>
  <c r="D1073" i="3" s="1"/>
  <c r="C1074" i="3"/>
  <c r="D1074" i="3" s="1"/>
  <c r="C1075" i="3"/>
  <c r="D1075" i="3"/>
  <c r="C1076" i="3"/>
  <c r="D1076" i="3" s="1"/>
  <c r="C1077" i="3"/>
  <c r="D1077" i="3"/>
  <c r="C1078" i="3"/>
  <c r="D1078" i="3" s="1"/>
  <c r="C1079" i="3"/>
  <c r="D1079" i="3"/>
  <c r="C1080" i="3"/>
  <c r="D1080" i="3" s="1"/>
  <c r="C1081" i="3"/>
  <c r="D1081" i="3" s="1"/>
  <c r="C1082" i="3"/>
  <c r="D1082" i="3" s="1"/>
  <c r="C1083" i="3"/>
  <c r="D1083" i="3" s="1"/>
  <c r="C1084" i="3"/>
  <c r="D1084" i="3" s="1"/>
  <c r="C1085" i="3"/>
  <c r="D1085" i="3" s="1"/>
  <c r="C1086" i="3"/>
  <c r="D1086" i="3" s="1"/>
  <c r="C1087" i="3"/>
  <c r="D1087" i="3" s="1"/>
  <c r="C1088" i="3"/>
  <c r="D1088" i="3" s="1"/>
  <c r="C1089" i="3"/>
  <c r="D1089" i="3" s="1"/>
  <c r="C1090" i="3"/>
  <c r="D1090" i="3" s="1"/>
  <c r="C1091" i="3"/>
  <c r="D1091" i="3"/>
  <c r="C1092" i="3"/>
  <c r="D1092" i="3" s="1"/>
  <c r="C1093" i="3"/>
  <c r="D1093" i="3"/>
  <c r="C1094" i="3"/>
  <c r="D1094" i="3" s="1"/>
  <c r="C1095" i="3"/>
  <c r="D1095" i="3"/>
  <c r="C1096" i="3"/>
  <c r="D1096" i="3" s="1"/>
  <c r="C1097" i="3"/>
  <c r="D1097" i="3" s="1"/>
  <c r="C1098" i="3"/>
  <c r="D1098" i="3" s="1"/>
  <c r="C1099" i="3"/>
  <c r="D1099" i="3" s="1"/>
  <c r="C1100" i="3"/>
  <c r="D1100" i="3" s="1"/>
  <c r="C1101" i="3"/>
  <c r="D1101" i="3" s="1"/>
  <c r="C1102" i="3"/>
  <c r="D1102" i="3" s="1"/>
  <c r="C37" i="3"/>
  <c r="D37" i="3" s="1"/>
  <c r="C38" i="3"/>
  <c r="D38" i="3"/>
  <c r="C39" i="3"/>
  <c r="D39" i="3"/>
  <c r="C40" i="3"/>
  <c r="D40" i="3"/>
  <c r="C41" i="3"/>
  <c r="D41" i="3" s="1"/>
  <c r="D36" i="3"/>
  <c r="D3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4" i="3"/>
  <c r="H201" i="3" l="1"/>
  <c r="H185" i="3"/>
  <c r="H169" i="3"/>
  <c r="H153" i="3"/>
  <c r="H137" i="3"/>
  <c r="H123" i="3"/>
  <c r="H115" i="3"/>
  <c r="H107" i="3"/>
  <c r="H99" i="3"/>
  <c r="H91" i="3"/>
  <c r="H83" i="3"/>
  <c r="H75" i="3"/>
  <c r="H67" i="3"/>
  <c r="H59" i="3"/>
  <c r="H51" i="3"/>
  <c r="H43" i="3"/>
  <c r="H203" i="3"/>
  <c r="H187" i="3"/>
  <c r="H171" i="3"/>
  <c r="H155" i="3"/>
  <c r="H139" i="3"/>
  <c r="H120" i="3"/>
  <c r="H112" i="3"/>
  <c r="H104" i="3"/>
  <c r="H96" i="3"/>
  <c r="H88" i="3"/>
  <c r="H80" i="3"/>
  <c r="H72" i="3"/>
  <c r="H64" i="3"/>
  <c r="H56" i="3"/>
  <c r="H48" i="3"/>
  <c r="H40" i="3"/>
  <c r="H207" i="3"/>
  <c r="H191" i="3"/>
  <c r="H175" i="3"/>
  <c r="H159" i="3"/>
  <c r="H143" i="3"/>
  <c r="H127" i="3"/>
  <c r="H122" i="3"/>
  <c r="H114" i="3"/>
  <c r="H106" i="3"/>
  <c r="H98" i="3"/>
  <c r="H90" i="3"/>
  <c r="H82" i="3"/>
  <c r="H74" i="3"/>
  <c r="H66" i="3"/>
  <c r="H58" i="3"/>
  <c r="H50" i="3"/>
  <c r="H42" i="3"/>
  <c r="H193" i="3"/>
  <c r="H177" i="3"/>
  <c r="H161" i="3"/>
  <c r="H145" i="3"/>
  <c r="H129" i="3"/>
  <c r="H119" i="3"/>
  <c r="H111" i="3"/>
  <c r="H103" i="3"/>
  <c r="H95" i="3"/>
  <c r="H87" i="3"/>
  <c r="H79" i="3"/>
  <c r="H71" i="3"/>
  <c r="H63" i="3"/>
  <c r="H55" i="3"/>
  <c r="H47" i="3"/>
  <c r="H39" i="3"/>
  <c r="H195" i="3"/>
  <c r="H179" i="3"/>
  <c r="H163" i="3"/>
  <c r="H147" i="3"/>
  <c r="H131" i="3"/>
  <c r="H124" i="3"/>
  <c r="H116" i="3"/>
  <c r="H108" i="3"/>
  <c r="H100" i="3"/>
  <c r="H92" i="3"/>
  <c r="H84" i="3"/>
  <c r="H76" i="3"/>
  <c r="H68" i="3"/>
  <c r="H60" i="3"/>
  <c r="H52" i="3"/>
  <c r="H44" i="3"/>
  <c r="H199" i="3"/>
  <c r="H183" i="3"/>
  <c r="H167" i="3"/>
  <c r="H151" i="3"/>
  <c r="H135" i="3"/>
  <c r="H118" i="3"/>
  <c r="H110" i="3"/>
  <c r="H102" i="3"/>
  <c r="H94" i="3"/>
  <c r="H86" i="3"/>
  <c r="H78" i="3"/>
  <c r="H70" i="3"/>
  <c r="H62" i="3"/>
  <c r="H54" i="3"/>
  <c r="H46" i="3"/>
  <c r="H38" i="3"/>
  <c r="V25" i="2"/>
  <c r="V26" i="2"/>
  <c r="V27" i="2"/>
  <c r="V28" i="2"/>
  <c r="V29" i="2"/>
  <c r="V30" i="2"/>
  <c r="V31" i="2"/>
  <c r="V32" i="2"/>
  <c r="V33" i="2"/>
  <c r="V34" i="2"/>
  <c r="V35" i="2"/>
  <c r="V36" i="2"/>
  <c r="V37" i="2"/>
  <c r="V38" i="2"/>
  <c r="V39" i="2"/>
  <c r="V40" i="2"/>
  <c r="V41" i="2"/>
  <c r="V42" i="2"/>
  <c r="V43" i="2"/>
  <c r="V44" i="2"/>
  <c r="V45" i="2"/>
  <c r="V46" i="2"/>
  <c r="V47" i="2"/>
  <c r="V48" i="2"/>
  <c r="V49" i="2"/>
  <c r="V50" i="2"/>
  <c r="V51" i="2"/>
  <c r="V52" i="2"/>
  <c r="V53" i="2"/>
  <c r="V54" i="2"/>
  <c r="V55" i="2"/>
  <c r="V56" i="2"/>
  <c r="V57" i="2"/>
  <c r="V58" i="2"/>
  <c r="V59" i="2"/>
  <c r="V60" i="2"/>
  <c r="V61" i="2"/>
  <c r="V62" i="2"/>
  <c r="V63" i="2"/>
  <c r="V64" i="2"/>
  <c r="V65" i="2"/>
  <c r="V66" i="2"/>
  <c r="V67" i="2"/>
  <c r="V68" i="2"/>
  <c r="V69" i="2"/>
  <c r="V70" i="2"/>
  <c r="V71" i="2"/>
  <c r="V72" i="2"/>
  <c r="V73" i="2"/>
  <c r="V74" i="2"/>
  <c r="V75" i="2"/>
  <c r="V76" i="2"/>
  <c r="V77" i="2"/>
  <c r="V78" i="2"/>
  <c r="V79" i="2"/>
  <c r="V80" i="2"/>
  <c r="V81" i="2"/>
  <c r="V82" i="2"/>
  <c r="V83" i="2"/>
  <c r="V84" i="2"/>
  <c r="V85" i="2"/>
  <c r="V86" i="2"/>
  <c r="V87" i="2"/>
  <c r="V88" i="2"/>
  <c r="V89" i="2"/>
  <c r="V90" i="2"/>
  <c r="V91" i="2"/>
  <c r="V92" i="2"/>
  <c r="V93" i="2"/>
  <c r="V94" i="2"/>
  <c r="V95" i="2"/>
  <c r="U13" i="2"/>
  <c r="V13" i="2"/>
  <c r="U14" i="2"/>
  <c r="V14" i="2"/>
  <c r="U15" i="2"/>
  <c r="V15" i="2"/>
  <c r="U16" i="2"/>
  <c r="V16" i="2"/>
  <c r="U17" i="2"/>
  <c r="V17" i="2"/>
  <c r="U18" i="2"/>
  <c r="V18" i="2"/>
  <c r="U19" i="2"/>
  <c r="V19" i="2"/>
  <c r="U20" i="2"/>
  <c r="V20" i="2"/>
  <c r="U21" i="2"/>
  <c r="V21" i="2"/>
  <c r="U22" i="2"/>
  <c r="V22" i="2"/>
  <c r="U23" i="2"/>
  <c r="V23" i="2"/>
  <c r="U24" i="2"/>
  <c r="V24" i="2"/>
  <c r="V12" i="2"/>
  <c r="T12" i="2"/>
  <c r="T13" i="2"/>
  <c r="T14" i="2"/>
  <c r="U12" i="2"/>
  <c r="A94" i="2" l="1"/>
  <c r="A95" i="2"/>
  <c r="T76" i="2"/>
  <c r="U76" i="2"/>
  <c r="A74" i="2" s="1"/>
  <c r="T77" i="2"/>
  <c r="U77" i="2"/>
  <c r="A75" i="2" s="1"/>
  <c r="T78" i="2"/>
  <c r="U78" i="2"/>
  <c r="A76" i="2" s="1"/>
  <c r="T79" i="2"/>
  <c r="U79" i="2"/>
  <c r="A77" i="2" s="1"/>
  <c r="T80" i="2"/>
  <c r="U80" i="2"/>
  <c r="A78" i="2" s="1"/>
  <c r="T81" i="2"/>
  <c r="U81" i="2"/>
  <c r="A79" i="2" s="1"/>
  <c r="T82" i="2"/>
  <c r="U82" i="2"/>
  <c r="A80" i="2" s="1"/>
  <c r="T83" i="2"/>
  <c r="U83" i="2"/>
  <c r="A81" i="2" s="1"/>
  <c r="T84" i="2"/>
  <c r="U84" i="2"/>
  <c r="A82" i="2" s="1"/>
  <c r="T85" i="2"/>
  <c r="U85" i="2"/>
  <c r="A83" i="2" s="1"/>
  <c r="T86" i="2"/>
  <c r="U86" i="2"/>
  <c r="A84" i="2" s="1"/>
  <c r="T87" i="2"/>
  <c r="U87" i="2"/>
  <c r="A85" i="2" s="1"/>
  <c r="T88" i="2"/>
  <c r="U88" i="2"/>
  <c r="A86" i="2" s="1"/>
  <c r="T89" i="2"/>
  <c r="U89" i="2"/>
  <c r="A87" i="2" s="1"/>
  <c r="T90" i="2"/>
  <c r="U90" i="2"/>
  <c r="A88" i="2" s="1"/>
  <c r="T91" i="2"/>
  <c r="U91" i="2"/>
  <c r="A89" i="2" s="1"/>
  <c r="T92" i="2"/>
  <c r="U92" i="2"/>
  <c r="A90" i="2" s="1"/>
  <c r="T93" i="2"/>
  <c r="U93" i="2"/>
  <c r="A91" i="2" s="1"/>
  <c r="T94" i="2"/>
  <c r="U94" i="2"/>
  <c r="A92" i="2" s="1"/>
  <c r="T95" i="2"/>
  <c r="U95" i="2"/>
  <c r="A93" i="2" s="1"/>
  <c r="T55" i="2"/>
  <c r="U55" i="2"/>
  <c r="A53" i="2" s="1"/>
  <c r="T56" i="2"/>
  <c r="U56" i="2"/>
  <c r="A54" i="2" s="1"/>
  <c r="T57" i="2"/>
  <c r="U57" i="2"/>
  <c r="A55" i="2" s="1"/>
  <c r="T58" i="2"/>
  <c r="U58" i="2"/>
  <c r="A56" i="2" s="1"/>
  <c r="T59" i="2"/>
  <c r="U59" i="2"/>
  <c r="A57" i="2" s="1"/>
  <c r="T60" i="2"/>
  <c r="U60" i="2"/>
  <c r="A58" i="2" s="1"/>
  <c r="T61" i="2"/>
  <c r="U61" i="2"/>
  <c r="A59" i="2" s="1"/>
  <c r="T62" i="2"/>
  <c r="U62" i="2"/>
  <c r="A60" i="2" s="1"/>
  <c r="T63" i="2"/>
  <c r="U63" i="2"/>
  <c r="A61" i="2" s="1"/>
  <c r="T64" i="2"/>
  <c r="U64" i="2"/>
  <c r="A62" i="2" s="1"/>
  <c r="T65" i="2"/>
  <c r="U65" i="2"/>
  <c r="A63" i="2" s="1"/>
  <c r="T66" i="2"/>
  <c r="U66" i="2"/>
  <c r="A64" i="2" s="1"/>
  <c r="T67" i="2"/>
  <c r="U67" i="2"/>
  <c r="A65" i="2" s="1"/>
  <c r="T68" i="2"/>
  <c r="U68" i="2"/>
  <c r="A66" i="2" s="1"/>
  <c r="T69" i="2"/>
  <c r="U69" i="2"/>
  <c r="A67" i="2" s="1"/>
  <c r="T70" i="2"/>
  <c r="U70" i="2"/>
  <c r="A68" i="2" s="1"/>
  <c r="T71" i="2"/>
  <c r="U71" i="2"/>
  <c r="A69" i="2" s="1"/>
  <c r="T72" i="2"/>
  <c r="U72" i="2"/>
  <c r="A70" i="2" s="1"/>
  <c r="T73" i="2"/>
  <c r="U73" i="2"/>
  <c r="A71" i="2" s="1"/>
  <c r="T74" i="2"/>
  <c r="U74" i="2"/>
  <c r="A72" i="2" s="1"/>
  <c r="T75" i="2"/>
  <c r="U75" i="2"/>
  <c r="A73" i="2" s="1"/>
  <c r="T36" i="2"/>
  <c r="U36" i="2"/>
  <c r="A34" i="2" s="1"/>
  <c r="T37" i="2"/>
  <c r="U37" i="2"/>
  <c r="A35" i="2" s="1"/>
  <c r="T38" i="2"/>
  <c r="U38" i="2"/>
  <c r="A36" i="2" s="1"/>
  <c r="T39" i="2"/>
  <c r="U39" i="2"/>
  <c r="A37" i="2" s="1"/>
  <c r="T40" i="2"/>
  <c r="U40" i="2"/>
  <c r="A38" i="2" s="1"/>
  <c r="T41" i="2"/>
  <c r="U41" i="2"/>
  <c r="A39" i="2" s="1"/>
  <c r="T42" i="2"/>
  <c r="U42" i="2"/>
  <c r="A40" i="2" s="1"/>
  <c r="T43" i="2"/>
  <c r="U43" i="2"/>
  <c r="A41" i="2" s="1"/>
  <c r="T44" i="2"/>
  <c r="U44" i="2"/>
  <c r="A42" i="2" s="1"/>
  <c r="T45" i="2"/>
  <c r="U45" i="2"/>
  <c r="A43" i="2" s="1"/>
  <c r="T46" i="2"/>
  <c r="U46" i="2"/>
  <c r="A44" i="2" s="1"/>
  <c r="T47" i="2"/>
  <c r="U47" i="2"/>
  <c r="A45" i="2" s="1"/>
  <c r="T48" i="2"/>
  <c r="U48" i="2"/>
  <c r="A46" i="2" s="1"/>
  <c r="T49" i="2"/>
  <c r="U49" i="2"/>
  <c r="A47" i="2" s="1"/>
  <c r="T50" i="2"/>
  <c r="U50" i="2"/>
  <c r="A48" i="2" s="1"/>
  <c r="T51" i="2"/>
  <c r="U51" i="2"/>
  <c r="A49" i="2" s="1"/>
  <c r="T52" i="2"/>
  <c r="U52" i="2"/>
  <c r="A50" i="2" s="1"/>
  <c r="T53" i="2"/>
  <c r="U53" i="2"/>
  <c r="A51" i="2" s="1"/>
  <c r="T54" i="2"/>
  <c r="U54" i="2"/>
  <c r="A52" i="2" s="1"/>
  <c r="T18" i="2"/>
  <c r="A16" i="2"/>
  <c r="T19" i="2"/>
  <c r="A17" i="2"/>
  <c r="T20" i="2"/>
  <c r="A18" i="2"/>
  <c r="T21" i="2"/>
  <c r="A19" i="2"/>
  <c r="T22" i="2"/>
  <c r="A20" i="2"/>
  <c r="T23" i="2"/>
  <c r="A21" i="2"/>
  <c r="T24" i="2"/>
  <c r="A22" i="2"/>
  <c r="T25" i="2"/>
  <c r="U25" i="2"/>
  <c r="A23" i="2" s="1"/>
  <c r="T26" i="2"/>
  <c r="U26" i="2"/>
  <c r="A24" i="2" s="1"/>
  <c r="T27" i="2"/>
  <c r="U27" i="2"/>
  <c r="A25" i="2" s="1"/>
  <c r="T28" i="2"/>
  <c r="U28" i="2"/>
  <c r="A26" i="2" s="1"/>
  <c r="T29" i="2"/>
  <c r="U29" i="2"/>
  <c r="A27" i="2" s="1"/>
  <c r="T30" i="2"/>
  <c r="U30" i="2"/>
  <c r="A28" i="2" s="1"/>
  <c r="T31" i="2"/>
  <c r="U31" i="2"/>
  <c r="A29" i="2" s="1"/>
  <c r="T32" i="2"/>
  <c r="U32" i="2"/>
  <c r="A30" i="2" s="1"/>
  <c r="T33" i="2"/>
  <c r="U33" i="2"/>
  <c r="A31" i="2" s="1"/>
  <c r="T34" i="2"/>
  <c r="U34" i="2"/>
  <c r="A32" i="2" s="1"/>
  <c r="T35" i="2"/>
  <c r="U35" i="2"/>
  <c r="A33" i="2" s="1"/>
  <c r="A15" i="2"/>
  <c r="T16" i="2"/>
  <c r="T17" i="2"/>
  <c r="T15" i="2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6" i="1" l="1"/>
  <c r="H7" i="1"/>
  <c r="H8" i="1"/>
  <c r="H9" i="1"/>
  <c r="H10" i="1"/>
  <c r="H5" i="1"/>
  <c r="B6" i="1"/>
  <c r="B7" i="1" s="1"/>
  <c r="B8" i="1" s="1"/>
  <c r="B9" i="1" s="1"/>
  <c r="B10" i="1" s="1"/>
  <c r="B11" i="1" s="1"/>
  <c r="B12" i="1" s="1"/>
  <c r="B13" i="1" s="1"/>
  <c r="B14" i="1" s="1"/>
  <c r="B15" i="1" s="1"/>
  <c r="B16" i="1" s="1"/>
  <c r="B17" i="1" s="1"/>
  <c r="B18" i="1" s="1"/>
  <c r="B19" i="1" s="1"/>
  <c r="B20" i="1" s="1"/>
  <c r="B21" i="1" s="1"/>
  <c r="B22" i="1" s="1"/>
  <c r="B23" i="1" s="1"/>
  <c r="B24" i="1" s="1"/>
  <c r="B25" i="1" s="1"/>
  <c r="B26" i="1" s="1"/>
  <c r="B27" i="1" s="1"/>
  <c r="B28" i="1" s="1"/>
  <c r="B29" i="1" s="1"/>
  <c r="B30" i="1" s="1"/>
  <c r="B31" i="1" s="1"/>
  <c r="B32" i="1" s="1"/>
  <c r="B33" i="1" s="1"/>
  <c r="B34" i="1" s="1"/>
  <c r="B35" i="1" s="1"/>
  <c r="B36" i="1" s="1"/>
  <c r="B37" i="1" s="1"/>
  <c r="B38" i="1" s="1"/>
  <c r="B39" i="1" s="1"/>
  <c r="B40" i="1" s="1"/>
  <c r="B41" i="1" s="1"/>
  <c r="B42" i="1" s="1"/>
  <c r="B43" i="1" s="1"/>
  <c r="B44" i="1" s="1"/>
  <c r="B45" i="1" s="1"/>
  <c r="B46" i="1" s="1"/>
  <c r="B47" i="1" s="1"/>
  <c r="B48" i="1" s="1"/>
  <c r="B49" i="1" s="1"/>
  <c r="B50" i="1" s="1"/>
  <c r="B51" i="1" s="1"/>
  <c r="B52" i="1" s="1"/>
  <c r="B53" i="1" s="1"/>
  <c r="B54" i="1" s="1"/>
  <c r="B55" i="1" s="1"/>
  <c r="B56" i="1" s="1"/>
  <c r="B57" i="1" s="1"/>
  <c r="B58" i="1" s="1"/>
  <c r="B59" i="1" s="1"/>
  <c r="B60" i="1" s="1"/>
  <c r="B61" i="1" s="1"/>
  <c r="B62" i="1" s="1"/>
  <c r="B63" i="1" s="1"/>
  <c r="B64" i="1" s="1"/>
  <c r="B65" i="1" s="1"/>
  <c r="B66" i="1" s="1"/>
  <c r="B67" i="1" s="1"/>
  <c r="B68" i="1" s="1"/>
  <c r="B69" i="1" s="1"/>
  <c r="B70" i="1" s="1"/>
  <c r="B71" i="1" s="1"/>
  <c r="B72" i="1" s="1"/>
  <c r="B73" i="1" s="1"/>
  <c r="B74" i="1" s="1"/>
  <c r="B75" i="1" s="1"/>
  <c r="B76" i="1" s="1"/>
  <c r="B77" i="1" s="1"/>
  <c r="B78" i="1" s="1"/>
  <c r="B79" i="1" s="1"/>
  <c r="B80" i="1" s="1"/>
  <c r="B81" i="1" s="1"/>
  <c r="B82" i="1" s="1"/>
  <c r="B83" i="1" s="1"/>
  <c r="B84" i="1" s="1"/>
  <c r="B85" i="1" s="1"/>
  <c r="I5" i="1" l="1"/>
  <c r="K5" i="1" s="1"/>
  <c r="J5" i="1"/>
  <c r="G6" i="1"/>
  <c r="G7" i="1" l="1"/>
  <c r="I6" i="1"/>
  <c r="J6" i="1" l="1"/>
  <c r="E6" i="1" s="1"/>
  <c r="K6" i="1"/>
  <c r="F6" i="1" s="1"/>
  <c r="G8" i="1"/>
  <c r="I7" i="1"/>
  <c r="J7" i="1" l="1"/>
  <c r="E7" i="1" s="1"/>
  <c r="K7" i="1"/>
  <c r="F7" i="1" s="1"/>
  <c r="G9" i="1"/>
  <c r="I8" i="1"/>
  <c r="J8" i="1" l="1"/>
  <c r="E8" i="1" s="1"/>
  <c r="K8" i="1"/>
  <c r="F8" i="1" s="1"/>
  <c r="G10" i="1"/>
  <c r="I9" i="1"/>
  <c r="I10" i="1" l="1"/>
  <c r="J10" i="1" s="1"/>
  <c r="G11" i="1"/>
  <c r="J9" i="1"/>
  <c r="E9" i="1" s="1"/>
  <c r="K9" i="1"/>
  <c r="F9" i="1" s="1"/>
  <c r="K10" i="1" l="1"/>
  <c r="F10" i="1" s="1"/>
  <c r="G12" i="1"/>
  <c r="I11" i="1"/>
  <c r="E10" i="1"/>
  <c r="K11" i="1" l="1"/>
  <c r="F11" i="1" s="1"/>
  <c r="J11" i="1"/>
  <c r="E11" i="1" s="1"/>
  <c r="G13" i="1"/>
  <c r="I12" i="1"/>
  <c r="J12" i="1" l="1"/>
  <c r="E12" i="1" s="1"/>
  <c r="K12" i="1"/>
  <c r="F12" i="1" s="1"/>
  <c r="G14" i="1"/>
  <c r="I13" i="1"/>
  <c r="I14" i="1" l="1"/>
  <c r="G15" i="1"/>
  <c r="J13" i="1"/>
  <c r="E13" i="1" s="1"/>
  <c r="K13" i="1"/>
  <c r="F13" i="1" s="1"/>
  <c r="I15" i="1" l="1"/>
  <c r="G16" i="1"/>
  <c r="K14" i="1"/>
  <c r="F14" i="1" s="1"/>
  <c r="J14" i="1"/>
  <c r="E14" i="1" s="1"/>
  <c r="K15" i="1" l="1"/>
  <c r="F15" i="1" s="1"/>
  <c r="J15" i="1"/>
  <c r="E15" i="1" s="1"/>
  <c r="I16" i="1"/>
  <c r="G17" i="1"/>
  <c r="K16" i="1" l="1"/>
  <c r="F16" i="1" s="1"/>
  <c r="J16" i="1"/>
  <c r="E16" i="1" s="1"/>
  <c r="G18" i="1"/>
  <c r="I17" i="1"/>
  <c r="K17" i="1" l="1"/>
  <c r="F17" i="1" s="1"/>
  <c r="J17" i="1"/>
  <c r="E17" i="1" s="1"/>
  <c r="G19" i="1"/>
  <c r="I18" i="1"/>
  <c r="J18" i="1" l="1"/>
  <c r="E18" i="1" s="1"/>
  <c r="K18" i="1"/>
  <c r="F18" i="1" s="1"/>
  <c r="G20" i="1"/>
  <c r="I19" i="1"/>
  <c r="J19" i="1" l="1"/>
  <c r="E19" i="1" s="1"/>
  <c r="K19" i="1"/>
  <c r="F19" i="1" s="1"/>
  <c r="G21" i="1"/>
  <c r="I20" i="1"/>
  <c r="J20" i="1" l="1"/>
  <c r="E20" i="1" s="1"/>
  <c r="K20" i="1"/>
  <c r="F20" i="1" s="1"/>
  <c r="I21" i="1"/>
  <c r="G22" i="1"/>
  <c r="G23" i="1" l="1"/>
  <c r="I22" i="1"/>
  <c r="K21" i="1"/>
  <c r="F21" i="1" s="1"/>
  <c r="J21" i="1"/>
  <c r="E21" i="1" s="1"/>
  <c r="K22" i="1" l="1"/>
  <c r="F22" i="1" s="1"/>
  <c r="J22" i="1"/>
  <c r="E22" i="1" s="1"/>
  <c r="I23" i="1"/>
  <c r="G24" i="1"/>
  <c r="G25" i="1" l="1"/>
  <c r="I24" i="1"/>
  <c r="K23" i="1"/>
  <c r="F23" i="1" s="1"/>
  <c r="J23" i="1"/>
  <c r="E23" i="1" s="1"/>
  <c r="I25" i="1" l="1"/>
  <c r="J25" i="1" s="1"/>
  <c r="G26" i="1"/>
  <c r="K24" i="1"/>
  <c r="F24" i="1" s="1"/>
  <c r="J24" i="1"/>
  <c r="E24" i="1" s="1"/>
  <c r="K25" i="1" l="1"/>
  <c r="F25" i="1" s="1"/>
  <c r="G27" i="1"/>
  <c r="I26" i="1"/>
  <c r="E25" i="1"/>
  <c r="J26" i="1" l="1"/>
  <c r="E26" i="1" s="1"/>
  <c r="K26" i="1"/>
  <c r="F26" i="1" s="1"/>
  <c r="G28" i="1"/>
  <c r="I27" i="1"/>
  <c r="J27" i="1" l="1"/>
  <c r="E27" i="1" s="1"/>
  <c r="K27" i="1"/>
  <c r="F27" i="1" s="1"/>
  <c r="G29" i="1"/>
  <c r="I28" i="1"/>
  <c r="J28" i="1" l="1"/>
  <c r="E28" i="1" s="1"/>
  <c r="K28" i="1"/>
  <c r="F28" i="1" s="1"/>
  <c r="G30" i="1"/>
  <c r="I29" i="1"/>
  <c r="K29" i="1" l="1"/>
  <c r="F29" i="1" s="1"/>
  <c r="J29" i="1"/>
  <c r="E29" i="1" s="1"/>
  <c r="G31" i="1"/>
  <c r="I30" i="1"/>
  <c r="G32" i="1" l="1"/>
  <c r="I31" i="1"/>
  <c r="J30" i="1"/>
  <c r="E30" i="1" s="1"/>
  <c r="K30" i="1"/>
  <c r="F30" i="1" s="1"/>
  <c r="J31" i="1" l="1"/>
  <c r="E31" i="1" s="1"/>
  <c r="K31" i="1"/>
  <c r="F31" i="1" s="1"/>
  <c r="G33" i="1"/>
  <c r="I32" i="1"/>
  <c r="J32" i="1" l="1"/>
  <c r="E32" i="1" s="1"/>
  <c r="K32" i="1"/>
  <c r="F32" i="1" s="1"/>
  <c r="G34" i="1"/>
  <c r="I33" i="1"/>
  <c r="J33" i="1" l="1"/>
  <c r="E33" i="1" s="1"/>
  <c r="K33" i="1"/>
  <c r="F33" i="1" s="1"/>
  <c r="I34" i="1"/>
  <c r="G35" i="1"/>
  <c r="G36" i="1" l="1"/>
  <c r="I35" i="1"/>
  <c r="J34" i="1"/>
  <c r="E34" i="1" s="1"/>
  <c r="K34" i="1"/>
  <c r="F34" i="1" s="1"/>
  <c r="J35" i="1" l="1"/>
  <c r="E35" i="1" s="1"/>
  <c r="K35" i="1"/>
  <c r="F35" i="1" s="1"/>
  <c r="G37" i="1"/>
  <c r="I36" i="1"/>
  <c r="J36" i="1" l="1"/>
  <c r="E36" i="1" s="1"/>
  <c r="K36" i="1"/>
  <c r="F36" i="1" s="1"/>
  <c r="G38" i="1"/>
  <c r="I37" i="1"/>
  <c r="K37" i="1" l="1"/>
  <c r="F37" i="1" s="1"/>
  <c r="J37" i="1"/>
  <c r="E37" i="1" s="1"/>
  <c r="G39" i="1"/>
  <c r="I38" i="1"/>
  <c r="J38" i="1" l="1"/>
  <c r="E38" i="1" s="1"/>
  <c r="K38" i="1"/>
  <c r="F38" i="1" s="1"/>
  <c r="G40" i="1"/>
  <c r="I39" i="1"/>
  <c r="J39" i="1" l="1"/>
  <c r="E39" i="1" s="1"/>
  <c r="K39" i="1"/>
  <c r="F39" i="1" s="1"/>
  <c r="I40" i="1"/>
  <c r="G41" i="1"/>
  <c r="G42" i="1" l="1"/>
  <c r="I41" i="1"/>
  <c r="J40" i="1"/>
  <c r="E40" i="1" s="1"/>
  <c r="K40" i="1"/>
  <c r="F40" i="1" s="1"/>
  <c r="K41" i="1" l="1"/>
  <c r="F41" i="1" s="1"/>
  <c r="J41" i="1"/>
  <c r="E41" i="1" s="1"/>
  <c r="G43" i="1"/>
  <c r="I42" i="1"/>
  <c r="J42" i="1" l="1"/>
  <c r="E42" i="1" s="1"/>
  <c r="K42" i="1"/>
  <c r="F42" i="1" s="1"/>
  <c r="G44" i="1"/>
  <c r="I43" i="1"/>
  <c r="J43" i="1" l="1"/>
  <c r="E43" i="1" s="1"/>
  <c r="K43" i="1"/>
  <c r="F43" i="1" s="1"/>
  <c r="G45" i="1"/>
  <c r="I44" i="1"/>
  <c r="J44" i="1" l="1"/>
  <c r="E44" i="1" s="1"/>
  <c r="K44" i="1"/>
  <c r="F44" i="1" s="1"/>
  <c r="G46" i="1"/>
  <c r="I45" i="1"/>
  <c r="K45" i="1" l="1"/>
  <c r="F45" i="1" s="1"/>
  <c r="J45" i="1"/>
  <c r="E45" i="1" s="1"/>
  <c r="G47" i="1"/>
  <c r="I46" i="1"/>
  <c r="K46" i="1" l="1"/>
  <c r="F46" i="1" s="1"/>
  <c r="J46" i="1"/>
  <c r="E46" i="1" s="1"/>
  <c r="I47" i="1"/>
  <c r="G48" i="1"/>
  <c r="G49" i="1" l="1"/>
  <c r="I48" i="1"/>
  <c r="J47" i="1"/>
  <c r="E47" i="1" s="1"/>
  <c r="K47" i="1"/>
  <c r="F47" i="1" s="1"/>
  <c r="K48" i="1" l="1"/>
  <c r="F48" i="1" s="1"/>
  <c r="J48" i="1"/>
  <c r="E48" i="1" s="1"/>
  <c r="G50" i="1"/>
  <c r="I49" i="1"/>
  <c r="J49" i="1" l="1"/>
  <c r="E49" i="1" s="1"/>
  <c r="K49" i="1"/>
  <c r="F49" i="1" s="1"/>
  <c r="G51" i="1"/>
  <c r="I50" i="1"/>
  <c r="J50" i="1" l="1"/>
  <c r="E50" i="1" s="1"/>
  <c r="K50" i="1"/>
  <c r="F50" i="1" s="1"/>
  <c r="G52" i="1"/>
  <c r="I51" i="1"/>
  <c r="K51" i="1" l="1"/>
  <c r="F51" i="1" s="1"/>
  <c r="J51" i="1"/>
  <c r="E51" i="1" s="1"/>
  <c r="I52" i="1"/>
  <c r="G53" i="1"/>
  <c r="G54" i="1" l="1"/>
  <c r="I53" i="1"/>
  <c r="K52" i="1"/>
  <c r="F52" i="1" s="1"/>
  <c r="J52" i="1"/>
  <c r="E52" i="1" s="1"/>
  <c r="K53" i="1" l="1"/>
  <c r="F53" i="1" s="1"/>
  <c r="J53" i="1"/>
  <c r="E53" i="1" s="1"/>
  <c r="G55" i="1"/>
  <c r="I54" i="1"/>
  <c r="J54" i="1" l="1"/>
  <c r="E54" i="1" s="1"/>
  <c r="K54" i="1"/>
  <c r="F54" i="1" s="1"/>
  <c r="G56" i="1"/>
  <c r="I55" i="1"/>
  <c r="K55" i="1" l="1"/>
  <c r="F55" i="1" s="1"/>
  <c r="J55" i="1"/>
  <c r="E55" i="1" s="1"/>
  <c r="I56" i="1"/>
  <c r="G57" i="1"/>
  <c r="K56" i="1" l="1"/>
  <c r="F56" i="1" s="1"/>
  <c r="J56" i="1"/>
  <c r="E56" i="1" s="1"/>
  <c r="G58" i="1"/>
  <c r="I57" i="1"/>
  <c r="J57" i="1" l="1"/>
  <c r="E57" i="1" s="1"/>
  <c r="K57" i="1"/>
  <c r="F57" i="1" s="1"/>
  <c r="G59" i="1"/>
  <c r="I58" i="1"/>
  <c r="J58" i="1" l="1"/>
  <c r="E58" i="1" s="1"/>
  <c r="K58" i="1"/>
  <c r="F58" i="1" s="1"/>
  <c r="G60" i="1"/>
  <c r="I59" i="1"/>
  <c r="G61" i="1" l="1"/>
  <c r="I60" i="1"/>
  <c r="J59" i="1"/>
  <c r="E59" i="1" s="1"/>
  <c r="K59" i="1"/>
  <c r="F59" i="1" s="1"/>
  <c r="K60" i="1" l="1"/>
  <c r="F60" i="1" s="1"/>
  <c r="J60" i="1"/>
  <c r="E60" i="1" s="1"/>
  <c r="G62" i="1"/>
  <c r="I61" i="1"/>
  <c r="J61" i="1" l="1"/>
  <c r="E61" i="1" s="1"/>
  <c r="K61" i="1"/>
  <c r="F61" i="1" s="1"/>
  <c r="G63" i="1"/>
  <c r="I62" i="1"/>
  <c r="J62" i="1" l="1"/>
  <c r="E62" i="1" s="1"/>
  <c r="K62" i="1"/>
  <c r="F62" i="1" s="1"/>
  <c r="G64" i="1"/>
  <c r="I63" i="1"/>
  <c r="J63" i="1" l="1"/>
  <c r="E63" i="1" s="1"/>
  <c r="K63" i="1"/>
  <c r="F63" i="1" s="1"/>
  <c r="G65" i="1"/>
  <c r="I64" i="1"/>
  <c r="K64" i="1" l="1"/>
  <c r="F64" i="1" s="1"/>
  <c r="J64" i="1"/>
  <c r="E64" i="1" s="1"/>
  <c r="G66" i="1"/>
  <c r="I65" i="1"/>
  <c r="J65" i="1" l="1"/>
  <c r="E65" i="1" s="1"/>
  <c r="K65" i="1"/>
  <c r="F65" i="1" s="1"/>
  <c r="G67" i="1"/>
  <c r="I66" i="1"/>
  <c r="K66" i="1" l="1"/>
  <c r="F66" i="1" s="1"/>
  <c r="J66" i="1"/>
  <c r="E66" i="1" s="1"/>
  <c r="G68" i="1"/>
  <c r="I67" i="1"/>
  <c r="J67" i="1" l="1"/>
  <c r="E67" i="1" s="1"/>
  <c r="K67" i="1"/>
  <c r="F67" i="1" s="1"/>
  <c r="G69" i="1"/>
  <c r="I68" i="1"/>
  <c r="J68" i="1" l="1"/>
  <c r="E68" i="1" s="1"/>
  <c r="K68" i="1"/>
  <c r="F68" i="1" s="1"/>
  <c r="G70" i="1"/>
  <c r="I69" i="1"/>
  <c r="J69" i="1" l="1"/>
  <c r="E69" i="1" s="1"/>
  <c r="K69" i="1"/>
  <c r="F69" i="1" s="1"/>
  <c r="G71" i="1"/>
  <c r="I70" i="1"/>
  <c r="K70" i="1" l="1"/>
  <c r="F70" i="1" s="1"/>
  <c r="J70" i="1"/>
  <c r="E70" i="1" s="1"/>
  <c r="I71" i="1"/>
  <c r="G72" i="1"/>
  <c r="I72" i="1" l="1"/>
  <c r="G73" i="1"/>
  <c r="J71" i="1"/>
  <c r="E71" i="1" s="1"/>
  <c r="K71" i="1"/>
  <c r="F71" i="1" s="1"/>
  <c r="G74" i="1" l="1"/>
  <c r="I73" i="1"/>
  <c r="J72" i="1"/>
  <c r="E72" i="1" s="1"/>
  <c r="K72" i="1"/>
  <c r="F72" i="1" s="1"/>
  <c r="J73" i="1" l="1"/>
  <c r="E73" i="1" s="1"/>
  <c r="K73" i="1"/>
  <c r="F73" i="1" s="1"/>
  <c r="I74" i="1"/>
  <c r="G75" i="1"/>
  <c r="G76" i="1" l="1"/>
  <c r="I75" i="1"/>
  <c r="K74" i="1"/>
  <c r="F74" i="1" s="1"/>
  <c r="J74" i="1"/>
  <c r="E74" i="1" s="1"/>
  <c r="K75" i="1" l="1"/>
  <c r="F75" i="1" s="1"/>
  <c r="J75" i="1"/>
  <c r="E75" i="1" s="1"/>
  <c r="I76" i="1"/>
  <c r="G77" i="1"/>
  <c r="G78" i="1" l="1"/>
  <c r="I77" i="1"/>
  <c r="J76" i="1"/>
  <c r="E76" i="1" s="1"/>
  <c r="K76" i="1"/>
  <c r="F76" i="1" s="1"/>
  <c r="J77" i="1" l="1"/>
  <c r="E77" i="1" s="1"/>
  <c r="K77" i="1"/>
  <c r="F77" i="1" s="1"/>
  <c r="G79" i="1"/>
  <c r="I78" i="1"/>
  <c r="K78" i="1" l="1"/>
  <c r="F78" i="1" s="1"/>
  <c r="J78" i="1"/>
  <c r="E78" i="1" s="1"/>
  <c r="G80" i="1"/>
  <c r="I79" i="1"/>
  <c r="K79" i="1" l="1"/>
  <c r="F79" i="1" s="1"/>
  <c r="J79" i="1"/>
  <c r="E79" i="1" s="1"/>
  <c r="I80" i="1"/>
  <c r="G81" i="1"/>
  <c r="G82" i="1" l="1"/>
  <c r="I81" i="1"/>
  <c r="J80" i="1"/>
  <c r="E80" i="1" s="1"/>
  <c r="K80" i="1"/>
  <c r="F80" i="1" s="1"/>
  <c r="K81" i="1" l="1"/>
  <c r="F81" i="1" s="1"/>
  <c r="J81" i="1"/>
  <c r="E81" i="1" s="1"/>
  <c r="G83" i="1"/>
  <c r="I82" i="1"/>
  <c r="K82" i="1" l="1"/>
  <c r="F82" i="1" s="1"/>
  <c r="J82" i="1"/>
  <c r="E82" i="1" s="1"/>
  <c r="I83" i="1"/>
  <c r="G84" i="1"/>
  <c r="G85" i="1" l="1"/>
  <c r="I85" i="1" s="1"/>
  <c r="I84" i="1"/>
  <c r="J83" i="1"/>
  <c r="E83" i="1" s="1"/>
  <c r="K83" i="1"/>
  <c r="F83" i="1" s="1"/>
  <c r="J84" i="1" l="1"/>
  <c r="E84" i="1" s="1"/>
  <c r="K84" i="1"/>
  <c r="F84" i="1" s="1"/>
  <c r="J85" i="1"/>
  <c r="K85" i="1"/>
  <c r="E85" i="1" l="1"/>
  <c r="F85" i="1"/>
</calcChain>
</file>

<file path=xl/sharedStrings.xml><?xml version="1.0" encoding="utf-8"?>
<sst xmlns="http://schemas.openxmlformats.org/spreadsheetml/2006/main" count="141" uniqueCount="103">
  <si>
    <t>距離</t>
    <rPh sb="0" eb="2">
      <t>キョリ</t>
    </rPh>
    <phoneticPr fontId="1"/>
  </si>
  <si>
    <t>曲率半径</t>
    <rPh sb="0" eb="2">
      <t>キョクリツ</t>
    </rPh>
    <rPh sb="2" eb="4">
      <t>ハンケイ</t>
    </rPh>
    <phoneticPr fontId="1"/>
  </si>
  <si>
    <t>X座標</t>
    <rPh sb="1" eb="3">
      <t>ザヒョウ</t>
    </rPh>
    <phoneticPr fontId="1"/>
  </si>
  <si>
    <t>Y座標</t>
    <rPh sb="1" eb="3">
      <t>ザヒョウ</t>
    </rPh>
    <phoneticPr fontId="1"/>
  </si>
  <si>
    <t>積算角度</t>
    <rPh sb="0" eb="2">
      <t>セキサン</t>
    </rPh>
    <rPh sb="2" eb="4">
      <t>カクド</t>
    </rPh>
    <phoneticPr fontId="1"/>
  </si>
  <si>
    <t>角度変化</t>
    <rPh sb="0" eb="2">
      <t>カクド</t>
    </rPh>
    <rPh sb="2" eb="4">
      <t>ヘンカ</t>
    </rPh>
    <phoneticPr fontId="1"/>
  </si>
  <si>
    <t>角度差</t>
    <rPh sb="0" eb="2">
      <t>カクド</t>
    </rPh>
    <rPh sb="2" eb="3">
      <t>サ</t>
    </rPh>
    <phoneticPr fontId="1"/>
  </si>
  <si>
    <t>横変位</t>
    <rPh sb="0" eb="1">
      <t>ヨコ</t>
    </rPh>
    <rPh sb="1" eb="3">
      <t>ヘンイ</t>
    </rPh>
    <phoneticPr fontId="1"/>
  </si>
  <si>
    <t>縦変位</t>
    <rPh sb="0" eb="1">
      <t>タテ</t>
    </rPh>
    <rPh sb="1" eb="3">
      <t>ヘンイ</t>
    </rPh>
    <phoneticPr fontId="1"/>
  </si>
  <si>
    <t>L</t>
    <phoneticPr fontId="1"/>
  </si>
  <si>
    <t>m</t>
    <phoneticPr fontId="1"/>
  </si>
  <si>
    <t>ΔL</t>
    <phoneticPr fontId="1"/>
  </si>
  <si>
    <t>X</t>
    <phoneticPr fontId="1"/>
  </si>
  <si>
    <t>Y</t>
    <phoneticPr fontId="1"/>
  </si>
  <si>
    <t>θ</t>
    <phoneticPr fontId="1"/>
  </si>
  <si>
    <t>Φ</t>
    <phoneticPr fontId="1"/>
  </si>
  <si>
    <t>β</t>
    <phoneticPr fontId="1"/>
  </si>
  <si>
    <t>ΔX</t>
    <phoneticPr fontId="1"/>
  </si>
  <si>
    <t>ΔY</t>
    <phoneticPr fontId="1"/>
  </si>
  <si>
    <t>m</t>
    <phoneticPr fontId="1"/>
  </si>
  <si>
    <t>rad</t>
    <phoneticPr fontId="1"/>
  </si>
  <si>
    <t>m</t>
    <phoneticPr fontId="1"/>
  </si>
  <si>
    <t>m</t>
    <phoneticPr fontId="1"/>
  </si>
  <si>
    <t>最大横G</t>
    <rPh sb="0" eb="2">
      <t>サイダイ</t>
    </rPh>
    <rPh sb="2" eb="3">
      <t>ヨコ</t>
    </rPh>
    <phoneticPr fontId="1"/>
  </si>
  <si>
    <t>最大減速G</t>
    <rPh sb="0" eb="2">
      <t>サイダイ</t>
    </rPh>
    <rPh sb="2" eb="4">
      <t>ゲンソク</t>
    </rPh>
    <phoneticPr fontId="1"/>
  </si>
  <si>
    <t>最大加速G</t>
    <rPh sb="0" eb="2">
      <t>サイダイ</t>
    </rPh>
    <rPh sb="2" eb="4">
      <t>カソク</t>
    </rPh>
    <phoneticPr fontId="1"/>
  </si>
  <si>
    <t>出力補正</t>
    <rPh sb="0" eb="2">
      <t>シュツリョク</t>
    </rPh>
    <rPh sb="2" eb="4">
      <t>ホセイ</t>
    </rPh>
    <phoneticPr fontId="1"/>
  </si>
  <si>
    <t>横G抵抗</t>
    <rPh sb="0" eb="1">
      <t>ヨコ</t>
    </rPh>
    <rPh sb="2" eb="4">
      <t>テイコウ</t>
    </rPh>
    <phoneticPr fontId="1"/>
  </si>
  <si>
    <t>最高速度</t>
    <rPh sb="0" eb="2">
      <t>サイコウ</t>
    </rPh>
    <rPh sb="2" eb="4">
      <t>ソクド</t>
    </rPh>
    <phoneticPr fontId="1"/>
  </si>
  <si>
    <t>区間数</t>
    <rPh sb="0" eb="2">
      <t>クカン</t>
    </rPh>
    <rPh sb="2" eb="3">
      <t>スウ</t>
    </rPh>
    <phoneticPr fontId="1"/>
  </si>
  <si>
    <t>車両重量</t>
    <rPh sb="0" eb="2">
      <t>シャリョウ</t>
    </rPh>
    <rPh sb="2" eb="4">
      <t>ジュウリョウ</t>
    </rPh>
    <phoneticPr fontId="1"/>
  </si>
  <si>
    <t>走行抵抗(0 km/h)</t>
    <rPh sb="0" eb="2">
      <t>ソウコウ</t>
    </rPh>
    <rPh sb="2" eb="4">
      <t>テイコウ</t>
    </rPh>
    <phoneticPr fontId="1"/>
  </si>
  <si>
    <t>走行抵抗(180 km/h)</t>
    <rPh sb="0" eb="2">
      <t>ソウコウ</t>
    </rPh>
    <rPh sb="2" eb="4">
      <t>テイコウ</t>
    </rPh>
    <phoneticPr fontId="1"/>
  </si>
  <si>
    <t>走行抵抗係数</t>
    <rPh sb="0" eb="2">
      <t>ソウコウ</t>
    </rPh>
    <rPh sb="2" eb="4">
      <t>テイコウ</t>
    </rPh>
    <rPh sb="4" eb="6">
      <t>ケイスウ</t>
    </rPh>
    <phoneticPr fontId="1"/>
  </si>
  <si>
    <t>kg</t>
    <phoneticPr fontId="1"/>
  </si>
  <si>
    <t>kgf</t>
    <phoneticPr fontId="1"/>
  </si>
  <si>
    <t>kgf/(km/h)2</t>
    <phoneticPr fontId="1"/>
  </si>
  <si>
    <t>axmax</t>
    <phoneticPr fontId="1"/>
  </si>
  <si>
    <t>aydmax</t>
    <phoneticPr fontId="1"/>
  </si>
  <si>
    <t>ayamax</t>
    <phoneticPr fontId="1"/>
  </si>
  <si>
    <t>ke</t>
    <phoneticPr fontId="1"/>
  </si>
  <si>
    <t>kxg</t>
    <phoneticPr fontId="1"/>
  </si>
  <si>
    <t>Vmax</t>
    <phoneticPr fontId="1"/>
  </si>
  <si>
    <t>P</t>
    <phoneticPr fontId="1"/>
  </si>
  <si>
    <t>合計時間</t>
    <rPh sb="0" eb="2">
      <t>ゴウケイ</t>
    </rPh>
    <rPh sb="2" eb="4">
      <t>ジカン</t>
    </rPh>
    <phoneticPr fontId="1"/>
  </si>
  <si>
    <t>Accele Cal</t>
    <phoneticPr fontId="1"/>
  </si>
  <si>
    <t>Decele Cal</t>
    <phoneticPr fontId="1"/>
  </si>
  <si>
    <t>sec</t>
    <phoneticPr fontId="1"/>
  </si>
  <si>
    <t>横G速度</t>
    <rPh sb="0" eb="1">
      <t>ヨコ</t>
    </rPh>
    <rPh sb="2" eb="4">
      <t>ソクド</t>
    </rPh>
    <phoneticPr fontId="1"/>
  </si>
  <si>
    <t>速度</t>
    <rPh sb="0" eb="2">
      <t>ソクド</t>
    </rPh>
    <phoneticPr fontId="1"/>
  </si>
  <si>
    <t>速度増加</t>
    <rPh sb="0" eb="2">
      <t>ソクド</t>
    </rPh>
    <rPh sb="2" eb="4">
      <t>ゾウカ</t>
    </rPh>
    <phoneticPr fontId="1"/>
  </si>
  <si>
    <t>区間時間</t>
    <rPh sb="0" eb="2">
      <t>クカン</t>
    </rPh>
    <rPh sb="2" eb="4">
      <t>ジカン</t>
    </rPh>
    <phoneticPr fontId="1"/>
  </si>
  <si>
    <t>横G</t>
    <rPh sb="0" eb="1">
      <t>ヨコ</t>
    </rPh>
    <phoneticPr fontId="1"/>
  </si>
  <si>
    <t>前後G</t>
    <rPh sb="0" eb="2">
      <t>ゼンゴ</t>
    </rPh>
    <phoneticPr fontId="1"/>
  </si>
  <si>
    <t>タイヤ
使用率</t>
    <rPh sb="4" eb="6">
      <t>シヨウ</t>
    </rPh>
    <rPh sb="6" eb="7">
      <t>リツ</t>
    </rPh>
    <phoneticPr fontId="1"/>
  </si>
  <si>
    <t>ENG加速</t>
    <rPh sb="3" eb="5">
      <t>カソク</t>
    </rPh>
    <phoneticPr fontId="1"/>
  </si>
  <si>
    <t>タイヤ
使用率</t>
    <rPh sb="4" eb="7">
      <t>シヨウリツ</t>
    </rPh>
    <phoneticPr fontId="1"/>
  </si>
  <si>
    <t>計算速度</t>
    <rPh sb="0" eb="2">
      <t>ケイサン</t>
    </rPh>
    <rPh sb="2" eb="4">
      <t>ソクド</t>
    </rPh>
    <phoneticPr fontId="1"/>
  </si>
  <si>
    <t>時間</t>
    <rPh sb="0" eb="2">
      <t>ジカン</t>
    </rPh>
    <phoneticPr fontId="1"/>
  </si>
  <si>
    <t>減速計算</t>
    <rPh sb="0" eb="2">
      <t>ゲンソク</t>
    </rPh>
    <rPh sb="2" eb="4">
      <t>ケイサン</t>
    </rPh>
    <phoneticPr fontId="1"/>
  </si>
  <si>
    <t>加速計算</t>
    <rPh sb="0" eb="2">
      <t>カソク</t>
    </rPh>
    <rPh sb="2" eb="4">
      <t>ケイサン</t>
    </rPh>
    <phoneticPr fontId="1"/>
  </si>
  <si>
    <t>最終結果</t>
    <rPh sb="0" eb="2">
      <t>サイシュウ</t>
    </rPh>
    <rPh sb="2" eb="4">
      <t>ケッカ</t>
    </rPh>
    <phoneticPr fontId="1"/>
  </si>
  <si>
    <t>Vymax</t>
    <phoneticPr fontId="1"/>
  </si>
  <si>
    <t>m/s</t>
    <phoneticPr fontId="1"/>
  </si>
  <si>
    <t>V</t>
    <phoneticPr fontId="1"/>
  </si>
  <si>
    <t>m/s</t>
    <phoneticPr fontId="1"/>
  </si>
  <si>
    <t>dV</t>
    <phoneticPr fontId="1"/>
  </si>
  <si>
    <t>m/s</t>
    <phoneticPr fontId="1"/>
  </si>
  <si>
    <t>dT</t>
    <phoneticPr fontId="1"/>
  </si>
  <si>
    <t>sec</t>
    <phoneticPr fontId="1"/>
  </si>
  <si>
    <t>ax</t>
    <phoneticPr fontId="1"/>
  </si>
  <si>
    <t>m/s2</t>
    <phoneticPr fontId="1"/>
  </si>
  <si>
    <t>ay</t>
    <phoneticPr fontId="1"/>
  </si>
  <si>
    <t>m/s2</t>
    <phoneticPr fontId="1"/>
  </si>
  <si>
    <t>UT</t>
    <phoneticPr fontId="1"/>
  </si>
  <si>
    <t>-</t>
    <phoneticPr fontId="1"/>
  </si>
  <si>
    <t>ayemax</t>
    <phoneticPr fontId="1"/>
  </si>
  <si>
    <t>V</t>
    <phoneticPr fontId="1"/>
  </si>
  <si>
    <t>km/h</t>
    <phoneticPr fontId="1"/>
  </si>
  <si>
    <t>T</t>
    <phoneticPr fontId="1"/>
  </si>
  <si>
    <t>sec</t>
    <phoneticPr fontId="1"/>
  </si>
  <si>
    <t>m/s</t>
    <phoneticPr fontId="1"/>
  </si>
  <si>
    <t>回転数</t>
    <rPh sb="0" eb="2">
      <t>カイテン</t>
    </rPh>
    <rPh sb="2" eb="3">
      <t>スウ</t>
    </rPh>
    <phoneticPr fontId="1"/>
  </si>
  <si>
    <t>軸出力</t>
    <rPh sb="0" eb="1">
      <t>ジク</t>
    </rPh>
    <rPh sb="1" eb="3">
      <t>シュツリョク</t>
    </rPh>
    <phoneticPr fontId="1"/>
  </si>
  <si>
    <t>トルク</t>
    <phoneticPr fontId="1"/>
  </si>
  <si>
    <t>近似軸出力</t>
    <rPh sb="0" eb="2">
      <t>キンジ</t>
    </rPh>
    <rPh sb="2" eb="3">
      <t>ジク</t>
    </rPh>
    <rPh sb="3" eb="5">
      <t>シュツリョク</t>
    </rPh>
    <phoneticPr fontId="1"/>
  </si>
  <si>
    <t>DLR</t>
    <phoneticPr fontId="1"/>
  </si>
  <si>
    <t>⇐タイヤ動荷重半径</t>
    <rPh sb="4" eb="7">
      <t>ドウカジュウ</t>
    </rPh>
    <rPh sb="7" eb="9">
      <t>ハンケイ</t>
    </rPh>
    <phoneticPr fontId="1"/>
  </si>
  <si>
    <t>B</t>
    <phoneticPr fontId="1"/>
  </si>
  <si>
    <t>⇐ギア比</t>
    <rPh sb="3" eb="4">
      <t>ヒ</t>
    </rPh>
    <phoneticPr fontId="1"/>
  </si>
  <si>
    <t>ギア比</t>
    <rPh sb="2" eb="3">
      <t>ヒ</t>
    </rPh>
    <phoneticPr fontId="1"/>
  </si>
  <si>
    <t>回転数</t>
    <rPh sb="0" eb="3">
      <t>カイテンスウ</t>
    </rPh>
    <phoneticPr fontId="1"/>
  </si>
  <si>
    <t>駆動力</t>
    <rPh sb="0" eb="3">
      <t>クドウリョク</t>
    </rPh>
    <phoneticPr fontId="1"/>
  </si>
  <si>
    <t>補正駆動力</t>
    <rPh sb="0" eb="2">
      <t>ホセイ</t>
    </rPh>
    <rPh sb="2" eb="5">
      <t>クドウリョク</t>
    </rPh>
    <phoneticPr fontId="1"/>
  </si>
  <si>
    <t>走行抵抗</t>
    <rPh sb="0" eb="2">
      <t>ソウコウ</t>
    </rPh>
    <rPh sb="2" eb="4">
      <t>テイコウ</t>
    </rPh>
    <phoneticPr fontId="1"/>
  </si>
  <si>
    <t>加速度</t>
    <rPh sb="0" eb="3">
      <t>カソクド</t>
    </rPh>
    <phoneticPr fontId="1"/>
  </si>
  <si>
    <t>rpm</t>
    <phoneticPr fontId="1"/>
  </si>
  <si>
    <t>PS</t>
    <phoneticPr fontId="1"/>
  </si>
  <si>
    <t>kgf</t>
    <phoneticPr fontId="1"/>
  </si>
  <si>
    <t>kgf</t>
    <phoneticPr fontId="1"/>
  </si>
  <si>
    <t>kgf</t>
    <phoneticPr fontId="1"/>
  </si>
  <si>
    <t>m/sec2</t>
    <phoneticPr fontId="1"/>
  </si>
  <si>
    <t>m/sec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</si>
</sst>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00"/>
    <numFmt numFmtId="177" formatCode="0.0"/>
  </numFmts>
  <fonts count="2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3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  <xf numFmtId="176" fontId="0" fillId="0" borderId="1" xfId="0" applyNumberFormat="1" applyBorder="1">
      <alignment vertical="center"/>
    </xf>
    <xf numFmtId="176" fontId="0" fillId="2" borderId="1" xfId="0" applyNumberFormat="1" applyFill="1" applyBorder="1">
      <alignment vertical="center"/>
    </xf>
    <xf numFmtId="2" fontId="0" fillId="2" borderId="1" xfId="0" applyNumberFormat="1" applyFill="1" applyBorder="1">
      <alignment vertical="center"/>
    </xf>
    <xf numFmtId="2" fontId="0" fillId="0" borderId="1" xfId="0" applyNumberFormat="1" applyBorder="1">
      <alignment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  <xf numFmtId="177" fontId="0" fillId="0" borderId="1" xfId="0" applyNumberFormat="1" applyBorder="1">
      <alignment vertical="center"/>
    </xf>
    <xf numFmtId="0" fontId="0" fillId="0" borderId="1" xfId="0" applyBorder="1" applyAlignment="1">
      <alignment horizontal="center" vertical="center" wrapText="1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4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走行ライン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'Traveling Line'!$E$5:$E$85</c:f>
              <c:numCache>
                <c:formatCode>0.000</c:formatCode>
                <c:ptCount val="81"/>
                <c:pt idx="0">
                  <c:v>0</c:v>
                </c:pt>
                <c:pt idx="1">
                  <c:v>-1.4008380119401218</c:v>
                </c:pt>
                <c:pt idx="2">
                  <c:v>-2.8316542652521441</c:v>
                </c:pt>
                <c:pt idx="3">
                  <c:v>-4.2966651154122557</c:v>
                </c:pt>
                <c:pt idx="4">
                  <c:v>-5.8014789489672332</c:v>
                </c:pt>
                <c:pt idx="5">
                  <c:v>-7.7830974541284297</c:v>
                </c:pt>
                <c:pt idx="6">
                  <c:v>-10.212880315712063</c:v>
                </c:pt>
                <c:pt idx="7">
                  <c:v>-13.066549946544615</c:v>
                </c:pt>
                <c:pt idx="8">
                  <c:v>-16.315593422972576</c:v>
                </c:pt>
                <c:pt idx="9">
                  <c:v>-19.927547376570455</c:v>
                </c:pt>
                <c:pt idx="10">
                  <c:v>-23.866322357387144</c:v>
                </c:pt>
                <c:pt idx="11">
                  <c:v>-28.092563427800226</c:v>
                </c:pt>
                <c:pt idx="12">
                  <c:v>-32.564043384043693</c:v>
                </c:pt>
                <c:pt idx="13">
                  <c:v>-37.236084676469524</c:v>
                </c:pt>
                <c:pt idx="14">
                  <c:v>-42.062005812855318</c:v>
                </c:pt>
                <c:pt idx="15">
                  <c:v>-46.993587784443747</c:v>
                </c:pt>
                <c:pt idx="16">
                  <c:v>-51.960269265299686</c:v>
                </c:pt>
                <c:pt idx="17">
                  <c:v>-56.949317927307654</c:v>
                </c:pt>
                <c:pt idx="18">
                  <c:v>-61.948263747058945</c:v>
                </c:pt>
                <c:pt idx="19">
                  <c:v>-66.944611963404839</c:v>
                </c:pt>
                <c:pt idx="20">
                  <c:v>-71.925874307852325</c:v>
                </c:pt>
                <c:pt idx="21">
                  <c:v>-76.879600218731568</c:v>
                </c:pt>
                <c:pt idx="22">
                  <c:v>-81.793407961115946</c:v>
                </c:pt>
                <c:pt idx="23">
                  <c:v>-86.655015574711101</c:v>
                </c:pt>
                <c:pt idx="24">
                  <c:v>-91.452271572359351</c:v>
                </c:pt>
                <c:pt idx="25">
                  <c:v>-96.173185312429197</c:v>
                </c:pt>
                <c:pt idx="26">
                  <c:v>-100.80595696917482</c:v>
                </c:pt>
                <c:pt idx="27">
                  <c:v>-105.33900702615519</c:v>
                </c:pt>
                <c:pt idx="28">
                  <c:v>-109.76100521899468</c:v>
                </c:pt>
                <c:pt idx="29">
                  <c:v>-114.06089885514335</c:v>
                </c:pt>
                <c:pt idx="30">
                  <c:v>-118.22794043985213</c:v>
                </c:pt>
                <c:pt idx="31">
                  <c:v>-122.32602291878366</c:v>
                </c:pt>
                <c:pt idx="32">
                  <c:v>-126.35122388475101</c:v>
                </c:pt>
                <c:pt idx="33">
                  <c:v>-130.30102771817639</c:v>
                </c:pt>
                <c:pt idx="34">
                  <c:v>-134.17296592023555</c:v>
                </c:pt>
                <c:pt idx="35">
                  <c:v>-137.70174091043589</c:v>
                </c:pt>
                <c:pt idx="36">
                  <c:v>-140.85954241725941</c:v>
                </c:pt>
                <c:pt idx="37">
                  <c:v>-143.61481873188032</c:v>
                </c:pt>
                <c:pt idx="38">
                  <c:v>-145.94004004413623</c:v>
                </c:pt>
                <c:pt idx="39">
                  <c:v>-147.811973511291</c:v>
                </c:pt>
                <c:pt idx="40">
                  <c:v>-149.21191539291979</c:v>
                </c:pt>
                <c:pt idx="41">
                  <c:v>-150.12587793250063</c:v>
                </c:pt>
                <c:pt idx="42">
                  <c:v>-150.54472911845383</c:v>
                </c:pt>
                <c:pt idx="43">
                  <c:v>-150.46428392818319</c:v>
                </c:pt>
                <c:pt idx="44">
                  <c:v>-149.88534614343823</c:v>
                </c:pt>
                <c:pt idx="45">
                  <c:v>-148.81370031919272</c:v>
                </c:pt>
                <c:pt idx="46">
                  <c:v>-147.26005398628354</c:v>
                </c:pt>
                <c:pt idx="47">
                  <c:v>-145.2399306653019</c:v>
                </c:pt>
                <c:pt idx="48">
                  <c:v>-142.77351476070706</c:v>
                </c:pt>
                <c:pt idx="49">
                  <c:v>-139.88544988492905</c:v>
                </c:pt>
                <c:pt idx="50">
                  <c:v>-136.60459262753929</c:v>
                </c:pt>
                <c:pt idx="51">
                  <c:v>-132.96372422974642</c:v>
                </c:pt>
                <c:pt idx="52">
                  <c:v>-128.9992230450701</c:v>
                </c:pt>
                <c:pt idx="53">
                  <c:v>-124.75070105885774</c:v>
                </c:pt>
                <c:pt idx="54">
                  <c:v>-120.26060809842095</c:v>
                </c:pt>
                <c:pt idx="55">
                  <c:v>-115.57380768839299</c:v>
                </c:pt>
                <c:pt idx="56">
                  <c:v>-110.73712878922063</c:v>
                </c:pt>
                <c:pt idx="57">
                  <c:v>-105.79889789767093</c:v>
                </c:pt>
                <c:pt idx="58">
                  <c:v>-100.80845618445012</c:v>
                </c:pt>
                <c:pt idx="59">
                  <c:v>-95.815666493536028</c:v>
                </c:pt>
                <c:pt idx="60">
                  <c:v>-90.870415129123401</c:v>
                </c:pt>
                <c:pt idx="61">
                  <c:v>-86.022113408162696</c:v>
                </c:pt>
                <c:pt idx="62">
                  <c:v>-81.319203958814271</c:v>
                </c:pt>
                <c:pt idx="63">
                  <c:v>-76.808676697720841</c:v>
                </c:pt>
                <c:pt idx="64">
                  <c:v>-72.535599322293166</c:v>
                </c:pt>
                <c:pt idx="65">
                  <c:v>-68.542667009174949</c:v>
                </c:pt>
                <c:pt idx="66">
                  <c:v>-66.718834055020963</c:v>
                </c:pt>
                <c:pt idx="67">
                  <c:v>-64.211667365367845</c:v>
                </c:pt>
                <c:pt idx="68">
                  <c:v>-61.285388940055171</c:v>
                </c:pt>
                <c:pt idx="69">
                  <c:v>-57.969237185809618</c:v>
                </c:pt>
                <c:pt idx="70">
                  <c:v>-54.296345994785582</c:v>
                </c:pt>
                <c:pt idx="71">
                  <c:v>-50.303413681667365</c:v>
                </c:pt>
                <c:pt idx="72">
                  <c:v>-46.030336306239704</c:v>
                </c:pt>
                <c:pt idx="73">
                  <c:v>-41.519809045146282</c:v>
                </c:pt>
                <c:pt idx="74">
                  <c:v>-36.816899595797864</c:v>
                </c:pt>
                <c:pt idx="75">
                  <c:v>-31.968597874837162</c:v>
                </c:pt>
                <c:pt idx="76">
                  <c:v>-27.121951164295844</c:v>
                </c:pt>
                <c:pt idx="77">
                  <c:v>-22.282208566314338</c:v>
                </c:pt>
                <c:pt idx="78">
                  <c:v>-17.450412438658866</c:v>
                </c:pt>
                <c:pt idx="79">
                  <c:v>-12.627930403117546</c:v>
                </c:pt>
                <c:pt idx="80">
                  <c:v>-7.8166280568344213</c:v>
                </c:pt>
              </c:numCache>
            </c:numRef>
          </c:xVal>
          <c:yVal>
            <c:numRef>
              <c:f>'Traveling Line'!$F$5:$F$85</c:f>
              <c:numCache>
                <c:formatCode>0.000</c:formatCode>
                <c:ptCount val="81"/>
                <c:pt idx="0">
                  <c:v>0</c:v>
                </c:pt>
                <c:pt idx="1">
                  <c:v>-4.7997488021689785</c:v>
                </c:pt>
                <c:pt idx="2">
                  <c:v>-9.5906446963846612</c:v>
                </c:pt>
                <c:pt idx="3">
                  <c:v>-14.371192459615465</c:v>
                </c:pt>
                <c:pt idx="4">
                  <c:v>-19.139356744821463</c:v>
                </c:pt>
                <c:pt idx="5">
                  <c:v>-23.72764201383794</c:v>
                </c:pt>
                <c:pt idx="6">
                  <c:v>-28.095173222132317</c:v>
                </c:pt>
                <c:pt idx="7">
                  <c:v>-32.19831144158519</c:v>
                </c:pt>
                <c:pt idx="8">
                  <c:v>-35.996059471424957</c:v>
                </c:pt>
                <c:pt idx="9">
                  <c:v>-39.450471468706048</c:v>
                </c:pt>
                <c:pt idx="10">
                  <c:v>-42.527032090628424</c:v>
                </c:pt>
                <c:pt idx="11">
                  <c:v>-45.195001360433565</c:v>
                </c:pt>
                <c:pt idx="12">
                  <c:v>-47.427721811090969</c:v>
                </c:pt>
                <c:pt idx="13">
                  <c:v>-49.202884837896924</c:v>
                </c:pt>
                <c:pt idx="14">
                  <c:v>-50.502753598678467</c:v>
                </c:pt>
                <c:pt idx="15">
                  <c:v>-51.314340234457347</c:v>
                </c:pt>
                <c:pt idx="16">
                  <c:v>-51.886063216676042</c:v>
                </c:pt>
                <c:pt idx="17">
                  <c:v>-52.208841079595508</c:v>
                </c:pt>
                <c:pt idx="18">
                  <c:v>-52.281867046657908</c:v>
                </c:pt>
                <c:pt idx="19">
                  <c:v>-52.104958590976779</c:v>
                </c:pt>
                <c:pt idx="20">
                  <c:v>-51.678557891559173</c:v>
                </c:pt>
                <c:pt idx="21">
                  <c:v>-51.003730728088449</c:v>
                </c:pt>
                <c:pt idx="22">
                  <c:v>-50.082163817030086</c:v>
                </c:pt>
                <c:pt idx="23">
                  <c:v>-48.916160595718964</c:v>
                </c:pt>
                <c:pt idx="24">
                  <c:v>-47.508635464965622</c:v>
                </c:pt>
                <c:pt idx="25">
                  <c:v>-45.863106504572023</c:v>
                </c:pt>
                <c:pt idx="26">
                  <c:v>-43.983686679964237</c:v>
                </c:pt>
                <c:pt idx="27">
                  <c:v>-41.875073561920864</c:v>
                </c:pt>
                <c:pt idx="28">
                  <c:v>-39.542537585092525</c:v>
                </c:pt>
                <c:pt idx="29">
                  <c:v>-36.991908874660034</c:v>
                </c:pt>
                <c:pt idx="30">
                  <c:v>-34.229562674057718</c:v>
                </c:pt>
                <c:pt idx="31">
                  <c:v>-31.365227159551019</c:v>
                </c:pt>
                <c:pt idx="32">
                  <c:v>-28.399345313056529</c:v>
                </c:pt>
                <c:pt idx="33">
                  <c:v>-25.333770714184688</c:v>
                </c:pt>
                <c:pt idx="34">
                  <c:v>-22.170419247271031</c:v>
                </c:pt>
                <c:pt idx="35">
                  <c:v>-18.631080230108719</c:v>
                </c:pt>
                <c:pt idx="36">
                  <c:v>-14.757133501851609</c:v>
                </c:pt>
                <c:pt idx="37">
                  <c:v>-10.587286257651911</c:v>
                </c:pt>
                <c:pt idx="38">
                  <c:v>-6.1632022328054266</c:v>
                </c:pt>
                <c:pt idx="39">
                  <c:v>-1.5290854124806748</c:v>
                </c:pt>
                <c:pt idx="40">
                  <c:v>3.2687616398890178</c:v>
                </c:pt>
                <c:pt idx="41">
                  <c:v>8.1824004225137514</c:v>
                </c:pt>
                <c:pt idx="42">
                  <c:v>13.162735480910573</c:v>
                </c:pt>
                <c:pt idx="43">
                  <c:v>18.160004953455875</c:v>
                </c:pt>
                <c:pt idx="44">
                  <c:v>23.124277775457653</c:v>
                </c:pt>
                <c:pt idx="45">
                  <c:v>28.005952573848887</c:v>
                </c:pt>
                <c:pt idx="46">
                  <c:v>32.756253267711195</c:v>
                </c:pt>
                <c:pt idx="47">
                  <c:v>37.327716422752147</c:v>
                </c:pt>
                <c:pt idx="48">
                  <c:v>41.674665490251385</c:v>
                </c:pt>
                <c:pt idx="49">
                  <c:v>45.753667192036779</c:v>
                </c:pt>
                <c:pt idx="50">
                  <c:v>49.523965491442787</c:v>
                </c:pt>
                <c:pt idx="51">
                  <c:v>52.947888814156663</c:v>
                </c:pt>
                <c:pt idx="52">
                  <c:v>55.991226450136423</c:v>
                </c:pt>
                <c:pt idx="53">
                  <c:v>58.62357037571703</c:v>
                </c:pt>
                <c:pt idx="54">
                  <c:v>60.818619080531299</c:v>
                </c:pt>
                <c:pt idx="55">
                  <c:v>62.554440363507354</c:v>
                </c:pt>
                <c:pt idx="56">
                  <c:v>63.813690472171935</c:v>
                </c:pt>
                <c:pt idx="57">
                  <c:v>64.583787395691999</c:v>
                </c:pt>
                <c:pt idx="58">
                  <c:v>64.857036580167943</c:v>
                </c:pt>
                <c:pt idx="59">
                  <c:v>64.63070781007265</c:v>
                </c:pt>
                <c:pt idx="60">
                  <c:v>63.907062487662564</c:v>
                </c:pt>
                <c:pt idx="61">
                  <c:v>62.693331037793861</c:v>
                </c:pt>
                <c:pt idx="62">
                  <c:v>61.001640663907367</c:v>
                </c:pt>
                <c:pt idx="63">
                  <c:v>58.848894177020455</c:v>
                </c:pt>
                <c:pt idx="64">
                  <c:v>56.256601108426729</c:v>
                </c:pt>
                <c:pt idx="65">
                  <c:v>53.250662793569411</c:v>
                </c:pt>
                <c:pt idx="66">
                  <c:v>48.650975741468216</c:v>
                </c:pt>
                <c:pt idx="67">
                  <c:v>44.327402126949231</c:v>
                </c:pt>
                <c:pt idx="68">
                  <c:v>40.27572738834786</c:v>
                </c:pt>
                <c:pt idx="69">
                  <c:v>36.536434520346603</c:v>
                </c:pt>
                <c:pt idx="70">
                  <c:v>33.146885301236644</c:v>
                </c:pt>
                <c:pt idx="71">
                  <c:v>30.140946986379319</c:v>
                </c:pt>
                <c:pt idx="72">
                  <c:v>27.548653917785586</c:v>
                </c:pt>
                <c:pt idx="73">
                  <c:v>25.395907430898667</c:v>
                </c:pt>
                <c:pt idx="74">
                  <c:v>23.704217057012162</c:v>
                </c:pt>
                <c:pt idx="75">
                  <c:v>22.490485607143452</c:v>
                </c:pt>
                <c:pt idx="76">
                  <c:v>21.261679853611128</c:v>
                </c:pt>
                <c:pt idx="77">
                  <c:v>20.00596201711198</c:v>
                </c:pt>
                <c:pt idx="78">
                  <c:v>18.720013028727085</c:v>
                </c:pt>
                <c:pt idx="79">
                  <c:v>17.399573433554643</c:v>
                </c:pt>
                <c:pt idx="80">
                  <c:v>16.038976117291327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8010624"/>
        <c:axId val="2088014432"/>
      </c:scatterChart>
      <c:valAx>
        <c:axId val="20880106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088014432"/>
        <c:crosses val="autoZero"/>
        <c:crossBetween val="midCat"/>
      </c:valAx>
      <c:valAx>
        <c:axId val="2088014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0880106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2.5428331875182269E-2"/>
          <c:w val="0.59140328389183905"/>
          <c:h val="0.94914333624963543"/>
        </c:manualLayout>
      </c:layout>
      <c:scatterChart>
        <c:scatterStyle val="lineMarker"/>
        <c:varyColors val="0"/>
        <c:ser>
          <c:idx val="0"/>
          <c:order val="0"/>
          <c:tx>
            <c:strRef>
              <c:f>'ENG Calc'!$B$2</c:f>
              <c:strCache>
                <c:ptCount val="1"/>
                <c:pt idx="0">
                  <c:v>軸出力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5"/>
            <c:dispRSqr val="0"/>
            <c:dispEq val="1"/>
            <c:trendlineLbl>
              <c:layout>
                <c:manualLayout>
                  <c:x val="-5.7007385704693887E-2"/>
                  <c:y val="-3.6410383257066692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ja-JP"/>
                </a:p>
              </c:txPr>
            </c:trendlineLbl>
          </c:trendline>
          <c:xVal>
            <c:numRef>
              <c:f>'ENG Calc'!$A$3:$A$21</c:f>
              <c:numCache>
                <c:formatCode>General</c:formatCode>
                <c:ptCount val="19"/>
                <c:pt idx="0">
                  <c:v>0</c:v>
                </c:pt>
                <c:pt idx="1">
                  <c:v>500</c:v>
                </c:pt>
                <c:pt idx="2">
                  <c:v>1000</c:v>
                </c:pt>
                <c:pt idx="3">
                  <c:v>1500</c:v>
                </c:pt>
                <c:pt idx="4">
                  <c:v>2000</c:v>
                </c:pt>
                <c:pt idx="5">
                  <c:v>2500</c:v>
                </c:pt>
                <c:pt idx="6">
                  <c:v>3000</c:v>
                </c:pt>
                <c:pt idx="7">
                  <c:v>3500</c:v>
                </c:pt>
                <c:pt idx="8">
                  <c:v>4000</c:v>
                </c:pt>
                <c:pt idx="9">
                  <c:v>4500</c:v>
                </c:pt>
                <c:pt idx="10">
                  <c:v>5000</c:v>
                </c:pt>
                <c:pt idx="11">
                  <c:v>5500</c:v>
                </c:pt>
                <c:pt idx="12">
                  <c:v>6000</c:v>
                </c:pt>
                <c:pt idx="13">
                  <c:v>6500</c:v>
                </c:pt>
                <c:pt idx="14">
                  <c:v>7000</c:v>
                </c:pt>
                <c:pt idx="15">
                  <c:v>7500</c:v>
                </c:pt>
                <c:pt idx="16">
                  <c:v>8000</c:v>
                </c:pt>
                <c:pt idx="17">
                  <c:v>8500</c:v>
                </c:pt>
                <c:pt idx="18">
                  <c:v>9000</c:v>
                </c:pt>
              </c:numCache>
            </c:numRef>
          </c:xVal>
          <c:yVal>
            <c:numRef>
              <c:f>'ENG Calc'!$B$3:$B$21</c:f>
              <c:numCache>
                <c:formatCode>General</c:formatCode>
                <c:ptCount val="19"/>
                <c:pt idx="0">
                  <c:v>0</c:v>
                </c:pt>
                <c:pt idx="1">
                  <c:v>8</c:v>
                </c:pt>
                <c:pt idx="2">
                  <c:v>20</c:v>
                </c:pt>
                <c:pt idx="3">
                  <c:v>33</c:v>
                </c:pt>
                <c:pt idx="4">
                  <c:v>47</c:v>
                </c:pt>
                <c:pt idx="5">
                  <c:v>63</c:v>
                </c:pt>
                <c:pt idx="6">
                  <c:v>78</c:v>
                </c:pt>
                <c:pt idx="7">
                  <c:v>92</c:v>
                </c:pt>
                <c:pt idx="8">
                  <c:v>105</c:v>
                </c:pt>
                <c:pt idx="9">
                  <c:v>118</c:v>
                </c:pt>
                <c:pt idx="10">
                  <c:v>132</c:v>
                </c:pt>
                <c:pt idx="11">
                  <c:v>152</c:v>
                </c:pt>
                <c:pt idx="12">
                  <c:v>173</c:v>
                </c:pt>
                <c:pt idx="13">
                  <c:v>192</c:v>
                </c:pt>
                <c:pt idx="14">
                  <c:v>212</c:v>
                </c:pt>
                <c:pt idx="15">
                  <c:v>231</c:v>
                </c:pt>
                <c:pt idx="16">
                  <c:v>244</c:v>
                </c:pt>
                <c:pt idx="17">
                  <c:v>247</c:v>
                </c:pt>
                <c:pt idx="18">
                  <c:v>235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'ENG Calc'!$C$2</c:f>
              <c:strCache>
                <c:ptCount val="1"/>
                <c:pt idx="0">
                  <c:v>トルク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'ENG Calc'!$A$3:$A$21</c:f>
              <c:numCache>
                <c:formatCode>General</c:formatCode>
                <c:ptCount val="19"/>
                <c:pt idx="0">
                  <c:v>0</c:v>
                </c:pt>
                <c:pt idx="1">
                  <c:v>500</c:v>
                </c:pt>
                <c:pt idx="2">
                  <c:v>1000</c:v>
                </c:pt>
                <c:pt idx="3">
                  <c:v>1500</c:v>
                </c:pt>
                <c:pt idx="4">
                  <c:v>2000</c:v>
                </c:pt>
                <c:pt idx="5">
                  <c:v>2500</c:v>
                </c:pt>
                <c:pt idx="6">
                  <c:v>3000</c:v>
                </c:pt>
                <c:pt idx="7">
                  <c:v>3500</c:v>
                </c:pt>
                <c:pt idx="8">
                  <c:v>4000</c:v>
                </c:pt>
                <c:pt idx="9">
                  <c:v>4500</c:v>
                </c:pt>
                <c:pt idx="10">
                  <c:v>5000</c:v>
                </c:pt>
                <c:pt idx="11">
                  <c:v>5500</c:v>
                </c:pt>
                <c:pt idx="12">
                  <c:v>6000</c:v>
                </c:pt>
                <c:pt idx="13">
                  <c:v>6500</c:v>
                </c:pt>
                <c:pt idx="14">
                  <c:v>7000</c:v>
                </c:pt>
                <c:pt idx="15">
                  <c:v>7500</c:v>
                </c:pt>
                <c:pt idx="16">
                  <c:v>8000</c:v>
                </c:pt>
                <c:pt idx="17">
                  <c:v>8500</c:v>
                </c:pt>
                <c:pt idx="18">
                  <c:v>9000</c:v>
                </c:pt>
              </c:numCache>
            </c:numRef>
          </c:xVal>
          <c:yVal>
            <c:numRef>
              <c:f>'ENG Calc'!$C$3:$C$21</c:f>
              <c:numCache>
                <c:formatCode>0.0</c:formatCode>
                <c:ptCount val="19"/>
                <c:pt idx="1">
                  <c:v>11.5</c:v>
                </c:pt>
                <c:pt idx="2">
                  <c:v>14.3</c:v>
                </c:pt>
                <c:pt idx="3">
                  <c:v>15.8</c:v>
                </c:pt>
                <c:pt idx="4">
                  <c:v>16.8</c:v>
                </c:pt>
                <c:pt idx="5">
                  <c:v>18</c:v>
                </c:pt>
                <c:pt idx="6">
                  <c:v>18.600000000000001</c:v>
                </c:pt>
                <c:pt idx="7">
                  <c:v>18.8</c:v>
                </c:pt>
                <c:pt idx="8">
                  <c:v>18.8</c:v>
                </c:pt>
                <c:pt idx="9">
                  <c:v>18.8</c:v>
                </c:pt>
                <c:pt idx="10">
                  <c:v>18.899999999999999</c:v>
                </c:pt>
                <c:pt idx="11">
                  <c:v>19.8</c:v>
                </c:pt>
                <c:pt idx="12">
                  <c:v>20.7</c:v>
                </c:pt>
                <c:pt idx="13">
                  <c:v>21.2</c:v>
                </c:pt>
                <c:pt idx="14">
                  <c:v>21.7</c:v>
                </c:pt>
                <c:pt idx="15">
                  <c:v>22.1</c:v>
                </c:pt>
                <c:pt idx="16">
                  <c:v>21.8</c:v>
                </c:pt>
                <c:pt idx="17">
                  <c:v>20.8</c:v>
                </c:pt>
                <c:pt idx="18">
                  <c:v>18.7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680688"/>
        <c:axId val="219680144"/>
      </c:scatterChart>
      <c:valAx>
        <c:axId val="219680688"/>
        <c:scaling>
          <c:orientation val="minMax"/>
          <c:max val="9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9680144"/>
        <c:crosses val="autoZero"/>
        <c:crossBetween val="midCat"/>
      </c:valAx>
      <c:valAx>
        <c:axId val="219680144"/>
        <c:scaling>
          <c:orientation val="minMax"/>
          <c:max val="26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9680688"/>
        <c:crosses val="autoZero"/>
        <c:crossBetween val="midCat"/>
        <c:majorUnit val="20"/>
      </c:valAx>
      <c:spPr>
        <a:noFill/>
        <a:ln>
          <a:solidFill>
            <a:schemeClr val="tx1"/>
          </a:solidFill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445366</xdr:colOff>
      <xdr:row>3</xdr:row>
      <xdr:rowOff>33771</xdr:rowOff>
    </xdr:from>
    <xdr:to>
      <xdr:col>27</xdr:col>
      <xdr:colOff>501541</xdr:colOff>
      <xdr:row>36</xdr:row>
      <xdr:rowOff>23091</xdr:rowOff>
    </xdr:to>
    <xdr:graphicFrame macro="">
      <xdr:nvGraphicFramePr>
        <xdr:cNvPr id="4" name="グラフ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209550</xdr:colOff>
      <xdr:row>0</xdr:row>
      <xdr:rowOff>146050</xdr:rowOff>
    </xdr:from>
    <xdr:to>
      <xdr:col>11</xdr:col>
      <xdr:colOff>12700</xdr:colOff>
      <xdr:row>21</xdr:row>
      <xdr:rowOff>31750</xdr:rowOff>
    </xdr:to>
    <xdr:graphicFrame macro="">
      <xdr:nvGraphicFramePr>
        <xdr:cNvPr id="2" name="グラフ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K85"/>
  <sheetViews>
    <sheetView topLeftCell="B1" zoomScale="55" zoomScaleNormal="55" workbookViewId="0">
      <selection activeCell="O48" sqref="O48"/>
    </sheetView>
  </sheetViews>
  <sheetFormatPr defaultRowHeight="13" x14ac:dyDescent="0.2"/>
  <sheetData>
    <row r="2" spans="2:11" x14ac:dyDescent="0.2">
      <c r="B2" s="1" t="s">
        <v>0</v>
      </c>
      <c r="C2" s="8" t="s">
        <v>1</v>
      </c>
      <c r="D2" s="8" t="s">
        <v>0</v>
      </c>
      <c r="E2" s="1" t="s">
        <v>2</v>
      </c>
      <c r="F2" s="1" t="s">
        <v>3</v>
      </c>
      <c r="G2" s="1" t="s">
        <v>4</v>
      </c>
      <c r="H2" s="1" t="s">
        <v>5</v>
      </c>
      <c r="I2" s="1" t="s">
        <v>6</v>
      </c>
      <c r="J2" s="1" t="s">
        <v>7</v>
      </c>
      <c r="K2" s="1" t="s">
        <v>8</v>
      </c>
    </row>
    <row r="3" spans="2:11" x14ac:dyDescent="0.2">
      <c r="B3" s="1" t="s">
        <v>9</v>
      </c>
      <c r="C3" s="8" t="s">
        <v>10</v>
      </c>
      <c r="D3" s="8" t="s">
        <v>11</v>
      </c>
      <c r="E3" s="1" t="s">
        <v>12</v>
      </c>
      <c r="F3" s="1" t="s">
        <v>13</v>
      </c>
      <c r="G3" s="1" t="s">
        <v>14</v>
      </c>
      <c r="H3" s="1" t="s">
        <v>15</v>
      </c>
      <c r="I3" s="1" t="s">
        <v>16</v>
      </c>
      <c r="J3" s="1" t="s">
        <v>17</v>
      </c>
      <c r="K3" s="1" t="s">
        <v>18</v>
      </c>
    </row>
    <row r="4" spans="2:11" x14ac:dyDescent="0.2">
      <c r="B4" s="1" t="s">
        <v>19</v>
      </c>
      <c r="C4" s="8" t="s">
        <v>19</v>
      </c>
      <c r="D4" s="8" t="s">
        <v>19</v>
      </c>
      <c r="E4" s="1" t="s">
        <v>19</v>
      </c>
      <c r="F4" s="1" t="s">
        <v>19</v>
      </c>
      <c r="G4" s="1" t="s">
        <v>20</v>
      </c>
      <c r="H4" s="1" t="s">
        <v>20</v>
      </c>
      <c r="I4" s="1" t="s">
        <v>20</v>
      </c>
      <c r="J4" s="1" t="s">
        <v>21</v>
      </c>
      <c r="K4" s="1" t="s">
        <v>22</v>
      </c>
    </row>
    <row r="5" spans="2:11" x14ac:dyDescent="0.2">
      <c r="B5" s="2">
        <v>0</v>
      </c>
      <c r="C5" s="3">
        <v>1000</v>
      </c>
      <c r="D5" s="3">
        <v>0</v>
      </c>
      <c r="E5" s="5">
        <v>0</v>
      </c>
      <c r="F5" s="5">
        <v>0</v>
      </c>
      <c r="G5" s="6">
        <v>3.42</v>
      </c>
      <c r="H5" s="2">
        <f>D5/C5</f>
        <v>0</v>
      </c>
      <c r="I5" s="7">
        <f>G5+H5/C5</f>
        <v>3.42</v>
      </c>
      <c r="J5" s="4">
        <f>ABS(C5)*(2*(1-COS(H5)))^0.5*SIN(I5)</f>
        <v>0</v>
      </c>
      <c r="K5" s="4">
        <f>ABS(C5)*(2*(1-COS(H5)))^0.5*COS(I5)</f>
        <v>0</v>
      </c>
    </row>
    <row r="6" spans="2:11" x14ac:dyDescent="0.2">
      <c r="B6" s="2">
        <f>B5+D6</f>
        <v>5</v>
      </c>
      <c r="C6" s="3">
        <v>900</v>
      </c>
      <c r="D6" s="3">
        <v>5</v>
      </c>
      <c r="E6" s="4">
        <f>E5+J6</f>
        <v>-1.4008380119401218</v>
      </c>
      <c r="F6" s="4">
        <f>F5+K6</f>
        <v>-4.7997488021689785</v>
      </c>
      <c r="G6" s="7">
        <f>G5+H6</f>
        <v>3.4255555555555555</v>
      </c>
      <c r="H6" s="2">
        <f t="shared" ref="H6:H10" si="0">D6/C6</f>
        <v>5.5555555555555558E-3</v>
      </c>
      <c r="I6" s="7">
        <f t="shared" ref="I6:I10" si="1">G6+H6/C6</f>
        <v>3.4255617283950617</v>
      </c>
      <c r="J6" s="4">
        <f>ABS(C6)*(2*(1-COS(H6)))^0.5*SIN(I6)</f>
        <v>-1.4008380119401218</v>
      </c>
      <c r="K6" s="4">
        <f t="shared" ref="K6:K10" si="2">ABS(C6)*(2*(1-COS(H6)))^0.5*COS(I6)</f>
        <v>-4.7997488021689785</v>
      </c>
    </row>
    <row r="7" spans="2:11" x14ac:dyDescent="0.2">
      <c r="B7" s="2">
        <f t="shared" ref="B7:B10" si="3">B6+D7</f>
        <v>10</v>
      </c>
      <c r="C7" s="3">
        <v>800</v>
      </c>
      <c r="D7" s="3">
        <v>5</v>
      </c>
      <c r="E7" s="4">
        <f t="shared" ref="E7:F10" si="4">E6+J7</f>
        <v>-2.8316542652521441</v>
      </c>
      <c r="F7" s="4">
        <f t="shared" si="4"/>
        <v>-9.5906446963846612</v>
      </c>
      <c r="G7" s="7">
        <f t="shared" ref="G7:G10" si="5">G6+H7</f>
        <v>3.4318055555555556</v>
      </c>
      <c r="H7" s="2">
        <f t="shared" si="0"/>
        <v>6.2500000000000003E-3</v>
      </c>
      <c r="I7" s="7">
        <f t="shared" si="1"/>
        <v>3.4318133680555554</v>
      </c>
      <c r="J7" s="4">
        <f t="shared" ref="J7:J10" si="6">ABS(C7)*(2*(1-COS(H7)))^0.5*SIN(I7)</f>
        <v>-1.4308162533120221</v>
      </c>
      <c r="K7" s="4">
        <f t="shared" si="2"/>
        <v>-4.7908958942156827</v>
      </c>
    </row>
    <row r="8" spans="2:11" x14ac:dyDescent="0.2">
      <c r="B8" s="2">
        <f t="shared" si="3"/>
        <v>15</v>
      </c>
      <c r="C8" s="3">
        <v>700</v>
      </c>
      <c r="D8" s="3">
        <v>5</v>
      </c>
      <c r="E8" s="4">
        <f t="shared" si="4"/>
        <v>-4.2966651154122557</v>
      </c>
      <c r="F8" s="4">
        <f t="shared" si="4"/>
        <v>-14.371192459615465</v>
      </c>
      <c r="G8" s="7">
        <f t="shared" si="5"/>
        <v>3.4389484126984127</v>
      </c>
      <c r="H8" s="2">
        <f t="shared" si="0"/>
        <v>7.1428571428571426E-3</v>
      </c>
      <c r="I8" s="7">
        <f t="shared" si="1"/>
        <v>3.4389586167800452</v>
      </c>
      <c r="J8" s="4">
        <f t="shared" si="6"/>
        <v>-1.4650108501601118</v>
      </c>
      <c r="K8" s="4">
        <f t="shared" si="2"/>
        <v>-4.7805477632308042</v>
      </c>
    </row>
    <row r="9" spans="2:11" x14ac:dyDescent="0.2">
      <c r="B9" s="2">
        <f t="shared" si="3"/>
        <v>20</v>
      </c>
      <c r="C9" s="3">
        <v>600</v>
      </c>
      <c r="D9" s="3">
        <v>5</v>
      </c>
      <c r="E9" s="4">
        <f t="shared" si="4"/>
        <v>-5.8014789489672332</v>
      </c>
      <c r="F9" s="4">
        <f t="shared" si="4"/>
        <v>-19.139356744821463</v>
      </c>
      <c r="G9" s="7">
        <f t="shared" si="5"/>
        <v>3.447281746031746</v>
      </c>
      <c r="H9" s="2">
        <f t="shared" si="0"/>
        <v>8.3333333333333332E-3</v>
      </c>
      <c r="I9" s="7">
        <f t="shared" si="1"/>
        <v>3.4472956349206347</v>
      </c>
      <c r="J9" s="4">
        <f t="shared" si="6"/>
        <v>-1.504813833554977</v>
      </c>
      <c r="K9" s="4">
        <f t="shared" si="2"/>
        <v>-4.7681642852059962</v>
      </c>
    </row>
    <row r="10" spans="2:11" x14ac:dyDescent="0.2">
      <c r="B10" s="2">
        <f t="shared" si="3"/>
        <v>25</v>
      </c>
      <c r="C10" s="3">
        <v>50</v>
      </c>
      <c r="D10" s="3">
        <v>5</v>
      </c>
      <c r="E10" s="4">
        <f t="shared" si="4"/>
        <v>-7.7830974541284297</v>
      </c>
      <c r="F10" s="4">
        <f t="shared" si="4"/>
        <v>-23.72764201383794</v>
      </c>
      <c r="G10" s="7">
        <f t="shared" si="5"/>
        <v>3.5472817460317461</v>
      </c>
      <c r="H10" s="2">
        <f t="shared" si="0"/>
        <v>0.1</v>
      </c>
      <c r="I10" s="7">
        <f t="shared" si="1"/>
        <v>3.5492817460317458</v>
      </c>
      <c r="J10" s="4">
        <f t="shared" si="6"/>
        <v>-1.9816185051611968</v>
      </c>
      <c r="K10" s="4">
        <f t="shared" si="2"/>
        <v>-4.5882852690164766</v>
      </c>
    </row>
    <row r="11" spans="2:11" x14ac:dyDescent="0.2">
      <c r="B11" s="2">
        <f t="shared" ref="B11:B25" si="7">B10+D11</f>
        <v>30</v>
      </c>
      <c r="C11" s="3">
        <v>50</v>
      </c>
      <c r="D11" s="3">
        <v>5</v>
      </c>
      <c r="E11" s="4">
        <f t="shared" ref="E11:E25" si="8">E10+J11</f>
        <v>-10.212880315712063</v>
      </c>
      <c r="F11" s="4">
        <f t="shared" ref="F11:F25" si="9">F10+K11</f>
        <v>-28.095173222132317</v>
      </c>
      <c r="G11" s="7">
        <f t="shared" ref="G11:G25" si="10">G10+H11</f>
        <v>3.6472817460317462</v>
      </c>
      <c r="H11" s="2">
        <f t="shared" ref="H11:H25" si="11">D11/C11</f>
        <v>0.1</v>
      </c>
      <c r="I11" s="7">
        <f t="shared" ref="I11:I25" si="12">G11+H11/C11</f>
        <v>3.6492817460317459</v>
      </c>
      <c r="J11" s="4">
        <f t="shared" ref="J11:J25" si="13">ABS(C11)*(2*(1-COS(H11)))^0.5*SIN(I11)</f>
        <v>-2.4297828615836323</v>
      </c>
      <c r="K11" s="4">
        <f t="shared" ref="K11:K25" si="14">ABS(C11)*(2*(1-COS(H11)))^0.5*COS(I11)</f>
        <v>-4.3675312082943787</v>
      </c>
    </row>
    <row r="12" spans="2:11" x14ac:dyDescent="0.2">
      <c r="B12" s="2">
        <f t="shared" si="7"/>
        <v>35</v>
      </c>
      <c r="C12" s="3">
        <v>50</v>
      </c>
      <c r="D12" s="3">
        <v>5</v>
      </c>
      <c r="E12" s="4">
        <f t="shared" si="8"/>
        <v>-13.066549946544615</v>
      </c>
      <c r="F12" s="4">
        <f t="shared" si="9"/>
        <v>-32.19831144158519</v>
      </c>
      <c r="G12" s="7">
        <f t="shared" si="10"/>
        <v>3.7472817460317462</v>
      </c>
      <c r="H12" s="2">
        <f t="shared" si="11"/>
        <v>0.1</v>
      </c>
      <c r="I12" s="7">
        <f t="shared" si="12"/>
        <v>3.749281746031746</v>
      </c>
      <c r="J12" s="4">
        <f t="shared" si="13"/>
        <v>-2.8536696308325524</v>
      </c>
      <c r="K12" s="4">
        <f t="shared" si="14"/>
        <v>-4.103138219452874</v>
      </c>
    </row>
    <row r="13" spans="2:11" x14ac:dyDescent="0.2">
      <c r="B13" s="2">
        <f t="shared" si="7"/>
        <v>40</v>
      </c>
      <c r="C13" s="3">
        <v>50</v>
      </c>
      <c r="D13" s="3">
        <v>5</v>
      </c>
      <c r="E13" s="4">
        <f t="shared" si="8"/>
        <v>-16.315593422972576</v>
      </c>
      <c r="F13" s="4">
        <f t="shared" si="9"/>
        <v>-35.996059471424957</v>
      </c>
      <c r="G13" s="7">
        <f t="shared" si="10"/>
        <v>3.8472817460317463</v>
      </c>
      <c r="H13" s="2">
        <f t="shared" si="11"/>
        <v>0.1</v>
      </c>
      <c r="I13" s="7">
        <f t="shared" si="12"/>
        <v>3.8492817460317461</v>
      </c>
      <c r="J13" s="4">
        <f t="shared" si="13"/>
        <v>-3.2490434764279597</v>
      </c>
      <c r="K13" s="4">
        <f t="shared" si="14"/>
        <v>-3.7977480298397652</v>
      </c>
    </row>
    <row r="14" spans="2:11" x14ac:dyDescent="0.2">
      <c r="B14" s="2">
        <f t="shared" si="7"/>
        <v>45</v>
      </c>
      <c r="C14" s="3">
        <v>50</v>
      </c>
      <c r="D14" s="3">
        <v>5</v>
      </c>
      <c r="E14" s="4">
        <f t="shared" si="8"/>
        <v>-19.927547376570455</v>
      </c>
      <c r="F14" s="4">
        <f t="shared" si="9"/>
        <v>-39.450471468706048</v>
      </c>
      <c r="G14" s="7">
        <f t="shared" si="10"/>
        <v>3.9472817460317464</v>
      </c>
      <c r="H14" s="2">
        <f t="shared" si="11"/>
        <v>0.1</v>
      </c>
      <c r="I14" s="7">
        <f t="shared" si="12"/>
        <v>3.9492817460317462</v>
      </c>
      <c r="J14" s="4">
        <f t="shared" si="13"/>
        <v>-3.6119539535978809</v>
      </c>
      <c r="K14" s="4">
        <f t="shared" si="14"/>
        <v>-3.4544119972810909</v>
      </c>
    </row>
    <row r="15" spans="2:11" x14ac:dyDescent="0.2">
      <c r="B15" s="2">
        <f t="shared" si="7"/>
        <v>50</v>
      </c>
      <c r="C15" s="3">
        <v>50</v>
      </c>
      <c r="D15" s="3">
        <v>5</v>
      </c>
      <c r="E15" s="4">
        <f t="shared" si="8"/>
        <v>-23.866322357387144</v>
      </c>
      <c r="F15" s="4">
        <f t="shared" si="9"/>
        <v>-42.527032090628424</v>
      </c>
      <c r="G15" s="7">
        <f t="shared" si="10"/>
        <v>4.0472817460317465</v>
      </c>
      <c r="H15" s="2">
        <f t="shared" si="11"/>
        <v>0.1</v>
      </c>
      <c r="I15" s="7">
        <f t="shared" si="12"/>
        <v>4.0492817460317463</v>
      </c>
      <c r="J15" s="4">
        <f t="shared" si="13"/>
        <v>-3.9387749808166901</v>
      </c>
      <c r="K15" s="4">
        <f t="shared" si="14"/>
        <v>-3.0765606219223733</v>
      </c>
    </row>
    <row r="16" spans="2:11" x14ac:dyDescent="0.2">
      <c r="B16" s="2">
        <f t="shared" si="7"/>
        <v>55</v>
      </c>
      <c r="C16" s="3">
        <v>50</v>
      </c>
      <c r="D16" s="3">
        <v>5</v>
      </c>
      <c r="E16" s="4">
        <f t="shared" si="8"/>
        <v>-28.092563427800226</v>
      </c>
      <c r="F16" s="4">
        <f t="shared" si="9"/>
        <v>-45.195001360433565</v>
      </c>
      <c r="G16" s="7">
        <f t="shared" si="10"/>
        <v>4.1472817460317462</v>
      </c>
      <c r="H16" s="2">
        <f t="shared" si="11"/>
        <v>0.1</v>
      </c>
      <c r="I16" s="7">
        <f t="shared" si="12"/>
        <v>4.1492817460317459</v>
      </c>
      <c r="J16" s="4">
        <f t="shared" si="13"/>
        <v>-4.2262410704130824</v>
      </c>
      <c r="K16" s="4">
        <f t="shared" si="14"/>
        <v>-2.6679692698051412</v>
      </c>
    </row>
    <row r="17" spans="2:11" x14ac:dyDescent="0.2">
      <c r="B17" s="2">
        <f t="shared" si="7"/>
        <v>60</v>
      </c>
      <c r="C17" s="3">
        <v>50</v>
      </c>
      <c r="D17" s="3">
        <v>5</v>
      </c>
      <c r="E17" s="4">
        <f t="shared" si="8"/>
        <v>-32.564043384043693</v>
      </c>
      <c r="F17" s="4">
        <f t="shared" si="9"/>
        <v>-47.427721811090969</v>
      </c>
      <c r="G17" s="7">
        <f t="shared" si="10"/>
        <v>4.2472817460317458</v>
      </c>
      <c r="H17" s="2">
        <f t="shared" si="11"/>
        <v>0.1</v>
      </c>
      <c r="I17" s="7">
        <f t="shared" si="12"/>
        <v>4.2492817460317456</v>
      </c>
      <c r="J17" s="4">
        <f t="shared" si="13"/>
        <v>-4.4714799562434688</v>
      </c>
      <c r="K17" s="4">
        <f t="shared" si="14"/>
        <v>-2.2327204506574039</v>
      </c>
    </row>
    <row r="18" spans="2:11" x14ac:dyDescent="0.2">
      <c r="B18" s="2">
        <f t="shared" si="7"/>
        <v>65</v>
      </c>
      <c r="C18" s="3">
        <v>50</v>
      </c>
      <c r="D18" s="3">
        <v>5</v>
      </c>
      <c r="E18" s="4">
        <f t="shared" si="8"/>
        <v>-37.236084676469524</v>
      </c>
      <c r="F18" s="4">
        <f t="shared" si="9"/>
        <v>-49.202884837896924</v>
      </c>
      <c r="G18" s="7">
        <f t="shared" si="10"/>
        <v>4.3472817460317454</v>
      </c>
      <c r="H18" s="2">
        <f t="shared" si="11"/>
        <v>0.1</v>
      </c>
      <c r="I18" s="7">
        <f t="shared" si="12"/>
        <v>4.3492817460317452</v>
      </c>
      <c r="J18" s="4">
        <f t="shared" si="13"/>
        <v>-4.6720412924258303</v>
      </c>
      <c r="K18" s="4">
        <f t="shared" si="14"/>
        <v>-1.7751630268059542</v>
      </c>
    </row>
    <row r="19" spans="2:11" x14ac:dyDescent="0.2">
      <c r="B19" s="2">
        <f t="shared" si="7"/>
        <v>70</v>
      </c>
      <c r="C19" s="3">
        <v>50</v>
      </c>
      <c r="D19" s="3">
        <v>5</v>
      </c>
      <c r="E19" s="4">
        <f t="shared" si="8"/>
        <v>-42.062005812855318</v>
      </c>
      <c r="F19" s="4">
        <f t="shared" si="9"/>
        <v>-50.502753598678467</v>
      </c>
      <c r="G19" s="7">
        <f t="shared" si="10"/>
        <v>4.4472817460317451</v>
      </c>
      <c r="H19" s="2">
        <f t="shared" si="11"/>
        <v>0.1</v>
      </c>
      <c r="I19" s="7">
        <f t="shared" si="12"/>
        <v>4.4492817460317449</v>
      </c>
      <c r="J19" s="4">
        <f t="shared" si="13"/>
        <v>-4.8259211363857943</v>
      </c>
      <c r="K19" s="4">
        <f t="shared" si="14"/>
        <v>-1.2998687607815405</v>
      </c>
    </row>
    <row r="20" spans="2:11" x14ac:dyDescent="0.2">
      <c r="B20" s="2">
        <f t="shared" si="7"/>
        <v>75</v>
      </c>
      <c r="C20" s="3">
        <v>50</v>
      </c>
      <c r="D20" s="3">
        <v>5</v>
      </c>
      <c r="E20" s="4">
        <f t="shared" si="8"/>
        <v>-46.993587784443747</v>
      </c>
      <c r="F20" s="4">
        <f t="shared" si="9"/>
        <v>-51.314340234457347</v>
      </c>
      <c r="G20" s="7">
        <f t="shared" si="10"/>
        <v>4.5472817460317447</v>
      </c>
      <c r="H20" s="2">
        <f t="shared" si="11"/>
        <v>0.1</v>
      </c>
      <c r="I20" s="7">
        <f t="shared" si="12"/>
        <v>4.5492817460317445</v>
      </c>
      <c r="J20" s="4">
        <f t="shared" si="13"/>
        <v>-4.9315819715884288</v>
      </c>
      <c r="K20" s="4">
        <f t="shared" si="14"/>
        <v>-0.81158663577888268</v>
      </c>
    </row>
    <row r="21" spans="2:11" x14ac:dyDescent="0.2">
      <c r="B21" s="2">
        <f t="shared" si="7"/>
        <v>80</v>
      </c>
      <c r="C21" s="3">
        <v>100</v>
      </c>
      <c r="D21" s="3">
        <v>5</v>
      </c>
      <c r="E21" s="4">
        <f t="shared" si="8"/>
        <v>-51.960269265299686</v>
      </c>
      <c r="F21" s="4">
        <f t="shared" si="9"/>
        <v>-51.886063216676042</v>
      </c>
      <c r="G21" s="7">
        <f t="shared" si="10"/>
        <v>4.5972817460317446</v>
      </c>
      <c r="H21" s="2">
        <f t="shared" si="11"/>
        <v>0.05</v>
      </c>
      <c r="I21" s="7">
        <f t="shared" si="12"/>
        <v>4.5977817460317443</v>
      </c>
      <c r="J21" s="4">
        <f t="shared" si="13"/>
        <v>-4.9666814808559359</v>
      </c>
      <c r="K21" s="4">
        <f t="shared" si="14"/>
        <v>-0.57172298221869389</v>
      </c>
    </row>
    <row r="22" spans="2:11" x14ac:dyDescent="0.2">
      <c r="B22" s="2">
        <f t="shared" si="7"/>
        <v>85</v>
      </c>
      <c r="C22" s="3">
        <v>100</v>
      </c>
      <c r="D22" s="3">
        <v>5</v>
      </c>
      <c r="E22" s="4">
        <f t="shared" si="8"/>
        <v>-56.949317927307654</v>
      </c>
      <c r="F22" s="4">
        <f t="shared" si="9"/>
        <v>-52.208841079595508</v>
      </c>
      <c r="G22" s="7">
        <f t="shared" si="10"/>
        <v>4.6472817460317444</v>
      </c>
      <c r="H22" s="2">
        <f t="shared" si="11"/>
        <v>0.05</v>
      </c>
      <c r="I22" s="7">
        <f t="shared" si="12"/>
        <v>4.6477817460317441</v>
      </c>
      <c r="J22" s="4">
        <f t="shared" si="13"/>
        <v>-4.989048662007967</v>
      </c>
      <c r="K22" s="4">
        <f t="shared" si="14"/>
        <v>-0.32277786291946592</v>
      </c>
    </row>
    <row r="23" spans="2:11" x14ac:dyDescent="0.2">
      <c r="B23" s="2">
        <f t="shared" si="7"/>
        <v>90</v>
      </c>
      <c r="C23" s="3">
        <v>100</v>
      </c>
      <c r="D23" s="3">
        <v>5</v>
      </c>
      <c r="E23" s="4">
        <f t="shared" si="8"/>
        <v>-61.948263747058945</v>
      </c>
      <c r="F23" s="4">
        <f t="shared" si="9"/>
        <v>-52.281867046657908</v>
      </c>
      <c r="G23" s="7">
        <f t="shared" si="10"/>
        <v>4.6972817460317442</v>
      </c>
      <c r="H23" s="2">
        <f t="shared" si="11"/>
        <v>0.05</v>
      </c>
      <c r="I23" s="7">
        <f t="shared" si="12"/>
        <v>4.6977817460317439</v>
      </c>
      <c r="J23" s="4">
        <f t="shared" si="13"/>
        <v>-4.9989458197512953</v>
      </c>
      <c r="K23" s="4">
        <f t="shared" si="14"/>
        <v>-7.302596706240079E-2</v>
      </c>
    </row>
    <row r="24" spans="2:11" x14ac:dyDescent="0.2">
      <c r="B24" s="2">
        <f t="shared" si="7"/>
        <v>95</v>
      </c>
      <c r="C24" s="3">
        <v>100</v>
      </c>
      <c r="D24" s="3">
        <v>5</v>
      </c>
      <c r="E24" s="4">
        <f t="shared" si="8"/>
        <v>-66.944611963404839</v>
      </c>
      <c r="F24" s="4">
        <f t="shared" si="9"/>
        <v>-52.104958590976779</v>
      </c>
      <c r="G24" s="7">
        <f t="shared" si="10"/>
        <v>4.747281746031744</v>
      </c>
      <c r="H24" s="2">
        <f t="shared" si="11"/>
        <v>0.05</v>
      </c>
      <c r="I24" s="7">
        <f t="shared" si="12"/>
        <v>4.7477817460317437</v>
      </c>
      <c r="J24" s="4">
        <f t="shared" si="13"/>
        <v>-4.9963482163459005</v>
      </c>
      <c r="K24" s="4">
        <f t="shared" si="14"/>
        <v>0.17690845568113192</v>
      </c>
    </row>
    <row r="25" spans="2:11" x14ac:dyDescent="0.2">
      <c r="B25" s="2">
        <f t="shared" si="7"/>
        <v>100</v>
      </c>
      <c r="C25" s="3">
        <v>100</v>
      </c>
      <c r="D25" s="3">
        <v>5</v>
      </c>
      <c r="E25" s="4">
        <f t="shared" si="8"/>
        <v>-71.925874307852325</v>
      </c>
      <c r="F25" s="4">
        <f t="shared" si="9"/>
        <v>-51.678557891559173</v>
      </c>
      <c r="G25" s="7">
        <f t="shared" si="10"/>
        <v>4.7972817460317438</v>
      </c>
      <c r="H25" s="2">
        <f t="shared" si="11"/>
        <v>0.05</v>
      </c>
      <c r="I25" s="7">
        <f t="shared" si="12"/>
        <v>4.7977817460317436</v>
      </c>
      <c r="J25" s="4">
        <f t="shared" si="13"/>
        <v>-4.9812623444474919</v>
      </c>
      <c r="K25" s="4">
        <f t="shared" si="14"/>
        <v>0.42640069941760445</v>
      </c>
    </row>
    <row r="26" spans="2:11" x14ac:dyDescent="0.2">
      <c r="B26" s="2">
        <f t="shared" ref="B26:B85" si="15">B25+D26</f>
        <v>105</v>
      </c>
      <c r="C26" s="3">
        <v>100</v>
      </c>
      <c r="D26" s="3">
        <v>5</v>
      </c>
      <c r="E26" s="4">
        <f t="shared" ref="E26:E85" si="16">E25+J26</f>
        <v>-76.879600218731568</v>
      </c>
      <c r="F26" s="4">
        <f t="shared" ref="F26:F85" si="17">F25+K26</f>
        <v>-51.003730728088449</v>
      </c>
      <c r="G26" s="7">
        <f t="shared" ref="G26:G85" si="18">G25+H26</f>
        <v>4.8472817460317437</v>
      </c>
      <c r="H26" s="2">
        <f t="shared" ref="H26:H85" si="19">D26/C26</f>
        <v>0.05</v>
      </c>
      <c r="I26" s="7">
        <f t="shared" ref="I26:I85" si="20">G26+H26/C26</f>
        <v>4.8477817460317434</v>
      </c>
      <c r="J26" s="4">
        <f t="shared" ref="J26:J85" si="21">ABS(C26)*(2*(1-COS(H26)))^0.5*SIN(I26)</f>
        <v>-4.9537259108792444</v>
      </c>
      <c r="K26" s="4">
        <f t="shared" ref="K26:K85" si="22">ABS(C26)*(2*(1-COS(H26)))^0.5*COS(I26)</f>
        <v>0.67482716347072436</v>
      </c>
    </row>
    <row r="27" spans="2:11" x14ac:dyDescent="0.2">
      <c r="B27" s="2">
        <f t="shared" si="15"/>
        <v>110</v>
      </c>
      <c r="C27" s="3">
        <v>100</v>
      </c>
      <c r="D27" s="3">
        <v>5</v>
      </c>
      <c r="E27" s="4">
        <f t="shared" si="16"/>
        <v>-81.793407961115946</v>
      </c>
      <c r="F27" s="4">
        <f t="shared" si="17"/>
        <v>-50.082163817030086</v>
      </c>
      <c r="G27" s="7">
        <f t="shared" si="18"/>
        <v>4.8972817460317435</v>
      </c>
      <c r="H27" s="2">
        <f t="shared" si="19"/>
        <v>0.05</v>
      </c>
      <c r="I27" s="7">
        <f t="shared" si="20"/>
        <v>4.8977817460317432</v>
      </c>
      <c r="J27" s="4">
        <f t="shared" si="21"/>
        <v>-4.9138077423843818</v>
      </c>
      <c r="K27" s="4">
        <f t="shared" si="22"/>
        <v>0.92156691105836064</v>
      </c>
    </row>
    <row r="28" spans="2:11" x14ac:dyDescent="0.2">
      <c r="B28" s="2">
        <f t="shared" si="15"/>
        <v>115</v>
      </c>
      <c r="C28" s="3">
        <v>100</v>
      </c>
      <c r="D28" s="3">
        <v>5</v>
      </c>
      <c r="E28" s="4">
        <f t="shared" si="16"/>
        <v>-86.655015574711101</v>
      </c>
      <c r="F28" s="4">
        <f t="shared" si="17"/>
        <v>-48.916160595718964</v>
      </c>
      <c r="G28" s="7">
        <f t="shared" si="18"/>
        <v>4.9472817460317433</v>
      </c>
      <c r="H28" s="2">
        <f t="shared" si="19"/>
        <v>0.05</v>
      </c>
      <c r="I28" s="7">
        <f t="shared" si="20"/>
        <v>4.947781746031743</v>
      </c>
      <c r="J28" s="4">
        <f t="shared" si="21"/>
        <v>-4.8616076135951607</v>
      </c>
      <c r="K28" s="4">
        <f t="shared" si="22"/>
        <v>1.1660032213111202</v>
      </c>
    </row>
    <row r="29" spans="2:11" x14ac:dyDescent="0.2">
      <c r="B29" s="2">
        <f t="shared" si="15"/>
        <v>120</v>
      </c>
      <c r="C29" s="3">
        <v>100</v>
      </c>
      <c r="D29" s="3">
        <v>5</v>
      </c>
      <c r="E29" s="4">
        <f t="shared" si="16"/>
        <v>-91.452271572359351</v>
      </c>
      <c r="F29" s="4">
        <f t="shared" si="17"/>
        <v>-47.508635464965622</v>
      </c>
      <c r="G29" s="7">
        <f t="shared" si="18"/>
        <v>4.9972817460317431</v>
      </c>
      <c r="H29" s="2">
        <f t="shared" si="19"/>
        <v>0.05</v>
      </c>
      <c r="I29" s="7">
        <f t="shared" si="20"/>
        <v>4.9977817460317429</v>
      </c>
      <c r="J29" s="4">
        <f t="shared" si="21"/>
        <v>-4.7972559976482527</v>
      </c>
      <c r="K29" s="4">
        <f t="shared" si="22"/>
        <v>1.4075251307533412</v>
      </c>
    </row>
    <row r="30" spans="2:11" x14ac:dyDescent="0.2">
      <c r="B30" s="2">
        <f t="shared" si="15"/>
        <v>125</v>
      </c>
      <c r="C30" s="3">
        <v>100</v>
      </c>
      <c r="D30" s="3">
        <v>5</v>
      </c>
      <c r="E30" s="4">
        <f t="shared" si="16"/>
        <v>-96.173185312429197</v>
      </c>
      <c r="F30" s="4">
        <f t="shared" si="17"/>
        <v>-45.863106504572023</v>
      </c>
      <c r="G30" s="7">
        <f t="shared" si="18"/>
        <v>5.047281746031743</v>
      </c>
      <c r="H30" s="2">
        <f t="shared" si="19"/>
        <v>0.05</v>
      </c>
      <c r="I30" s="7">
        <f t="shared" si="20"/>
        <v>5.0477817460317427</v>
      </c>
      <c r="J30" s="4">
        <f t="shared" si="21"/>
        <v>-4.720913740069852</v>
      </c>
      <c r="K30" s="4">
        <f t="shared" si="22"/>
        <v>1.6455289603935961</v>
      </c>
    </row>
    <row r="31" spans="2:11" x14ac:dyDescent="0.2">
      <c r="B31" s="2">
        <f t="shared" si="15"/>
        <v>130</v>
      </c>
      <c r="C31" s="3">
        <v>100</v>
      </c>
      <c r="D31" s="3">
        <v>5</v>
      </c>
      <c r="E31" s="4">
        <f t="shared" si="16"/>
        <v>-100.80595696917482</v>
      </c>
      <c r="F31" s="4">
        <f t="shared" si="17"/>
        <v>-43.983686679964237</v>
      </c>
      <c r="G31" s="7">
        <f t="shared" si="18"/>
        <v>5.0972817460317428</v>
      </c>
      <c r="H31" s="2">
        <f t="shared" si="19"/>
        <v>0.05</v>
      </c>
      <c r="I31" s="7">
        <f t="shared" si="20"/>
        <v>5.0977817460317425</v>
      </c>
      <c r="J31" s="4">
        <f t="shared" si="21"/>
        <v>-4.6327716567456241</v>
      </c>
      <c r="K31" s="4">
        <f t="shared" si="22"/>
        <v>1.8794198246077838</v>
      </c>
    </row>
    <row r="32" spans="2:11" x14ac:dyDescent="0.2">
      <c r="B32" s="2">
        <f t="shared" si="15"/>
        <v>135</v>
      </c>
      <c r="C32" s="3">
        <v>100</v>
      </c>
      <c r="D32" s="3">
        <v>5</v>
      </c>
      <c r="E32" s="4">
        <f t="shared" si="16"/>
        <v>-105.33900702615519</v>
      </c>
      <c r="F32" s="4">
        <f t="shared" si="17"/>
        <v>-41.875073561920864</v>
      </c>
      <c r="G32" s="7">
        <f t="shared" si="18"/>
        <v>5.1472817460317426</v>
      </c>
      <c r="H32" s="2">
        <f t="shared" si="19"/>
        <v>0.05</v>
      </c>
      <c r="I32" s="7">
        <f t="shared" si="20"/>
        <v>5.1477817460317423</v>
      </c>
      <c r="J32" s="4">
        <f t="shared" si="21"/>
        <v>-4.5330500569803709</v>
      </c>
      <c r="K32" s="4">
        <f t="shared" si="22"/>
        <v>2.1086131180433756</v>
      </c>
    </row>
    <row r="33" spans="2:11" x14ac:dyDescent="0.2">
      <c r="B33" s="2">
        <f t="shared" si="15"/>
        <v>140</v>
      </c>
      <c r="C33" s="3">
        <v>100</v>
      </c>
      <c r="D33" s="3">
        <v>5</v>
      </c>
      <c r="E33" s="4">
        <f t="shared" si="16"/>
        <v>-109.76100521899468</v>
      </c>
      <c r="F33" s="4">
        <f t="shared" si="17"/>
        <v>-39.542537585092525</v>
      </c>
      <c r="G33" s="7">
        <f t="shared" si="18"/>
        <v>5.1972817460317424</v>
      </c>
      <c r="H33" s="2">
        <f t="shared" si="19"/>
        <v>0.05</v>
      </c>
      <c r="I33" s="7">
        <f t="shared" si="20"/>
        <v>5.1977817460317421</v>
      </c>
      <c r="J33" s="4">
        <f t="shared" si="21"/>
        <v>-4.4219981928394994</v>
      </c>
      <c r="K33" s="4">
        <f t="shared" si="22"/>
        <v>2.3325359768283422</v>
      </c>
    </row>
    <row r="34" spans="2:11" x14ac:dyDescent="0.2">
      <c r="B34" s="2">
        <f t="shared" si="15"/>
        <v>145</v>
      </c>
      <c r="C34" s="3">
        <v>100</v>
      </c>
      <c r="D34" s="3">
        <v>5</v>
      </c>
      <c r="E34" s="4">
        <f t="shared" si="16"/>
        <v>-114.06089885514335</v>
      </c>
      <c r="F34" s="4">
        <f t="shared" si="17"/>
        <v>-36.991908874660034</v>
      </c>
      <c r="G34" s="7">
        <f t="shared" si="18"/>
        <v>5.2472817460317422</v>
      </c>
      <c r="H34" s="2">
        <f t="shared" si="19"/>
        <v>0.05</v>
      </c>
      <c r="I34" s="7">
        <f t="shared" si="20"/>
        <v>5.247781746031742</v>
      </c>
      <c r="J34" s="4">
        <f t="shared" si="21"/>
        <v>-4.2998936361486697</v>
      </c>
      <c r="K34" s="4">
        <f t="shared" si="22"/>
        <v>2.5506287104324921</v>
      </c>
    </row>
    <row r="35" spans="2:11" x14ac:dyDescent="0.2">
      <c r="B35" s="2">
        <f t="shared" si="15"/>
        <v>150</v>
      </c>
      <c r="C35" s="3">
        <v>100</v>
      </c>
      <c r="D35" s="3">
        <v>5</v>
      </c>
      <c r="E35" s="4">
        <f t="shared" si="16"/>
        <v>-118.22794043985213</v>
      </c>
      <c r="F35" s="4">
        <f t="shared" si="17"/>
        <v>-34.229562674057718</v>
      </c>
      <c r="G35" s="7">
        <f t="shared" si="18"/>
        <v>5.2972817460317421</v>
      </c>
      <c r="H35" s="2">
        <f t="shared" si="19"/>
        <v>0.05</v>
      </c>
      <c r="I35" s="7">
        <f t="shared" si="20"/>
        <v>5.2977817460317418</v>
      </c>
      <c r="J35" s="4">
        <f t="shared" si="21"/>
        <v>-4.1670415847087847</v>
      </c>
      <c r="K35" s="4">
        <f t="shared" si="22"/>
        <v>2.7623462006023147</v>
      </c>
    </row>
    <row r="36" spans="2:11" x14ac:dyDescent="0.2">
      <c r="B36" s="2">
        <f t="shared" si="15"/>
        <v>155</v>
      </c>
      <c r="C36" s="3">
        <v>200</v>
      </c>
      <c r="D36" s="3">
        <v>5</v>
      </c>
      <c r="E36" s="4">
        <f t="shared" si="16"/>
        <v>-122.32602291878366</v>
      </c>
      <c r="F36" s="4">
        <f t="shared" si="17"/>
        <v>-31.365227159551019</v>
      </c>
      <c r="G36" s="7">
        <f t="shared" si="18"/>
        <v>5.3222817460317424</v>
      </c>
      <c r="H36" s="2">
        <f t="shared" si="19"/>
        <v>2.5000000000000001E-2</v>
      </c>
      <c r="I36" s="7">
        <f t="shared" si="20"/>
        <v>5.3224067460317421</v>
      </c>
      <c r="J36" s="4">
        <f t="shared" si="21"/>
        <v>-4.0980824789315298</v>
      </c>
      <c r="K36" s="4">
        <f t="shared" si="22"/>
        <v>2.8643355145067004</v>
      </c>
    </row>
    <row r="37" spans="2:11" x14ac:dyDescent="0.2">
      <c r="B37" s="2">
        <f t="shared" si="15"/>
        <v>160</v>
      </c>
      <c r="C37" s="3">
        <v>200</v>
      </c>
      <c r="D37" s="3">
        <v>5</v>
      </c>
      <c r="E37" s="4">
        <f t="shared" si="16"/>
        <v>-126.35122388475101</v>
      </c>
      <c r="F37" s="4">
        <f t="shared" si="17"/>
        <v>-28.399345313056529</v>
      </c>
      <c r="G37" s="7">
        <f t="shared" si="18"/>
        <v>5.3472817460317428</v>
      </c>
      <c r="H37" s="2">
        <f t="shared" si="19"/>
        <v>2.5000000000000001E-2</v>
      </c>
      <c r="I37" s="7">
        <f t="shared" si="20"/>
        <v>5.3474067460317425</v>
      </c>
      <c r="J37" s="4">
        <f t="shared" si="21"/>
        <v>-4.0252009659673389</v>
      </c>
      <c r="K37" s="4">
        <f t="shared" si="22"/>
        <v>2.9658818464944887</v>
      </c>
    </row>
    <row r="38" spans="2:11" x14ac:dyDescent="0.2">
      <c r="B38" s="2">
        <f t="shared" si="15"/>
        <v>165</v>
      </c>
      <c r="C38" s="3">
        <v>200</v>
      </c>
      <c r="D38" s="3">
        <v>5</v>
      </c>
      <c r="E38" s="4">
        <f t="shared" si="16"/>
        <v>-130.30102771817639</v>
      </c>
      <c r="F38" s="4">
        <f t="shared" si="17"/>
        <v>-25.333770714184688</v>
      </c>
      <c r="G38" s="7">
        <f t="shared" si="18"/>
        <v>5.3722817460317431</v>
      </c>
      <c r="H38" s="2">
        <f t="shared" si="19"/>
        <v>2.5000000000000001E-2</v>
      </c>
      <c r="I38" s="7">
        <f t="shared" si="20"/>
        <v>5.3724067460317428</v>
      </c>
      <c r="J38" s="4">
        <f t="shared" si="21"/>
        <v>-3.9498038334253653</v>
      </c>
      <c r="K38" s="4">
        <f t="shared" si="22"/>
        <v>3.0655745988718399</v>
      </c>
    </row>
    <row r="39" spans="2:11" x14ac:dyDescent="0.2">
      <c r="B39" s="2">
        <f t="shared" si="15"/>
        <v>170</v>
      </c>
      <c r="C39" s="3">
        <v>200</v>
      </c>
      <c r="D39" s="3">
        <v>5</v>
      </c>
      <c r="E39" s="4">
        <f t="shared" si="16"/>
        <v>-134.17296592023555</v>
      </c>
      <c r="F39" s="4">
        <f t="shared" si="17"/>
        <v>-22.170419247271031</v>
      </c>
      <c r="G39" s="7">
        <f t="shared" si="18"/>
        <v>5.3972817460317435</v>
      </c>
      <c r="H39" s="2">
        <f t="shared" si="19"/>
        <v>2.5000000000000001E-2</v>
      </c>
      <c r="I39" s="7">
        <f t="shared" si="20"/>
        <v>5.3974067460317432</v>
      </c>
      <c r="J39" s="4">
        <f t="shared" si="21"/>
        <v>-3.8719382020591668</v>
      </c>
      <c r="K39" s="4">
        <f t="shared" si="22"/>
        <v>3.1633514669136562</v>
      </c>
    </row>
    <row r="40" spans="2:11" x14ac:dyDescent="0.2">
      <c r="B40" s="2">
        <f t="shared" si="15"/>
        <v>175</v>
      </c>
      <c r="C40" s="3">
        <v>50</v>
      </c>
      <c r="D40" s="3">
        <v>5</v>
      </c>
      <c r="E40" s="4">
        <f t="shared" si="16"/>
        <v>-137.70174091043589</v>
      </c>
      <c r="F40" s="4">
        <f t="shared" si="17"/>
        <v>-18.631080230108719</v>
      </c>
      <c r="G40" s="7">
        <f t="shared" si="18"/>
        <v>5.4972817460317431</v>
      </c>
      <c r="H40" s="2">
        <f t="shared" si="19"/>
        <v>0.1</v>
      </c>
      <c r="I40" s="7">
        <f t="shared" si="20"/>
        <v>5.4992817460317429</v>
      </c>
      <c r="J40" s="4">
        <f t="shared" si="21"/>
        <v>-3.528774990200342</v>
      </c>
      <c r="K40" s="4">
        <f t="shared" si="22"/>
        <v>3.5393390171623111</v>
      </c>
    </row>
    <row r="41" spans="2:11" x14ac:dyDescent="0.2">
      <c r="B41" s="2">
        <f t="shared" si="15"/>
        <v>180</v>
      </c>
      <c r="C41" s="3">
        <v>50</v>
      </c>
      <c r="D41" s="3">
        <v>5</v>
      </c>
      <c r="E41" s="4">
        <f t="shared" si="16"/>
        <v>-140.85954241725941</v>
      </c>
      <c r="F41" s="4">
        <f t="shared" si="17"/>
        <v>-14.757133501851609</v>
      </c>
      <c r="G41" s="7">
        <f t="shared" si="18"/>
        <v>5.5972817460317428</v>
      </c>
      <c r="H41" s="2">
        <f t="shared" si="19"/>
        <v>0.1</v>
      </c>
      <c r="I41" s="7">
        <f t="shared" si="20"/>
        <v>5.5992817460317426</v>
      </c>
      <c r="J41" s="4">
        <f t="shared" si="21"/>
        <v>-3.1578015068235259</v>
      </c>
      <c r="K41" s="4">
        <f t="shared" si="22"/>
        <v>3.8739467282571098</v>
      </c>
    </row>
    <row r="42" spans="2:11" x14ac:dyDescent="0.2">
      <c r="B42" s="2">
        <f t="shared" si="15"/>
        <v>185</v>
      </c>
      <c r="C42" s="3">
        <v>50</v>
      </c>
      <c r="D42" s="3">
        <v>5</v>
      </c>
      <c r="E42" s="4">
        <f t="shared" si="16"/>
        <v>-143.61481873188032</v>
      </c>
      <c r="F42" s="4">
        <f t="shared" si="17"/>
        <v>-10.587286257651911</v>
      </c>
      <c r="G42" s="7">
        <f t="shared" si="18"/>
        <v>5.6972817460317424</v>
      </c>
      <c r="H42" s="2">
        <f t="shared" si="19"/>
        <v>0.1</v>
      </c>
      <c r="I42" s="7">
        <f t="shared" si="20"/>
        <v>5.6992817460317422</v>
      </c>
      <c r="J42" s="4">
        <f t="shared" si="21"/>
        <v>-2.7552763146209269</v>
      </c>
      <c r="K42" s="4">
        <f t="shared" si="22"/>
        <v>4.1698472441996985</v>
      </c>
    </row>
    <row r="43" spans="2:11" x14ac:dyDescent="0.2">
      <c r="B43" s="2">
        <f t="shared" si="15"/>
        <v>190</v>
      </c>
      <c r="C43" s="3">
        <v>50</v>
      </c>
      <c r="D43" s="3">
        <v>5</v>
      </c>
      <c r="E43" s="4">
        <f t="shared" si="16"/>
        <v>-145.94004004413623</v>
      </c>
      <c r="F43" s="4">
        <f t="shared" si="17"/>
        <v>-6.1632022328054266</v>
      </c>
      <c r="G43" s="7">
        <f t="shared" si="18"/>
        <v>5.7972817460317421</v>
      </c>
      <c r="H43" s="2">
        <f t="shared" si="19"/>
        <v>0.1</v>
      </c>
      <c r="I43" s="7">
        <f t="shared" si="20"/>
        <v>5.7992817460317418</v>
      </c>
      <c r="J43" s="4">
        <f t="shared" si="21"/>
        <v>-2.3252213122558958</v>
      </c>
      <c r="K43" s="4">
        <f t="shared" si="22"/>
        <v>4.4240840248464846</v>
      </c>
    </row>
    <row r="44" spans="2:11" x14ac:dyDescent="0.2">
      <c r="B44" s="2">
        <f t="shared" si="15"/>
        <v>195</v>
      </c>
      <c r="C44" s="3">
        <v>50</v>
      </c>
      <c r="D44" s="3">
        <v>5</v>
      </c>
      <c r="E44" s="4">
        <f t="shared" si="16"/>
        <v>-147.811973511291</v>
      </c>
      <c r="F44" s="4">
        <f t="shared" si="17"/>
        <v>-1.5290854124806748</v>
      </c>
      <c r="G44" s="7">
        <f t="shared" si="18"/>
        <v>5.8972817460317417</v>
      </c>
      <c r="H44" s="2">
        <f t="shared" si="19"/>
        <v>0.1</v>
      </c>
      <c r="I44" s="7">
        <f t="shared" si="20"/>
        <v>5.8992817460317415</v>
      </c>
      <c r="J44" s="4">
        <f t="shared" si="21"/>
        <v>-1.8719334671547792</v>
      </c>
      <c r="K44" s="4">
        <f t="shared" si="22"/>
        <v>4.6341168203247518</v>
      </c>
    </row>
    <row r="45" spans="2:11" x14ac:dyDescent="0.2">
      <c r="B45" s="2">
        <f t="shared" si="15"/>
        <v>200</v>
      </c>
      <c r="C45" s="3">
        <v>50</v>
      </c>
      <c r="D45" s="3">
        <v>5</v>
      </c>
      <c r="E45" s="4">
        <f t="shared" si="16"/>
        <v>-149.21191539291979</v>
      </c>
      <c r="F45" s="4">
        <f t="shared" si="17"/>
        <v>3.2687616398890178</v>
      </c>
      <c r="G45" s="7">
        <f t="shared" si="18"/>
        <v>5.9972817460317414</v>
      </c>
      <c r="H45" s="2">
        <f t="shared" si="19"/>
        <v>0.1</v>
      </c>
      <c r="I45" s="7">
        <f t="shared" si="20"/>
        <v>5.9992817460317411</v>
      </c>
      <c r="J45" s="4">
        <f t="shared" si="21"/>
        <v>-1.3999418816287881</v>
      </c>
      <c r="K45" s="4">
        <f t="shared" si="22"/>
        <v>4.7978470523696926</v>
      </c>
    </row>
    <row r="46" spans="2:11" x14ac:dyDescent="0.2">
      <c r="B46" s="2">
        <f t="shared" si="15"/>
        <v>205</v>
      </c>
      <c r="C46" s="3">
        <v>50</v>
      </c>
      <c r="D46" s="3">
        <v>5</v>
      </c>
      <c r="E46" s="4">
        <f t="shared" si="16"/>
        <v>-150.12587793250063</v>
      </c>
      <c r="F46" s="4">
        <f t="shared" si="17"/>
        <v>8.1824004225137514</v>
      </c>
      <c r="G46" s="7">
        <f t="shared" si="18"/>
        <v>6.097281746031741</v>
      </c>
      <c r="H46" s="2">
        <f t="shared" si="19"/>
        <v>0.1</v>
      </c>
      <c r="I46" s="7">
        <f t="shared" si="20"/>
        <v>6.0992817460317408</v>
      </c>
      <c r="J46" s="4">
        <f t="shared" si="21"/>
        <v>-0.91396253958082285</v>
      </c>
      <c r="K46" s="4">
        <f t="shared" si="22"/>
        <v>4.9136387826247336</v>
      </c>
    </row>
    <row r="47" spans="2:11" x14ac:dyDescent="0.2">
      <c r="B47" s="2">
        <f t="shared" si="15"/>
        <v>210</v>
      </c>
      <c r="C47" s="3">
        <v>50</v>
      </c>
      <c r="D47" s="3">
        <v>5</v>
      </c>
      <c r="E47" s="4">
        <f t="shared" si="16"/>
        <v>-150.54472911845383</v>
      </c>
      <c r="F47" s="4">
        <f t="shared" si="17"/>
        <v>13.162735480910573</v>
      </c>
      <c r="G47" s="7">
        <f t="shared" si="18"/>
        <v>6.1972817460317406</v>
      </c>
      <c r="H47" s="2">
        <f t="shared" si="19"/>
        <v>0.1</v>
      </c>
      <c r="I47" s="7">
        <f t="shared" si="20"/>
        <v>6.1992817460317404</v>
      </c>
      <c r="J47" s="4">
        <f t="shared" si="21"/>
        <v>-0.41885118595321463</v>
      </c>
      <c r="K47" s="4">
        <f t="shared" si="22"/>
        <v>4.9803350583968227</v>
      </c>
    </row>
    <row r="48" spans="2:11" x14ac:dyDescent="0.2">
      <c r="B48" s="2">
        <f t="shared" si="15"/>
        <v>215</v>
      </c>
      <c r="C48" s="3">
        <v>50</v>
      </c>
      <c r="D48" s="3">
        <v>5</v>
      </c>
      <c r="E48" s="4">
        <f t="shared" si="16"/>
        <v>-150.46428392818319</v>
      </c>
      <c r="F48" s="4">
        <f t="shared" si="17"/>
        <v>18.160004953455875</v>
      </c>
      <c r="G48" s="7">
        <f t="shared" si="18"/>
        <v>6.2972817460317403</v>
      </c>
      <c r="H48" s="2">
        <f t="shared" si="19"/>
        <v>0.1</v>
      </c>
      <c r="I48" s="7">
        <f t="shared" si="20"/>
        <v>6.2992817460317401</v>
      </c>
      <c r="J48" s="4">
        <f t="shared" si="21"/>
        <v>8.0445190270643965E-2</v>
      </c>
      <c r="K48" s="4">
        <f t="shared" si="22"/>
        <v>4.9972694725453035</v>
      </c>
    </row>
    <row r="49" spans="2:11" x14ac:dyDescent="0.2">
      <c r="B49" s="2">
        <f t="shared" si="15"/>
        <v>220</v>
      </c>
      <c r="C49" s="3">
        <v>50</v>
      </c>
      <c r="D49" s="3">
        <v>5</v>
      </c>
      <c r="E49" s="4">
        <f t="shared" si="16"/>
        <v>-149.88534614343823</v>
      </c>
      <c r="F49" s="4">
        <f t="shared" si="17"/>
        <v>23.124277775457653</v>
      </c>
      <c r="G49" s="7">
        <f t="shared" si="18"/>
        <v>6.3972817460317399</v>
      </c>
      <c r="H49" s="2">
        <f t="shared" si="19"/>
        <v>0.1</v>
      </c>
      <c r="I49" s="7">
        <f t="shared" si="20"/>
        <v>6.3992817460317397</v>
      </c>
      <c r="J49" s="4">
        <f t="shared" si="21"/>
        <v>0.57893778474496271</v>
      </c>
      <c r="K49" s="4">
        <f t="shared" si="22"/>
        <v>4.9642728220017771</v>
      </c>
    </row>
    <row r="50" spans="2:11" x14ac:dyDescent="0.2">
      <c r="B50" s="2">
        <f t="shared" si="15"/>
        <v>225</v>
      </c>
      <c r="C50" s="3">
        <v>50</v>
      </c>
      <c r="D50" s="3">
        <v>5</v>
      </c>
      <c r="E50" s="4">
        <f t="shared" si="16"/>
        <v>-148.81370031919272</v>
      </c>
      <c r="F50" s="4">
        <f t="shared" si="17"/>
        <v>28.005952573848887</v>
      </c>
      <c r="G50" s="7">
        <f t="shared" si="18"/>
        <v>6.4972817460317396</v>
      </c>
      <c r="H50" s="2">
        <f t="shared" si="19"/>
        <v>0.1</v>
      </c>
      <c r="I50" s="7">
        <f t="shared" si="20"/>
        <v>6.4992817460317394</v>
      </c>
      <c r="J50" s="4">
        <f t="shared" si="21"/>
        <v>1.071645824245498</v>
      </c>
      <c r="K50" s="4">
        <f t="shared" si="22"/>
        <v>4.8816747983912325</v>
      </c>
    </row>
    <row r="51" spans="2:11" x14ac:dyDescent="0.2">
      <c r="B51" s="2">
        <f t="shared" si="15"/>
        <v>230</v>
      </c>
      <c r="C51" s="3">
        <v>50</v>
      </c>
      <c r="D51" s="3">
        <v>5</v>
      </c>
      <c r="E51" s="4">
        <f t="shared" si="16"/>
        <v>-147.26005398628354</v>
      </c>
      <c r="F51" s="4">
        <f t="shared" si="17"/>
        <v>32.756253267711195</v>
      </c>
      <c r="G51" s="7">
        <f t="shared" si="18"/>
        <v>6.5972817460317392</v>
      </c>
      <c r="H51" s="2">
        <f t="shared" si="19"/>
        <v>0.1</v>
      </c>
      <c r="I51" s="7">
        <f t="shared" si="20"/>
        <v>6.599281746031739</v>
      </c>
      <c r="J51" s="4">
        <f t="shared" si="21"/>
        <v>1.5536463329091847</v>
      </c>
      <c r="K51" s="4">
        <f t="shared" si="22"/>
        <v>4.75030069386231</v>
      </c>
    </row>
    <row r="52" spans="2:11" x14ac:dyDescent="0.2">
      <c r="B52" s="2">
        <f t="shared" si="15"/>
        <v>235</v>
      </c>
      <c r="C52" s="3">
        <v>50</v>
      </c>
      <c r="D52" s="3">
        <v>5</v>
      </c>
      <c r="E52" s="4">
        <f t="shared" si="16"/>
        <v>-145.2399306653019</v>
      </c>
      <c r="F52" s="4">
        <f t="shared" si="17"/>
        <v>37.327716422752147</v>
      </c>
      <c r="G52" s="7">
        <f t="shared" si="18"/>
        <v>6.6972817460317389</v>
      </c>
      <c r="H52" s="2">
        <f t="shared" si="19"/>
        <v>0.1</v>
      </c>
      <c r="I52" s="7">
        <f t="shared" si="20"/>
        <v>6.6992817460317386</v>
      </c>
      <c r="J52" s="4">
        <f t="shared" si="21"/>
        <v>2.0201233209816403</v>
      </c>
      <c r="K52" s="4">
        <f t="shared" si="22"/>
        <v>4.5714631550409557</v>
      </c>
    </row>
    <row r="53" spans="2:11" x14ac:dyDescent="0.2">
      <c r="B53" s="2">
        <f t="shared" si="15"/>
        <v>240</v>
      </c>
      <c r="C53" s="3">
        <v>50</v>
      </c>
      <c r="D53" s="3">
        <v>5</v>
      </c>
      <c r="E53" s="4">
        <f t="shared" si="16"/>
        <v>-142.77351476070706</v>
      </c>
      <c r="F53" s="4">
        <f t="shared" si="17"/>
        <v>41.674665490251385</v>
      </c>
      <c r="G53" s="7">
        <f t="shared" si="18"/>
        <v>6.7972817460317385</v>
      </c>
      <c r="H53" s="2">
        <f t="shared" si="19"/>
        <v>0.1</v>
      </c>
      <c r="I53" s="7">
        <f t="shared" si="20"/>
        <v>6.7992817460317383</v>
      </c>
      <c r="J53" s="4">
        <f t="shared" si="21"/>
        <v>2.466415904594836</v>
      </c>
      <c r="K53" s="4">
        <f t="shared" si="22"/>
        <v>4.3469490674992421</v>
      </c>
    </row>
    <row r="54" spans="2:11" x14ac:dyDescent="0.2">
      <c r="B54" s="2">
        <f t="shared" si="15"/>
        <v>245</v>
      </c>
      <c r="C54" s="3">
        <v>50</v>
      </c>
      <c r="D54" s="3">
        <v>5</v>
      </c>
      <c r="E54" s="4">
        <f t="shared" si="16"/>
        <v>-139.88544988492905</v>
      </c>
      <c r="F54" s="4">
        <f t="shared" si="17"/>
        <v>45.753667192036779</v>
      </c>
      <c r="G54" s="7">
        <f t="shared" si="18"/>
        <v>6.8972817460317382</v>
      </c>
      <c r="H54" s="2">
        <f t="shared" si="19"/>
        <v>0.1</v>
      </c>
      <c r="I54" s="7">
        <f t="shared" si="20"/>
        <v>6.8992817460317379</v>
      </c>
      <c r="J54" s="4">
        <f t="shared" si="21"/>
        <v>2.8880648757780234</v>
      </c>
      <c r="K54" s="4">
        <f t="shared" si="22"/>
        <v>4.0790017017853968</v>
      </c>
    </row>
    <row r="55" spans="2:11" x14ac:dyDescent="0.2">
      <c r="B55" s="2">
        <f t="shared" si="15"/>
        <v>250</v>
      </c>
      <c r="C55" s="3">
        <v>50</v>
      </c>
      <c r="D55" s="3">
        <v>5</v>
      </c>
      <c r="E55" s="4">
        <f t="shared" si="16"/>
        <v>-136.60459262753929</v>
      </c>
      <c r="F55" s="4">
        <f t="shared" si="17"/>
        <v>49.523965491442787</v>
      </c>
      <c r="G55" s="7">
        <f t="shared" si="18"/>
        <v>6.9972817460317378</v>
      </c>
      <c r="H55" s="2">
        <f t="shared" si="19"/>
        <v>0.1</v>
      </c>
      <c r="I55" s="7">
        <f t="shared" si="20"/>
        <v>6.9992817460317376</v>
      </c>
      <c r="J55" s="4">
        <f t="shared" si="21"/>
        <v>3.2808572573897585</v>
      </c>
      <c r="K55" s="4">
        <f t="shared" si="22"/>
        <v>3.7702982994060097</v>
      </c>
    </row>
    <row r="56" spans="2:11" x14ac:dyDescent="0.2">
      <c r="B56" s="2">
        <f t="shared" si="15"/>
        <v>255</v>
      </c>
      <c r="C56" s="3">
        <v>50</v>
      </c>
      <c r="D56" s="3">
        <v>5</v>
      </c>
      <c r="E56" s="4">
        <f t="shared" si="16"/>
        <v>-132.96372422974642</v>
      </c>
      <c r="F56" s="4">
        <f t="shared" si="17"/>
        <v>52.947888814156663</v>
      </c>
      <c r="G56" s="7">
        <f t="shared" si="18"/>
        <v>7.0972817460317374</v>
      </c>
      <c r="H56" s="2">
        <f t="shared" si="19"/>
        <v>0.1</v>
      </c>
      <c r="I56" s="7">
        <f t="shared" si="20"/>
        <v>7.0992817460317372</v>
      </c>
      <c r="J56" s="4">
        <f t="shared" si="21"/>
        <v>3.6408683977928762</v>
      </c>
      <c r="K56" s="4">
        <f t="shared" si="22"/>
        <v>3.4239233227138763</v>
      </c>
    </row>
    <row r="57" spans="2:11" x14ac:dyDescent="0.2">
      <c r="B57" s="2">
        <f t="shared" si="15"/>
        <v>260</v>
      </c>
      <c r="C57" s="3">
        <v>50</v>
      </c>
      <c r="D57" s="3">
        <v>5</v>
      </c>
      <c r="E57" s="4">
        <f t="shared" si="16"/>
        <v>-128.9992230450701</v>
      </c>
      <c r="F57" s="4">
        <f t="shared" si="17"/>
        <v>55.991226450136423</v>
      </c>
      <c r="G57" s="7">
        <f t="shared" si="18"/>
        <v>7.1972817460317371</v>
      </c>
      <c r="H57" s="2">
        <f t="shared" si="19"/>
        <v>0.1</v>
      </c>
      <c r="I57" s="7">
        <f t="shared" si="20"/>
        <v>7.1992817460317369</v>
      </c>
      <c r="J57" s="4">
        <f t="shared" si="21"/>
        <v>3.9645011846763292</v>
      </c>
      <c r="K57" s="4">
        <f t="shared" si="22"/>
        <v>3.0433376359797606</v>
      </c>
    </row>
    <row r="58" spans="2:11" x14ac:dyDescent="0.2">
      <c r="B58" s="2">
        <f t="shared" si="15"/>
        <v>265</v>
      </c>
      <c r="C58" s="3">
        <v>50</v>
      </c>
      <c r="D58" s="3">
        <v>5</v>
      </c>
      <c r="E58" s="4">
        <f t="shared" si="16"/>
        <v>-124.75070105885774</v>
      </c>
      <c r="F58" s="4">
        <f t="shared" si="17"/>
        <v>58.62357037571703</v>
      </c>
      <c r="G58" s="7">
        <f t="shared" si="18"/>
        <v>7.2972817460317367</v>
      </c>
      <c r="H58" s="2">
        <f t="shared" si="19"/>
        <v>0.1</v>
      </c>
      <c r="I58" s="7">
        <f t="shared" si="20"/>
        <v>7.2992817460317365</v>
      </c>
      <c r="J58" s="4">
        <f t="shared" si="21"/>
        <v>4.2485219862123547</v>
      </c>
      <c r="K58" s="4">
        <f t="shared" si="22"/>
        <v>2.6323439255806078</v>
      </c>
    </row>
    <row r="59" spans="2:11" x14ac:dyDescent="0.2">
      <c r="B59" s="2">
        <f t="shared" si="15"/>
        <v>270</v>
      </c>
      <c r="C59" s="3">
        <v>50</v>
      </c>
      <c r="D59" s="3">
        <v>5</v>
      </c>
      <c r="E59" s="4">
        <f t="shared" si="16"/>
        <v>-120.26060809842095</v>
      </c>
      <c r="F59" s="4">
        <f t="shared" si="17"/>
        <v>60.818619080531299</v>
      </c>
      <c r="G59" s="7">
        <f t="shared" si="18"/>
        <v>7.3972817460317364</v>
      </c>
      <c r="H59" s="2">
        <f t="shared" si="19"/>
        <v>0.1</v>
      </c>
      <c r="I59" s="7">
        <f t="shared" si="20"/>
        <v>7.3992817460317362</v>
      </c>
      <c r="J59" s="4">
        <f t="shared" si="21"/>
        <v>4.4900929604367992</v>
      </c>
      <c r="K59" s="4">
        <f t="shared" si="22"/>
        <v>2.1950487048142677</v>
      </c>
    </row>
    <row r="60" spans="2:11" x14ac:dyDescent="0.2">
      <c r="B60" s="2">
        <f t="shared" si="15"/>
        <v>275</v>
      </c>
      <c r="C60" s="3">
        <v>50</v>
      </c>
      <c r="D60" s="3">
        <v>5</v>
      </c>
      <c r="E60" s="4">
        <f t="shared" si="16"/>
        <v>-115.57380768839299</v>
      </c>
      <c r="F60" s="4">
        <f t="shared" si="17"/>
        <v>62.554440363507354</v>
      </c>
      <c r="G60" s="7">
        <f t="shared" si="18"/>
        <v>7.497281746031736</v>
      </c>
      <c r="H60" s="2">
        <f t="shared" si="19"/>
        <v>0.1</v>
      </c>
      <c r="I60" s="7">
        <f t="shared" si="20"/>
        <v>7.4992817460317358</v>
      </c>
      <c r="J60" s="4">
        <f t="shared" si="21"/>
        <v>4.6868004100279599</v>
      </c>
      <c r="K60" s="4">
        <f t="shared" si="22"/>
        <v>1.7358212829760564</v>
      </c>
    </row>
    <row r="61" spans="2:11" x14ac:dyDescent="0.2">
      <c r="B61" s="2">
        <f t="shared" si="15"/>
        <v>280</v>
      </c>
      <c r="C61" s="3">
        <v>50</v>
      </c>
      <c r="D61" s="3">
        <v>5</v>
      </c>
      <c r="E61" s="4">
        <f t="shared" si="16"/>
        <v>-110.73712878922063</v>
      </c>
      <c r="F61" s="4">
        <f t="shared" si="17"/>
        <v>63.813690472171935</v>
      </c>
      <c r="G61" s="7">
        <f t="shared" si="18"/>
        <v>7.5972817460317357</v>
      </c>
      <c r="H61" s="2">
        <f t="shared" si="19"/>
        <v>0.1</v>
      </c>
      <c r="I61" s="7">
        <f t="shared" si="20"/>
        <v>7.5992817460317355</v>
      </c>
      <c r="J61" s="4">
        <f t="shared" si="21"/>
        <v>4.8366788991723597</v>
      </c>
      <c r="K61" s="4">
        <f t="shared" si="22"/>
        <v>1.2592501086645784</v>
      </c>
    </row>
    <row r="62" spans="2:11" x14ac:dyDescent="0.2">
      <c r="B62" s="2">
        <f t="shared" si="15"/>
        <v>285</v>
      </c>
      <c r="C62" s="3">
        <v>50</v>
      </c>
      <c r="D62" s="3">
        <v>5</v>
      </c>
      <c r="E62" s="4">
        <f t="shared" si="16"/>
        <v>-105.79889789767093</v>
      </c>
      <c r="F62" s="4">
        <f t="shared" si="17"/>
        <v>64.583787395691999</v>
      </c>
      <c r="G62" s="7">
        <f t="shared" si="18"/>
        <v>7.6972817460317353</v>
      </c>
      <c r="H62" s="2">
        <f t="shared" si="19"/>
        <v>0.1</v>
      </c>
      <c r="I62" s="7">
        <f t="shared" si="20"/>
        <v>7.6992817460317351</v>
      </c>
      <c r="J62" s="4">
        <f t="shared" si="21"/>
        <v>4.9382308915497077</v>
      </c>
      <c r="K62" s="4">
        <f t="shared" si="22"/>
        <v>0.77009692352006753</v>
      </c>
    </row>
    <row r="63" spans="2:11" x14ac:dyDescent="0.2">
      <c r="B63" s="2">
        <f t="shared" si="15"/>
        <v>290</v>
      </c>
      <c r="C63" s="3">
        <v>50</v>
      </c>
      <c r="D63" s="3">
        <v>5</v>
      </c>
      <c r="E63" s="4">
        <f t="shared" si="16"/>
        <v>-100.80845618445012</v>
      </c>
      <c r="F63" s="4">
        <f t="shared" si="17"/>
        <v>64.857036580167943</v>
      </c>
      <c r="G63" s="7">
        <f t="shared" si="18"/>
        <v>7.797281746031735</v>
      </c>
      <c r="H63" s="2">
        <f t="shared" si="19"/>
        <v>0.1</v>
      </c>
      <c r="I63" s="7">
        <f t="shared" si="20"/>
        <v>7.7992817460317347</v>
      </c>
      <c r="J63" s="4">
        <f t="shared" si="21"/>
        <v>4.9904417132207977</v>
      </c>
      <c r="K63" s="4">
        <f t="shared" si="22"/>
        <v>0.27324918447594249</v>
      </c>
    </row>
    <row r="64" spans="2:11" x14ac:dyDescent="0.2">
      <c r="B64" s="2">
        <f t="shared" si="15"/>
        <v>295</v>
      </c>
      <c r="C64" s="3">
        <v>50</v>
      </c>
      <c r="D64" s="3">
        <v>5</v>
      </c>
      <c r="E64" s="4">
        <f t="shared" si="16"/>
        <v>-95.815666493536028</v>
      </c>
      <c r="F64" s="4">
        <f t="shared" si="17"/>
        <v>64.63070781007265</v>
      </c>
      <c r="G64" s="7">
        <f t="shared" si="18"/>
        <v>7.8972817460317346</v>
      </c>
      <c r="H64" s="2">
        <f t="shared" si="19"/>
        <v>0.1</v>
      </c>
      <c r="I64" s="7">
        <f t="shared" si="20"/>
        <v>7.8992817460317344</v>
      </c>
      <c r="J64" s="4">
        <f t="shared" si="21"/>
        <v>4.9927896909140932</v>
      </c>
      <c r="K64" s="4">
        <f t="shared" si="22"/>
        <v>-0.22632877009529459</v>
      </c>
    </row>
    <row r="65" spans="2:11" x14ac:dyDescent="0.2">
      <c r="B65" s="2">
        <f t="shared" si="15"/>
        <v>300</v>
      </c>
      <c r="C65" s="3">
        <v>50</v>
      </c>
      <c r="D65" s="3">
        <v>5</v>
      </c>
      <c r="E65" s="4">
        <f t="shared" si="16"/>
        <v>-90.870415129123401</v>
      </c>
      <c r="F65" s="4">
        <f t="shared" si="17"/>
        <v>63.907062487662564</v>
      </c>
      <c r="G65" s="7">
        <f t="shared" si="18"/>
        <v>7.9972817460317343</v>
      </c>
      <c r="H65" s="2">
        <f t="shared" si="19"/>
        <v>0.1</v>
      </c>
      <c r="I65" s="7">
        <f t="shared" si="20"/>
        <v>7.999281746031734</v>
      </c>
      <c r="J65" s="4">
        <f t="shared" si="21"/>
        <v>4.9452513644126217</v>
      </c>
      <c r="K65" s="4">
        <f t="shared" si="22"/>
        <v>-0.72364532241008406</v>
      </c>
    </row>
    <row r="66" spans="2:11" x14ac:dyDescent="0.2">
      <c r="B66" s="2">
        <f t="shared" si="15"/>
        <v>305</v>
      </c>
      <c r="C66" s="3">
        <v>50</v>
      </c>
      <c r="D66" s="3">
        <v>5</v>
      </c>
      <c r="E66" s="4">
        <f t="shared" si="16"/>
        <v>-86.022113408162696</v>
      </c>
      <c r="F66" s="4">
        <f t="shared" si="17"/>
        <v>62.693331037793861</v>
      </c>
      <c r="G66" s="7">
        <f t="shared" si="18"/>
        <v>8.0972817460317348</v>
      </c>
      <c r="H66" s="2">
        <f t="shared" si="19"/>
        <v>0.1</v>
      </c>
      <c r="I66" s="7">
        <f t="shared" si="20"/>
        <v>8.0992817460317355</v>
      </c>
      <c r="J66" s="4">
        <f t="shared" si="21"/>
        <v>4.8483017209607029</v>
      </c>
      <c r="K66" s="4">
        <f t="shared" si="22"/>
        <v>-1.2137314498687011</v>
      </c>
    </row>
    <row r="67" spans="2:11" x14ac:dyDescent="0.2">
      <c r="B67" s="2">
        <f t="shared" si="15"/>
        <v>310</v>
      </c>
      <c r="C67" s="3">
        <v>50</v>
      </c>
      <c r="D67" s="3">
        <v>5</v>
      </c>
      <c r="E67" s="4">
        <f t="shared" si="16"/>
        <v>-81.319203958814271</v>
      </c>
      <c r="F67" s="4">
        <f t="shared" si="17"/>
        <v>61.001640663907367</v>
      </c>
      <c r="G67" s="7">
        <f t="shared" si="18"/>
        <v>8.1972817460317344</v>
      </c>
      <c r="H67" s="2">
        <f t="shared" si="19"/>
        <v>0.1</v>
      </c>
      <c r="I67" s="7">
        <f t="shared" si="20"/>
        <v>8.1992817460317351</v>
      </c>
      <c r="J67" s="4">
        <f t="shared" si="21"/>
        <v>4.7029094493484207</v>
      </c>
      <c r="K67" s="4">
        <f t="shared" si="22"/>
        <v>-1.691690373886497</v>
      </c>
    </row>
    <row r="68" spans="2:11" x14ac:dyDescent="0.2">
      <c r="B68" s="2">
        <f t="shared" si="15"/>
        <v>315</v>
      </c>
      <c r="C68" s="3">
        <v>50</v>
      </c>
      <c r="D68" s="3">
        <v>5</v>
      </c>
      <c r="E68" s="4">
        <f t="shared" si="16"/>
        <v>-76.808676697720841</v>
      </c>
      <c r="F68" s="4">
        <f t="shared" si="17"/>
        <v>58.848894177020455</v>
      </c>
      <c r="G68" s="7">
        <f t="shared" si="18"/>
        <v>8.2972817460317341</v>
      </c>
      <c r="H68" s="2">
        <f t="shared" si="19"/>
        <v>0.1</v>
      </c>
      <c r="I68" s="7">
        <f t="shared" si="20"/>
        <v>8.2992817460317347</v>
      </c>
      <c r="J68" s="4">
        <f t="shared" si="21"/>
        <v>4.5105272610934266</v>
      </c>
      <c r="K68" s="4">
        <f t="shared" si="22"/>
        <v>-2.1527464868869099</v>
      </c>
    </row>
    <row r="69" spans="2:11" x14ac:dyDescent="0.2">
      <c r="B69" s="2">
        <f t="shared" si="15"/>
        <v>320</v>
      </c>
      <c r="C69" s="3">
        <v>50</v>
      </c>
      <c r="D69" s="3">
        <v>5</v>
      </c>
      <c r="E69" s="4">
        <f t="shared" si="16"/>
        <v>-72.535599322293166</v>
      </c>
      <c r="F69" s="4">
        <f t="shared" si="17"/>
        <v>56.256601108426729</v>
      </c>
      <c r="G69" s="7">
        <f t="shared" si="18"/>
        <v>8.3972817460317337</v>
      </c>
      <c r="H69" s="2">
        <f t="shared" si="19"/>
        <v>0.1</v>
      </c>
      <c r="I69" s="7">
        <f t="shared" si="20"/>
        <v>8.3992817460317344</v>
      </c>
      <c r="J69" s="4">
        <f t="shared" si="21"/>
        <v>4.2730773754276692</v>
      </c>
      <c r="K69" s="4">
        <f t="shared" si="22"/>
        <v>-2.5922930685937273</v>
      </c>
    </row>
    <row r="70" spans="2:11" x14ac:dyDescent="0.2">
      <c r="B70" s="2">
        <f t="shared" si="15"/>
        <v>325</v>
      </c>
      <c r="C70" s="3">
        <v>50</v>
      </c>
      <c r="D70" s="3">
        <v>5</v>
      </c>
      <c r="E70" s="4">
        <f t="shared" si="16"/>
        <v>-68.542667009174949</v>
      </c>
      <c r="F70" s="4">
        <f t="shared" si="17"/>
        <v>53.250662793569411</v>
      </c>
      <c r="G70" s="7">
        <f t="shared" si="18"/>
        <v>8.4972817460317334</v>
      </c>
      <c r="H70" s="2">
        <f t="shared" si="19"/>
        <v>0.1</v>
      </c>
      <c r="I70" s="7">
        <f t="shared" si="20"/>
        <v>8.499281746031734</v>
      </c>
      <c r="J70" s="4">
        <f t="shared" si="21"/>
        <v>3.9929323131182235</v>
      </c>
      <c r="K70" s="4">
        <f t="shared" si="22"/>
        <v>-3.0059383148573176</v>
      </c>
    </row>
    <row r="71" spans="2:11" x14ac:dyDescent="0.2">
      <c r="B71" s="2">
        <f t="shared" si="15"/>
        <v>330</v>
      </c>
      <c r="C71" s="3">
        <v>10</v>
      </c>
      <c r="D71" s="3">
        <v>5</v>
      </c>
      <c r="E71" s="4">
        <f t="shared" si="16"/>
        <v>-66.718834055020963</v>
      </c>
      <c r="F71" s="4">
        <f t="shared" si="17"/>
        <v>48.650975741468216</v>
      </c>
      <c r="G71" s="7">
        <f t="shared" si="18"/>
        <v>8.9972817460317334</v>
      </c>
      <c r="H71" s="2">
        <f t="shared" si="19"/>
        <v>0.5</v>
      </c>
      <c r="I71" s="7">
        <f t="shared" si="20"/>
        <v>9.0472817460317341</v>
      </c>
      <c r="J71" s="4">
        <f t="shared" si="21"/>
        <v>1.8238329541539848</v>
      </c>
      <c r="K71" s="4">
        <f t="shared" si="22"/>
        <v>-4.5996870521011965</v>
      </c>
    </row>
    <row r="72" spans="2:11" x14ac:dyDescent="0.2">
      <c r="B72" s="2">
        <f t="shared" si="15"/>
        <v>335</v>
      </c>
      <c r="C72" s="3">
        <v>-50</v>
      </c>
      <c r="D72" s="3">
        <v>5</v>
      </c>
      <c r="E72" s="4">
        <f t="shared" si="16"/>
        <v>-64.211667365367845</v>
      </c>
      <c r="F72" s="4">
        <f t="shared" si="17"/>
        <v>44.327402126949231</v>
      </c>
      <c r="G72" s="7">
        <f t="shared" si="18"/>
        <v>8.8972817460317337</v>
      </c>
      <c r="H72" s="2">
        <f t="shared" si="19"/>
        <v>-0.1</v>
      </c>
      <c r="I72" s="7">
        <f t="shared" si="20"/>
        <v>8.8992817460317344</v>
      </c>
      <c r="J72" s="4">
        <f t="shared" si="21"/>
        <v>2.5071666896531135</v>
      </c>
      <c r="K72" s="4">
        <f t="shared" si="22"/>
        <v>-4.3235736145189829</v>
      </c>
    </row>
    <row r="73" spans="2:11" x14ac:dyDescent="0.2">
      <c r="B73" s="2">
        <f t="shared" si="15"/>
        <v>340</v>
      </c>
      <c r="C73" s="3">
        <v>-50</v>
      </c>
      <c r="D73" s="3">
        <v>5</v>
      </c>
      <c r="E73" s="4">
        <f t="shared" si="16"/>
        <v>-61.285388940055171</v>
      </c>
      <c r="F73" s="4">
        <f t="shared" si="17"/>
        <v>40.27572738834786</v>
      </c>
      <c r="G73" s="7">
        <f t="shared" si="18"/>
        <v>8.7972817460317341</v>
      </c>
      <c r="H73" s="2">
        <f t="shared" si="19"/>
        <v>-0.1</v>
      </c>
      <c r="I73" s="7">
        <f t="shared" si="20"/>
        <v>8.7992817460317347</v>
      </c>
      <c r="J73" s="4">
        <f t="shared" si="21"/>
        <v>2.9262784253126726</v>
      </c>
      <c r="K73" s="4">
        <f t="shared" si="22"/>
        <v>-4.0516747386013705</v>
      </c>
    </row>
    <row r="74" spans="2:11" x14ac:dyDescent="0.2">
      <c r="B74" s="2">
        <f t="shared" si="15"/>
        <v>345</v>
      </c>
      <c r="C74" s="3">
        <v>-50</v>
      </c>
      <c r="D74" s="3">
        <v>5</v>
      </c>
      <c r="E74" s="4">
        <f t="shared" si="16"/>
        <v>-57.969237185809618</v>
      </c>
      <c r="F74" s="4">
        <f t="shared" si="17"/>
        <v>36.536434520346603</v>
      </c>
      <c r="G74" s="7">
        <f t="shared" si="18"/>
        <v>8.6972817460317344</v>
      </c>
      <c r="H74" s="2">
        <f t="shared" si="19"/>
        <v>-0.1</v>
      </c>
      <c r="I74" s="7">
        <f t="shared" si="20"/>
        <v>8.6992817460317351</v>
      </c>
      <c r="J74" s="4">
        <f t="shared" si="21"/>
        <v>3.3161517542455492</v>
      </c>
      <c r="K74" s="4">
        <f t="shared" si="22"/>
        <v>-3.7392928680012569</v>
      </c>
    </row>
    <row r="75" spans="2:11" x14ac:dyDescent="0.2">
      <c r="B75" s="2">
        <f t="shared" si="15"/>
        <v>350</v>
      </c>
      <c r="C75" s="3">
        <v>-50</v>
      </c>
      <c r="D75" s="3">
        <v>5</v>
      </c>
      <c r="E75" s="4">
        <f t="shared" si="16"/>
        <v>-54.296345994785582</v>
      </c>
      <c r="F75" s="4">
        <f t="shared" si="17"/>
        <v>33.146885301236644</v>
      </c>
      <c r="G75" s="7">
        <f t="shared" si="18"/>
        <v>8.5972817460317348</v>
      </c>
      <c r="H75" s="2">
        <f t="shared" si="19"/>
        <v>-0.1</v>
      </c>
      <c r="I75" s="7">
        <f t="shared" si="20"/>
        <v>8.5992817460317355</v>
      </c>
      <c r="J75" s="4">
        <f t="shared" si="21"/>
        <v>3.6728911910240347</v>
      </c>
      <c r="K75" s="4">
        <f t="shared" si="22"/>
        <v>-3.3895492191099605</v>
      </c>
    </row>
    <row r="76" spans="2:11" x14ac:dyDescent="0.2">
      <c r="B76" s="2">
        <f t="shared" si="15"/>
        <v>355</v>
      </c>
      <c r="C76" s="3">
        <v>-50</v>
      </c>
      <c r="D76" s="3">
        <v>5</v>
      </c>
      <c r="E76" s="4">
        <f t="shared" si="16"/>
        <v>-50.303413681667365</v>
      </c>
      <c r="F76" s="4">
        <f t="shared" si="17"/>
        <v>30.140946986379319</v>
      </c>
      <c r="G76" s="7">
        <f t="shared" si="18"/>
        <v>8.4972817460317351</v>
      </c>
      <c r="H76" s="2">
        <f t="shared" si="19"/>
        <v>-0.1</v>
      </c>
      <c r="I76" s="7">
        <f t="shared" si="20"/>
        <v>8.4992817460317358</v>
      </c>
      <c r="J76" s="4">
        <f t="shared" si="21"/>
        <v>3.9929323131182182</v>
      </c>
      <c r="K76" s="4">
        <f t="shared" si="22"/>
        <v>-3.0059383148573247</v>
      </c>
    </row>
    <row r="77" spans="2:11" x14ac:dyDescent="0.2">
      <c r="B77" s="2">
        <f t="shared" si="15"/>
        <v>360</v>
      </c>
      <c r="C77" s="3">
        <v>-50</v>
      </c>
      <c r="D77" s="3">
        <v>5</v>
      </c>
      <c r="E77" s="4">
        <f t="shared" si="16"/>
        <v>-46.030336306239704</v>
      </c>
      <c r="F77" s="4">
        <f t="shared" si="17"/>
        <v>27.548653917785586</v>
      </c>
      <c r="G77" s="7">
        <f t="shared" si="18"/>
        <v>8.3972817460317355</v>
      </c>
      <c r="H77" s="2">
        <f t="shared" si="19"/>
        <v>-0.1</v>
      </c>
      <c r="I77" s="7">
        <f t="shared" si="20"/>
        <v>8.3992817460317362</v>
      </c>
      <c r="J77" s="4">
        <f t="shared" si="21"/>
        <v>4.2730773754276647</v>
      </c>
      <c r="K77" s="4">
        <f t="shared" si="22"/>
        <v>-2.5922930685937344</v>
      </c>
    </row>
    <row r="78" spans="2:11" x14ac:dyDescent="0.2">
      <c r="B78" s="2">
        <f t="shared" si="15"/>
        <v>365</v>
      </c>
      <c r="C78" s="3">
        <v>-50</v>
      </c>
      <c r="D78" s="3">
        <v>5</v>
      </c>
      <c r="E78" s="4">
        <f t="shared" si="16"/>
        <v>-41.519809045146282</v>
      </c>
      <c r="F78" s="4">
        <f t="shared" si="17"/>
        <v>25.395907430898667</v>
      </c>
      <c r="G78" s="7">
        <f t="shared" si="18"/>
        <v>8.2972817460317358</v>
      </c>
      <c r="H78" s="2">
        <f t="shared" si="19"/>
        <v>-0.1</v>
      </c>
      <c r="I78" s="7">
        <f t="shared" si="20"/>
        <v>8.2992817460317365</v>
      </c>
      <c r="J78" s="4">
        <f t="shared" si="21"/>
        <v>4.5105272610934222</v>
      </c>
      <c r="K78" s="4">
        <f t="shared" si="22"/>
        <v>-2.1527464868869179</v>
      </c>
    </row>
    <row r="79" spans="2:11" x14ac:dyDescent="0.2">
      <c r="B79" s="2">
        <f t="shared" si="15"/>
        <v>370</v>
      </c>
      <c r="C79" s="3">
        <v>-50</v>
      </c>
      <c r="D79" s="3">
        <v>5</v>
      </c>
      <c r="E79" s="4">
        <f t="shared" si="16"/>
        <v>-36.816899595797864</v>
      </c>
      <c r="F79" s="4">
        <f t="shared" si="17"/>
        <v>23.704217057012162</v>
      </c>
      <c r="G79" s="7">
        <f t="shared" si="18"/>
        <v>8.1972817460317362</v>
      </c>
      <c r="H79" s="2">
        <f t="shared" si="19"/>
        <v>-0.1</v>
      </c>
      <c r="I79" s="7">
        <f t="shared" si="20"/>
        <v>8.1992817460317369</v>
      </c>
      <c r="J79" s="4">
        <f t="shared" si="21"/>
        <v>4.7029094493484171</v>
      </c>
      <c r="K79" s="4">
        <f t="shared" si="22"/>
        <v>-1.6916903738865054</v>
      </c>
    </row>
    <row r="80" spans="2:11" x14ac:dyDescent="0.2">
      <c r="B80" s="2">
        <f t="shared" si="15"/>
        <v>375</v>
      </c>
      <c r="C80" s="3">
        <v>-50</v>
      </c>
      <c r="D80" s="3">
        <v>5</v>
      </c>
      <c r="E80" s="4">
        <f t="shared" si="16"/>
        <v>-31.968597874837162</v>
      </c>
      <c r="F80" s="4">
        <f t="shared" si="17"/>
        <v>22.490485607143452</v>
      </c>
      <c r="G80" s="7">
        <f t="shared" si="18"/>
        <v>8.0972817460317366</v>
      </c>
      <c r="H80" s="2">
        <f t="shared" si="19"/>
        <v>-0.1</v>
      </c>
      <c r="I80" s="7">
        <f t="shared" si="20"/>
        <v>8.0992817460317372</v>
      </c>
      <c r="J80" s="4">
        <f t="shared" si="21"/>
        <v>4.8483017209607011</v>
      </c>
      <c r="K80" s="4">
        <f t="shared" si="22"/>
        <v>-1.2137314498687097</v>
      </c>
    </row>
    <row r="81" spans="2:11" x14ac:dyDescent="0.2">
      <c r="B81" s="2">
        <f t="shared" si="15"/>
        <v>380</v>
      </c>
      <c r="C81" s="3">
        <v>1000</v>
      </c>
      <c r="D81" s="3">
        <v>5</v>
      </c>
      <c r="E81" s="4">
        <f t="shared" si="16"/>
        <v>-27.121951164295844</v>
      </c>
      <c r="F81" s="4">
        <f t="shared" si="17"/>
        <v>21.261679853611128</v>
      </c>
      <c r="G81" s="7">
        <f t="shared" si="18"/>
        <v>8.1022817460317373</v>
      </c>
      <c r="H81" s="2">
        <f t="shared" si="19"/>
        <v>5.0000000000000001E-3</v>
      </c>
      <c r="I81" s="7">
        <f t="shared" si="20"/>
        <v>8.1022867460317372</v>
      </c>
      <c r="J81" s="4">
        <f t="shared" si="21"/>
        <v>4.8466467105413171</v>
      </c>
      <c r="K81" s="4">
        <f t="shared" si="22"/>
        <v>-1.2288057535323242</v>
      </c>
    </row>
    <row r="82" spans="2:11" x14ac:dyDescent="0.2">
      <c r="B82" s="2">
        <f t="shared" si="15"/>
        <v>385</v>
      </c>
      <c r="C82" s="3">
        <v>900</v>
      </c>
      <c r="D82" s="3">
        <v>5</v>
      </c>
      <c r="E82" s="4">
        <f t="shared" si="16"/>
        <v>-22.282208566314338</v>
      </c>
      <c r="F82" s="4">
        <f t="shared" si="17"/>
        <v>20.00596201711198</v>
      </c>
      <c r="G82" s="7">
        <f t="shared" si="18"/>
        <v>8.1078373015872938</v>
      </c>
      <c r="H82" s="2">
        <f t="shared" si="19"/>
        <v>5.5555555555555558E-3</v>
      </c>
      <c r="I82" s="7">
        <f t="shared" si="20"/>
        <v>8.1078434744267991</v>
      </c>
      <c r="J82" s="4">
        <f t="shared" si="21"/>
        <v>4.8397425979815072</v>
      </c>
      <c r="K82" s="4">
        <f t="shared" si="22"/>
        <v>-1.2557178364991486</v>
      </c>
    </row>
    <row r="83" spans="2:11" x14ac:dyDescent="0.2">
      <c r="B83" s="2">
        <f t="shared" si="15"/>
        <v>390</v>
      </c>
      <c r="C83" s="3">
        <v>800</v>
      </c>
      <c r="D83" s="3">
        <v>5</v>
      </c>
      <c r="E83" s="4">
        <f t="shared" si="16"/>
        <v>-17.450412438658866</v>
      </c>
      <c r="F83" s="4">
        <f t="shared" si="17"/>
        <v>18.720013028727085</v>
      </c>
      <c r="G83" s="7">
        <f t="shared" si="18"/>
        <v>8.1140873015872934</v>
      </c>
      <c r="H83" s="2">
        <f t="shared" si="19"/>
        <v>6.2500000000000003E-3</v>
      </c>
      <c r="I83" s="7">
        <f t="shared" si="20"/>
        <v>8.1140951140872932</v>
      </c>
      <c r="J83" s="4">
        <f t="shared" si="21"/>
        <v>4.8317961276554708</v>
      </c>
      <c r="K83" s="4">
        <f t="shared" si="22"/>
        <v>-1.2859489883848938</v>
      </c>
    </row>
    <row r="84" spans="2:11" x14ac:dyDescent="0.2">
      <c r="B84" s="2">
        <f t="shared" si="15"/>
        <v>395</v>
      </c>
      <c r="C84" s="3">
        <v>700</v>
      </c>
      <c r="D84" s="3">
        <v>5</v>
      </c>
      <c r="E84" s="4">
        <f t="shared" si="16"/>
        <v>-12.627930403117546</v>
      </c>
      <c r="F84" s="4">
        <f t="shared" si="17"/>
        <v>17.399573433554643</v>
      </c>
      <c r="G84" s="7">
        <f t="shared" si="18"/>
        <v>8.1212301587301514</v>
      </c>
      <c r="H84" s="2">
        <f t="shared" si="19"/>
        <v>7.1428571428571426E-3</v>
      </c>
      <c r="I84" s="7">
        <f t="shared" si="20"/>
        <v>8.1212403628117844</v>
      </c>
      <c r="J84" s="4">
        <f t="shared" si="21"/>
        <v>4.8224820355413192</v>
      </c>
      <c r="K84" s="4">
        <f t="shared" si="22"/>
        <v>-1.3204395951724404</v>
      </c>
    </row>
    <row r="85" spans="2:11" x14ac:dyDescent="0.2">
      <c r="B85" s="2">
        <f t="shared" si="15"/>
        <v>400</v>
      </c>
      <c r="C85" s="3">
        <v>600</v>
      </c>
      <c r="D85" s="3">
        <v>5</v>
      </c>
      <c r="E85" s="4">
        <f t="shared" si="16"/>
        <v>-7.8166280568344213</v>
      </c>
      <c r="F85" s="4">
        <f t="shared" si="17"/>
        <v>16.038976117291327</v>
      </c>
      <c r="G85" s="7">
        <f t="shared" si="18"/>
        <v>8.1295634920634843</v>
      </c>
      <c r="H85" s="2">
        <f t="shared" si="19"/>
        <v>8.3333333333333332E-3</v>
      </c>
      <c r="I85" s="7">
        <f t="shared" si="20"/>
        <v>8.129577380952373</v>
      </c>
      <c r="J85" s="4">
        <f t="shared" si="21"/>
        <v>4.8113023462831244</v>
      </c>
      <c r="K85" s="4">
        <f t="shared" si="22"/>
        <v>-1.3605973162633169</v>
      </c>
    </row>
  </sheetData>
  <phoneticPr fontId="1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V95"/>
  <sheetViews>
    <sheetView zoomScale="70" zoomScaleNormal="70" workbookViewId="0">
      <selection activeCell="N6" sqref="N6"/>
    </sheetView>
  </sheetViews>
  <sheetFormatPr defaultRowHeight="13" x14ac:dyDescent="0.2"/>
  <cols>
    <col min="1" max="1" width="10.7265625" bestFit="1" customWidth="1"/>
    <col min="5" max="5" width="10.36328125" bestFit="1" customWidth="1"/>
    <col min="6" max="6" width="9" customWidth="1"/>
    <col min="8" max="8" width="11.453125" bestFit="1" customWidth="1"/>
  </cols>
  <sheetData>
    <row r="1" spans="1:22" x14ac:dyDescent="0.2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  <c r="Q1">
        <v>17</v>
      </c>
      <c r="R1">
        <v>18</v>
      </c>
      <c r="S1">
        <v>19</v>
      </c>
      <c r="T1">
        <v>20</v>
      </c>
      <c r="U1">
        <v>21</v>
      </c>
      <c r="V1">
        <v>22</v>
      </c>
    </row>
    <row r="2" spans="1:22" x14ac:dyDescent="0.2">
      <c r="A2" s="2" t="s">
        <v>23</v>
      </c>
      <c r="B2" s="3">
        <v>1.1499999999999999</v>
      </c>
      <c r="C2" s="2" t="s">
        <v>37</v>
      </c>
      <c r="E2" s="20" t="s">
        <v>30</v>
      </c>
      <c r="F2" s="20"/>
      <c r="G2" s="3">
        <v>1350</v>
      </c>
      <c r="H2" s="2" t="s">
        <v>34</v>
      </c>
    </row>
    <row r="3" spans="1:22" x14ac:dyDescent="0.2">
      <c r="A3" s="2" t="s">
        <v>24</v>
      </c>
      <c r="B3" s="3">
        <v>0.85</v>
      </c>
      <c r="C3" s="2" t="s">
        <v>38</v>
      </c>
      <c r="E3" s="20" t="s">
        <v>31</v>
      </c>
      <c r="F3" s="20"/>
      <c r="G3" s="3">
        <v>20</v>
      </c>
      <c r="H3" s="2" t="s">
        <v>35</v>
      </c>
    </row>
    <row r="4" spans="1:22" x14ac:dyDescent="0.2">
      <c r="A4" s="2" t="s">
        <v>25</v>
      </c>
      <c r="B4" s="3">
        <v>0.45</v>
      </c>
      <c r="C4" s="2" t="s">
        <v>39</v>
      </c>
      <c r="E4" s="20" t="s">
        <v>32</v>
      </c>
      <c r="F4" s="20"/>
      <c r="G4" s="3">
        <v>150</v>
      </c>
      <c r="H4" s="2" t="s">
        <v>35</v>
      </c>
    </row>
    <row r="5" spans="1:22" x14ac:dyDescent="0.2">
      <c r="A5" s="2" t="s">
        <v>26</v>
      </c>
      <c r="B5" s="3">
        <v>0.9</v>
      </c>
      <c r="C5" s="2" t="s">
        <v>40</v>
      </c>
      <c r="E5" s="20" t="s">
        <v>33</v>
      </c>
      <c r="F5" s="20"/>
      <c r="G5" s="2"/>
      <c r="H5" s="2" t="s">
        <v>36</v>
      </c>
    </row>
    <row r="6" spans="1:22" x14ac:dyDescent="0.2">
      <c r="A6" s="2" t="s">
        <v>27</v>
      </c>
      <c r="B6" s="3">
        <v>0.05</v>
      </c>
      <c r="C6" s="2" t="s">
        <v>41</v>
      </c>
    </row>
    <row r="7" spans="1:22" x14ac:dyDescent="0.2">
      <c r="A7" s="2" t="s">
        <v>28</v>
      </c>
      <c r="B7" s="3">
        <v>150</v>
      </c>
      <c r="C7" s="2" t="s">
        <v>42</v>
      </c>
      <c r="E7" s="2" t="s">
        <v>44</v>
      </c>
      <c r="F7" s="2"/>
      <c r="G7" s="2" t="s">
        <v>47</v>
      </c>
    </row>
    <row r="8" spans="1:22" x14ac:dyDescent="0.2">
      <c r="E8" s="21" t="s">
        <v>45</v>
      </c>
      <c r="F8" s="22"/>
      <c r="G8" s="2"/>
    </row>
    <row r="9" spans="1:22" x14ac:dyDescent="0.2">
      <c r="A9" s="2" t="s">
        <v>29</v>
      </c>
      <c r="B9" s="3">
        <v>80</v>
      </c>
      <c r="C9" s="2" t="s">
        <v>43</v>
      </c>
      <c r="E9" s="21" t="s">
        <v>46</v>
      </c>
      <c r="F9" s="22"/>
      <c r="G9" s="2">
        <v>15</v>
      </c>
    </row>
    <row r="11" spans="1:22" x14ac:dyDescent="0.2">
      <c r="A11" s="2"/>
      <c r="B11" s="16" t="s">
        <v>59</v>
      </c>
      <c r="C11" s="16"/>
      <c r="D11" s="16"/>
      <c r="E11" s="16"/>
      <c r="F11" s="16"/>
      <c r="G11" s="16"/>
      <c r="H11" s="16" t="s">
        <v>60</v>
      </c>
      <c r="I11" s="16"/>
      <c r="J11" s="16"/>
      <c r="K11" s="16"/>
      <c r="L11" s="16"/>
      <c r="M11" s="16"/>
      <c r="N11" s="16"/>
      <c r="O11" s="17" t="s">
        <v>61</v>
      </c>
      <c r="P11" s="18"/>
      <c r="Q11" s="18"/>
      <c r="R11" s="18"/>
      <c r="S11" s="19"/>
      <c r="T11" s="13"/>
      <c r="U11" s="13"/>
      <c r="V11" s="13"/>
    </row>
    <row r="12" spans="1:22" ht="26" x14ac:dyDescent="0.2">
      <c r="A12" s="10" t="s">
        <v>48</v>
      </c>
      <c r="B12" s="10" t="s">
        <v>49</v>
      </c>
      <c r="C12" s="10" t="s">
        <v>50</v>
      </c>
      <c r="D12" s="10" t="s">
        <v>51</v>
      </c>
      <c r="E12" s="10" t="s">
        <v>52</v>
      </c>
      <c r="F12" s="10" t="s">
        <v>53</v>
      </c>
      <c r="G12" s="12" t="s">
        <v>54</v>
      </c>
      <c r="H12" s="10" t="s">
        <v>49</v>
      </c>
      <c r="I12" s="10" t="s">
        <v>50</v>
      </c>
      <c r="J12" s="10" t="s">
        <v>51</v>
      </c>
      <c r="K12" s="10" t="s">
        <v>52</v>
      </c>
      <c r="L12" s="10" t="s">
        <v>53</v>
      </c>
      <c r="M12" s="10" t="s">
        <v>55</v>
      </c>
      <c r="N12" s="12" t="s">
        <v>56</v>
      </c>
      <c r="O12" s="10" t="s">
        <v>57</v>
      </c>
      <c r="P12" s="10" t="s">
        <v>58</v>
      </c>
      <c r="Q12" s="10" t="s">
        <v>52</v>
      </c>
      <c r="R12" s="10" t="s">
        <v>53</v>
      </c>
      <c r="S12" s="12" t="s">
        <v>54</v>
      </c>
      <c r="T12" s="10" t="str">
        <f>'Traveling Line'!B2</f>
        <v>距離</v>
      </c>
      <c r="U12" s="10" t="str">
        <f>'Traveling Line'!C2</f>
        <v>曲率半径</v>
      </c>
      <c r="V12" s="10" t="str">
        <f>'Traveling Line'!D2</f>
        <v>距離</v>
      </c>
    </row>
    <row r="13" spans="1:22" x14ac:dyDescent="0.2">
      <c r="A13" s="10" t="s">
        <v>62</v>
      </c>
      <c r="B13" s="10" t="s">
        <v>64</v>
      </c>
      <c r="C13" s="10" t="s">
        <v>66</v>
      </c>
      <c r="D13" s="10" t="s">
        <v>68</v>
      </c>
      <c r="E13" s="10" t="s">
        <v>70</v>
      </c>
      <c r="F13" s="10" t="s">
        <v>72</v>
      </c>
      <c r="G13" s="10" t="s">
        <v>74</v>
      </c>
      <c r="H13" s="10" t="s">
        <v>64</v>
      </c>
      <c r="I13" s="10" t="s">
        <v>66</v>
      </c>
      <c r="J13" s="10" t="s">
        <v>68</v>
      </c>
      <c r="K13" s="10" t="s">
        <v>70</v>
      </c>
      <c r="L13" s="10" t="s">
        <v>72</v>
      </c>
      <c r="M13" s="10" t="s">
        <v>76</v>
      </c>
      <c r="N13" s="10" t="s">
        <v>74</v>
      </c>
      <c r="O13" s="10" t="s">
        <v>77</v>
      </c>
      <c r="P13" s="10" t="s">
        <v>79</v>
      </c>
      <c r="Q13" s="10" t="s">
        <v>70</v>
      </c>
      <c r="R13" s="10" t="s">
        <v>72</v>
      </c>
      <c r="S13" s="10" t="s">
        <v>74</v>
      </c>
      <c r="T13" s="10" t="str">
        <f>'Traveling Line'!B3</f>
        <v>L</v>
      </c>
      <c r="U13" s="10" t="str">
        <f>'Traveling Line'!C3</f>
        <v>m</v>
      </c>
      <c r="V13" s="10" t="str">
        <f>'Traveling Line'!D3</f>
        <v>ΔL</v>
      </c>
    </row>
    <row r="14" spans="1:22" x14ac:dyDescent="0.2">
      <c r="A14" s="10" t="s">
        <v>63</v>
      </c>
      <c r="B14" s="10" t="s">
        <v>81</v>
      </c>
      <c r="C14" s="10" t="s">
        <v>67</v>
      </c>
      <c r="D14" s="10" t="s">
        <v>69</v>
      </c>
      <c r="E14" s="10" t="s">
        <v>71</v>
      </c>
      <c r="F14" s="10" t="s">
        <v>73</v>
      </c>
      <c r="G14" s="10" t="s">
        <v>75</v>
      </c>
      <c r="H14" s="10" t="s">
        <v>65</v>
      </c>
      <c r="I14" s="10" t="s">
        <v>67</v>
      </c>
      <c r="J14" s="10" t="s">
        <v>69</v>
      </c>
      <c r="K14" s="10" t="s">
        <v>71</v>
      </c>
      <c r="L14" s="10" t="s">
        <v>73</v>
      </c>
      <c r="M14" s="10" t="s">
        <v>73</v>
      </c>
      <c r="N14" s="10" t="s">
        <v>75</v>
      </c>
      <c r="O14" s="10" t="s">
        <v>78</v>
      </c>
      <c r="P14" s="10" t="s">
        <v>80</v>
      </c>
      <c r="Q14" s="10" t="s">
        <v>71</v>
      </c>
      <c r="R14" s="10" t="s">
        <v>73</v>
      </c>
      <c r="S14" s="10" t="s">
        <v>75</v>
      </c>
      <c r="T14" s="10" t="str">
        <f>'Traveling Line'!B4</f>
        <v>m</v>
      </c>
      <c r="U14" s="10" t="str">
        <f>'Traveling Line'!C4</f>
        <v>m</v>
      </c>
      <c r="V14" s="10" t="str">
        <f>'Traveling Line'!D4</f>
        <v>m</v>
      </c>
    </row>
    <row r="15" spans="1:22" x14ac:dyDescent="0.2">
      <c r="A15" s="11">
        <f>IF((ABS(U17)*B$2*9.806)^0.5&gt;B$7/3.6,B$7/3.6,(ABS(U17)*B$2*9.806)^0.5)</f>
        <v>41.666666666666664</v>
      </c>
      <c r="B15" s="2">
        <v>28.483709236146705</v>
      </c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9"/>
      <c r="R15" s="9"/>
      <c r="S15" s="9"/>
      <c r="T15" s="2">
        <f>'Traveling Line'!B5</f>
        <v>0</v>
      </c>
      <c r="U15" s="2">
        <f>'Traveling Line'!C5</f>
        <v>1000</v>
      </c>
      <c r="V15" s="9">
        <f>'Traveling Line'!D5</f>
        <v>0</v>
      </c>
    </row>
    <row r="16" spans="1:22" x14ac:dyDescent="0.2">
      <c r="A16" s="11">
        <f t="shared" ref="A16:A79" si="0">IF((ABS(U18)*B$2*9.806)^0.5&gt;B$7/3.6,B$7/3.6,(ABS(U18)*B$2*9.806)^0.5)</f>
        <v>41.666666666666664</v>
      </c>
      <c r="B16" s="2">
        <v>26.996787485535602</v>
      </c>
      <c r="C16" s="2">
        <v>-1.4869217506111028</v>
      </c>
      <c r="D16" s="2">
        <v>0.18024351963114102</v>
      </c>
      <c r="E16" s="2">
        <v>0.8113216918493491</v>
      </c>
      <c r="F16" s="2">
        <v>-8.2495157310177412</v>
      </c>
      <c r="G16" s="2">
        <v>0.99234354329535523</v>
      </c>
      <c r="H16" s="2"/>
      <c r="I16" s="2"/>
      <c r="J16" s="2"/>
      <c r="K16" s="2"/>
      <c r="L16" s="2"/>
      <c r="M16" s="2"/>
      <c r="N16" s="2"/>
      <c r="O16" s="2"/>
      <c r="P16" s="2"/>
      <c r="Q16" s="9"/>
      <c r="R16" s="9"/>
      <c r="S16" s="9"/>
      <c r="T16" s="2">
        <f>'Traveling Line'!B6</f>
        <v>5</v>
      </c>
      <c r="U16" s="2">
        <f>'Traveling Line'!C6</f>
        <v>900</v>
      </c>
      <c r="V16" s="9">
        <f>'Traveling Line'!D6</f>
        <v>5</v>
      </c>
    </row>
    <row r="17" spans="1:22" x14ac:dyDescent="0.2">
      <c r="A17" s="11">
        <f t="shared" si="0"/>
        <v>41.666666666666664</v>
      </c>
      <c r="B17" s="2">
        <v>25.423100904181322</v>
      </c>
      <c r="C17" s="2">
        <v>-1.5736865813542806</v>
      </c>
      <c r="D17" s="2">
        <v>0.19076728904218107</v>
      </c>
      <c r="E17" s="2">
        <v>0.8098072605990797</v>
      </c>
      <c r="F17" s="2">
        <v>-8.2492474954986577</v>
      </c>
      <c r="G17" s="2">
        <v>0.99230171881133922</v>
      </c>
      <c r="H17" s="2"/>
      <c r="I17" s="2"/>
      <c r="J17" s="2"/>
      <c r="K17" s="2"/>
      <c r="L17" s="2"/>
      <c r="M17" s="2"/>
      <c r="N17" s="2"/>
      <c r="O17" s="2"/>
      <c r="P17" s="2"/>
      <c r="Q17" s="9"/>
      <c r="R17" s="9"/>
      <c r="S17" s="9"/>
      <c r="T17" s="2">
        <f>'Traveling Line'!B7</f>
        <v>10</v>
      </c>
      <c r="U17" s="2">
        <f>'Traveling Line'!C7</f>
        <v>800</v>
      </c>
      <c r="V17" s="9">
        <f>'Traveling Line'!D7</f>
        <v>5</v>
      </c>
    </row>
    <row r="18" spans="1:22" x14ac:dyDescent="0.2">
      <c r="A18" s="11">
        <f t="shared" si="0"/>
        <v>23.745420611141</v>
      </c>
      <c r="B18" s="2">
        <v>23.745420611141</v>
      </c>
      <c r="C18" s="2">
        <v>-1.6776802930403214</v>
      </c>
      <c r="D18" s="2">
        <v>0.20338215776701182</v>
      </c>
      <c r="E18" s="2">
        <v>0.80791757448023149</v>
      </c>
      <c r="F18" s="2">
        <v>-8.2489059584185309</v>
      </c>
      <c r="G18" s="2">
        <v>0.99224873721484075</v>
      </c>
      <c r="H18" s="2"/>
      <c r="I18" s="2"/>
      <c r="J18" s="2"/>
      <c r="K18" s="2"/>
      <c r="L18" s="2"/>
      <c r="M18" s="2"/>
      <c r="N18" s="2"/>
      <c r="O18" s="2"/>
      <c r="P18" s="2"/>
      <c r="Q18" s="9"/>
      <c r="R18" s="9"/>
      <c r="S18" s="9"/>
      <c r="T18" s="2">
        <f>'Traveling Line'!B8</f>
        <v>15</v>
      </c>
      <c r="U18" s="2">
        <f>'Traveling Line'!C8</f>
        <v>700</v>
      </c>
      <c r="V18" s="9">
        <f>'Traveling Line'!D8</f>
        <v>5</v>
      </c>
    </row>
    <row r="19" spans="1:22" x14ac:dyDescent="0.2">
      <c r="A19" s="11">
        <f t="shared" si="0"/>
        <v>23.745420611141</v>
      </c>
      <c r="B19" s="2">
        <v>23.745420611141</v>
      </c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9"/>
      <c r="R19" s="9"/>
      <c r="S19" s="9"/>
      <c r="T19" s="2">
        <f>'Traveling Line'!B9</f>
        <v>20</v>
      </c>
      <c r="U19" s="2">
        <f>'Traveling Line'!C9</f>
        <v>600</v>
      </c>
      <c r="V19" s="9">
        <f>'Traveling Line'!D9</f>
        <v>5</v>
      </c>
    </row>
    <row r="20" spans="1:22" x14ac:dyDescent="0.2">
      <c r="A20" s="11">
        <f t="shared" si="0"/>
        <v>23.745420611141</v>
      </c>
      <c r="B20" s="2">
        <v>23.745420611141</v>
      </c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9"/>
      <c r="R20" s="9"/>
      <c r="S20" s="9"/>
      <c r="T20" s="2">
        <f>'Traveling Line'!B10</f>
        <v>25</v>
      </c>
      <c r="U20" s="2">
        <f>'Traveling Line'!C10</f>
        <v>50</v>
      </c>
      <c r="V20" s="9">
        <f>'Traveling Line'!D10</f>
        <v>5</v>
      </c>
    </row>
    <row r="21" spans="1:22" x14ac:dyDescent="0.2">
      <c r="A21" s="11">
        <f t="shared" si="0"/>
        <v>23.745420611141</v>
      </c>
      <c r="B21" s="2">
        <v>23.745420611141</v>
      </c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9"/>
      <c r="R21" s="9"/>
      <c r="S21" s="9"/>
      <c r="T21" s="2">
        <f>'Traveling Line'!B11</f>
        <v>30</v>
      </c>
      <c r="U21" s="2">
        <f>'Traveling Line'!C11</f>
        <v>50</v>
      </c>
      <c r="V21" s="9">
        <f>'Traveling Line'!D11</f>
        <v>5</v>
      </c>
    </row>
    <row r="22" spans="1:22" x14ac:dyDescent="0.2">
      <c r="A22" s="11">
        <f t="shared" si="0"/>
        <v>23.745420611141</v>
      </c>
      <c r="B22" s="2">
        <v>23.745420611141</v>
      </c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9"/>
      <c r="R22" s="9"/>
      <c r="S22" s="9"/>
      <c r="T22" s="2">
        <f>'Traveling Line'!B12</f>
        <v>35</v>
      </c>
      <c r="U22" s="2">
        <f>'Traveling Line'!C12</f>
        <v>50</v>
      </c>
      <c r="V22" s="9">
        <f>'Traveling Line'!D12</f>
        <v>5</v>
      </c>
    </row>
    <row r="23" spans="1:22" x14ac:dyDescent="0.2">
      <c r="A23" s="11">
        <f t="shared" si="0"/>
        <v>23.745420611141</v>
      </c>
      <c r="B23" s="2">
        <v>23.745420611141</v>
      </c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9"/>
      <c r="R23" s="9"/>
      <c r="S23" s="9"/>
      <c r="T23" s="2">
        <f>'Traveling Line'!B13</f>
        <v>40</v>
      </c>
      <c r="U23" s="2">
        <f>'Traveling Line'!C13</f>
        <v>50</v>
      </c>
      <c r="V23" s="9">
        <f>'Traveling Line'!D13</f>
        <v>5</v>
      </c>
    </row>
    <row r="24" spans="1:22" x14ac:dyDescent="0.2">
      <c r="A24" s="11">
        <f t="shared" si="0"/>
        <v>23.745420611141</v>
      </c>
      <c r="B24" s="2">
        <v>23.745420611141</v>
      </c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9"/>
      <c r="R24" s="9"/>
      <c r="S24" s="9"/>
      <c r="T24" s="2">
        <f>'Traveling Line'!B14</f>
        <v>45</v>
      </c>
      <c r="U24" s="2">
        <f>'Traveling Line'!C14</f>
        <v>50</v>
      </c>
      <c r="V24" s="9">
        <f>'Traveling Line'!D14</f>
        <v>5</v>
      </c>
    </row>
    <row r="25" spans="1:22" x14ac:dyDescent="0.2">
      <c r="A25" s="11">
        <f t="shared" si="0"/>
        <v>23.745420611141</v>
      </c>
      <c r="B25" s="2">
        <v>23.745420611141</v>
      </c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9"/>
      <c r="R25" s="9"/>
      <c r="S25" s="9"/>
      <c r="T25" s="2">
        <f>'Traveling Line'!B15</f>
        <v>50</v>
      </c>
      <c r="U25" s="2">
        <f>'Traveling Line'!C15</f>
        <v>50</v>
      </c>
      <c r="V25" s="9">
        <f>'Traveling Line'!D15</f>
        <v>5</v>
      </c>
    </row>
    <row r="26" spans="1:22" x14ac:dyDescent="0.2">
      <c r="A26" s="11">
        <f t="shared" si="0"/>
        <v>23.745420611141</v>
      </c>
      <c r="B26" s="2">
        <v>23.745420611141</v>
      </c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9"/>
      <c r="R26" s="9"/>
      <c r="S26" s="9"/>
      <c r="T26" s="2">
        <f>'Traveling Line'!B16</f>
        <v>55</v>
      </c>
      <c r="U26" s="2">
        <f>'Traveling Line'!C16</f>
        <v>50</v>
      </c>
      <c r="V26" s="9">
        <f>'Traveling Line'!D16</f>
        <v>5</v>
      </c>
    </row>
    <row r="27" spans="1:22" x14ac:dyDescent="0.2">
      <c r="A27" s="11">
        <f t="shared" si="0"/>
        <v>23.745420611141</v>
      </c>
      <c r="B27" s="2">
        <v>23.745420611141</v>
      </c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9"/>
      <c r="R27" s="9"/>
      <c r="S27" s="9"/>
      <c r="T27" s="2">
        <f>'Traveling Line'!B17</f>
        <v>60</v>
      </c>
      <c r="U27" s="2">
        <f>'Traveling Line'!C17</f>
        <v>50</v>
      </c>
      <c r="V27" s="9">
        <f>'Traveling Line'!D17</f>
        <v>5</v>
      </c>
    </row>
    <row r="28" spans="1:22" x14ac:dyDescent="0.2">
      <c r="A28" s="11">
        <f t="shared" si="0"/>
        <v>23.745420611141</v>
      </c>
      <c r="B28" s="2">
        <v>23.745420611141</v>
      </c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9"/>
      <c r="R28" s="9"/>
      <c r="S28" s="9"/>
      <c r="T28" s="2">
        <f>'Traveling Line'!B18</f>
        <v>65</v>
      </c>
      <c r="U28" s="2">
        <f>'Traveling Line'!C18</f>
        <v>50</v>
      </c>
      <c r="V28" s="9">
        <f>'Traveling Line'!D18</f>
        <v>5</v>
      </c>
    </row>
    <row r="29" spans="1:22" x14ac:dyDescent="0.2">
      <c r="A29" s="11">
        <f t="shared" si="0"/>
        <v>33.581095872529232</v>
      </c>
      <c r="B29" s="2">
        <v>33.556700407147076</v>
      </c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9"/>
      <c r="R29" s="9"/>
      <c r="S29" s="9"/>
      <c r="T29" s="2">
        <f>'Traveling Line'!B19</f>
        <v>70</v>
      </c>
      <c r="U29" s="2">
        <f>'Traveling Line'!C19</f>
        <v>50</v>
      </c>
      <c r="V29" s="9">
        <f>'Traveling Line'!D19</f>
        <v>5</v>
      </c>
    </row>
    <row r="30" spans="1:22" x14ac:dyDescent="0.2">
      <c r="A30" s="11">
        <f t="shared" si="0"/>
        <v>33.581095872529232</v>
      </c>
      <c r="B30" s="2">
        <v>33.55670895782778</v>
      </c>
      <c r="C30" s="2">
        <v>8.5506807039337218E-6</v>
      </c>
      <c r="D30" s="2">
        <v>0.14900151988432284</v>
      </c>
      <c r="E30" s="2">
        <v>22.521042844300496</v>
      </c>
      <c r="F30" s="2">
        <v>5.7386533443229526E-5</v>
      </c>
      <c r="G30" s="2">
        <v>1.9970951985416501</v>
      </c>
      <c r="H30" s="2"/>
      <c r="I30" s="2"/>
      <c r="J30" s="2"/>
      <c r="K30" s="2"/>
      <c r="L30" s="2"/>
      <c r="M30" s="2"/>
      <c r="N30" s="2"/>
      <c r="O30" s="2"/>
      <c r="P30" s="2"/>
      <c r="Q30" s="9"/>
      <c r="R30" s="9"/>
      <c r="S30" s="9"/>
      <c r="T30" s="2">
        <f>'Traveling Line'!B20</f>
        <v>75</v>
      </c>
      <c r="U30" s="2">
        <f>'Traveling Line'!C20</f>
        <v>50</v>
      </c>
      <c r="V30" s="9">
        <f>'Traveling Line'!D20</f>
        <v>5</v>
      </c>
    </row>
    <row r="31" spans="1:22" x14ac:dyDescent="0.2">
      <c r="A31" s="11">
        <f t="shared" si="0"/>
        <v>33.581095872529232</v>
      </c>
      <c r="B31" s="2">
        <v>33.568902413675211</v>
      </c>
      <c r="C31" s="2">
        <v>1.2193455847430812E-2</v>
      </c>
      <c r="D31" s="2">
        <v>0.14897443458139326</v>
      </c>
      <c r="E31" s="2">
        <v>22.521054321607185</v>
      </c>
      <c r="F31" s="2">
        <v>8.1849317849022135E-2</v>
      </c>
      <c r="G31" s="2">
        <v>1.9971203585037918</v>
      </c>
      <c r="H31" s="2"/>
      <c r="I31" s="2"/>
      <c r="J31" s="2"/>
      <c r="K31" s="2"/>
      <c r="L31" s="2"/>
      <c r="M31" s="2"/>
      <c r="N31" s="2"/>
      <c r="O31" s="2"/>
      <c r="P31" s="2"/>
      <c r="Q31" s="9"/>
      <c r="R31" s="9"/>
      <c r="S31" s="9"/>
      <c r="T31" s="2">
        <f>'Traveling Line'!B21</f>
        <v>80</v>
      </c>
      <c r="U31" s="2">
        <f>'Traveling Line'!C21</f>
        <v>100</v>
      </c>
      <c r="V31" s="9">
        <f>'Traveling Line'!D21</f>
        <v>5</v>
      </c>
    </row>
    <row r="32" spans="1:22" x14ac:dyDescent="0.2">
      <c r="A32" s="11">
        <f t="shared" si="0"/>
        <v>33.581095872529232</v>
      </c>
      <c r="B32" s="2">
        <v>33.568898124738382</v>
      </c>
      <c r="C32" s="2">
        <v>-4.2889368288001606E-6</v>
      </c>
      <c r="D32" s="2">
        <v>0.14894738760883888</v>
      </c>
      <c r="E32" s="2">
        <v>11.268712092588494</v>
      </c>
      <c r="F32" s="2">
        <v>-2.8794978533384129E-5</v>
      </c>
      <c r="G32" s="2">
        <v>0.99927392214667488</v>
      </c>
      <c r="H32" s="2"/>
      <c r="I32" s="2"/>
      <c r="J32" s="2"/>
      <c r="K32" s="2"/>
      <c r="L32" s="2"/>
      <c r="M32" s="2"/>
      <c r="N32" s="2"/>
      <c r="O32" s="2"/>
      <c r="P32" s="2"/>
      <c r="Q32" s="9"/>
      <c r="R32" s="9"/>
      <c r="S32" s="9"/>
      <c r="T32" s="2">
        <f>'Traveling Line'!B22</f>
        <v>85</v>
      </c>
      <c r="U32" s="2">
        <f>'Traveling Line'!C22</f>
        <v>100</v>
      </c>
      <c r="V32" s="9">
        <f>'Traveling Line'!D22</f>
        <v>5</v>
      </c>
    </row>
    <row r="33" spans="1:22" x14ac:dyDescent="0.2">
      <c r="A33" s="11">
        <f t="shared" si="0"/>
        <v>33.581095872529232</v>
      </c>
      <c r="B33" s="2">
        <v>33.556665907492942</v>
      </c>
      <c r="C33" s="2">
        <v>-1.2232217245440324E-2</v>
      </c>
      <c r="D33" s="2">
        <v>0.14897453964332208</v>
      </c>
      <c r="E33" s="2">
        <v>11.26870921309064</v>
      </c>
      <c r="F33" s="2">
        <v>-8.2109448196496876E-2</v>
      </c>
      <c r="G33" s="2">
        <v>0.99932222243200386</v>
      </c>
      <c r="H33" s="2"/>
      <c r="I33" s="2"/>
      <c r="J33" s="2"/>
      <c r="K33" s="2"/>
      <c r="L33" s="2"/>
      <c r="M33" s="2"/>
      <c r="N33" s="2"/>
      <c r="O33" s="2"/>
      <c r="P33" s="2"/>
      <c r="Q33" s="9"/>
      <c r="R33" s="9"/>
      <c r="S33" s="9"/>
      <c r="T33" s="2">
        <f>'Traveling Line'!B23</f>
        <v>90</v>
      </c>
      <c r="U33" s="2">
        <f>'Traveling Line'!C23</f>
        <v>100</v>
      </c>
      <c r="V33" s="9">
        <f>'Traveling Line'!D23</f>
        <v>5</v>
      </c>
    </row>
    <row r="34" spans="1:22" x14ac:dyDescent="0.2">
      <c r="A34" s="11">
        <f t="shared" si="0"/>
        <v>33.581095872529232</v>
      </c>
      <c r="B34" s="2">
        <v>33.507596879168474</v>
      </c>
      <c r="C34" s="2">
        <v>-4.9069028324467467E-2</v>
      </c>
      <c r="D34" s="2">
        <v>0.14911071238956383</v>
      </c>
      <c r="E34" s="2">
        <v>11.260498268270991</v>
      </c>
      <c r="F34" s="2">
        <v>-0.32907782102382188</v>
      </c>
      <c r="G34" s="2">
        <v>0.99932574990241818</v>
      </c>
      <c r="H34" s="2"/>
      <c r="I34" s="2"/>
      <c r="J34" s="2"/>
      <c r="K34" s="2"/>
      <c r="L34" s="2"/>
      <c r="M34" s="2"/>
      <c r="N34" s="2"/>
      <c r="O34" s="2"/>
      <c r="P34" s="2"/>
      <c r="Q34" s="9"/>
      <c r="R34" s="9"/>
      <c r="S34" s="9"/>
      <c r="T34" s="2">
        <f>'Traveling Line'!B24</f>
        <v>95</v>
      </c>
      <c r="U34" s="2">
        <f>'Traveling Line'!C24</f>
        <v>100</v>
      </c>
      <c r="V34" s="9">
        <f>'Traveling Line'!D24</f>
        <v>5</v>
      </c>
    </row>
    <row r="35" spans="1:22" x14ac:dyDescent="0.2">
      <c r="A35" s="11">
        <f t="shared" si="0"/>
        <v>33.581095872529232</v>
      </c>
      <c r="B35" s="2">
        <v>33.408790662915649</v>
      </c>
      <c r="C35" s="2">
        <v>-9.8806216252825152E-2</v>
      </c>
      <c r="D35" s="2">
        <v>0.14944022484344271</v>
      </c>
      <c r="E35" s="2">
        <v>11.227590486168609</v>
      </c>
      <c r="F35" s="2">
        <v>-0.6611755058341019</v>
      </c>
      <c r="G35" s="2">
        <v>0.99878237390949975</v>
      </c>
      <c r="H35" s="2"/>
      <c r="I35" s="2"/>
      <c r="J35" s="2"/>
      <c r="K35" s="2"/>
      <c r="L35" s="2"/>
      <c r="M35" s="2"/>
      <c r="N35" s="2"/>
      <c r="O35" s="2"/>
      <c r="P35" s="2"/>
      <c r="Q35" s="9"/>
      <c r="R35" s="9"/>
      <c r="S35" s="9"/>
      <c r="T35" s="2">
        <f>'Traveling Line'!B25</f>
        <v>100</v>
      </c>
      <c r="U35" s="2">
        <f>'Traveling Line'!C25</f>
        <v>100</v>
      </c>
      <c r="V35" s="9">
        <f>'Traveling Line'!D25</f>
        <v>5</v>
      </c>
    </row>
    <row r="36" spans="1:22" x14ac:dyDescent="0.2">
      <c r="A36" s="11">
        <f t="shared" si="0"/>
        <v>33.581095872529232</v>
      </c>
      <c r="B36" s="2">
        <v>33.246455899336731</v>
      </c>
      <c r="C36" s="2">
        <v>-0.16233476357891874</v>
      </c>
      <c r="D36" s="2">
        <v>0.15002569963732026</v>
      </c>
      <c r="E36" s="2">
        <v>11.161472935585198</v>
      </c>
      <c r="F36" s="2">
        <v>-1.0820463691977777</v>
      </c>
      <c r="G36" s="2">
        <v>0.99824149203394041</v>
      </c>
      <c r="H36" s="2"/>
      <c r="I36" s="2"/>
      <c r="J36" s="2"/>
      <c r="K36" s="2"/>
      <c r="L36" s="2"/>
      <c r="M36" s="2"/>
      <c r="N36" s="2"/>
      <c r="O36" s="2"/>
      <c r="P36" s="2"/>
      <c r="Q36" s="9"/>
      <c r="R36" s="9"/>
      <c r="S36" s="9"/>
      <c r="T36" s="2">
        <f>'Traveling Line'!B26</f>
        <v>105</v>
      </c>
      <c r="U36" s="2">
        <f>'Traveling Line'!C26</f>
        <v>100</v>
      </c>
      <c r="V36" s="9">
        <f>'Traveling Line'!D26</f>
        <v>5</v>
      </c>
    </row>
    <row r="37" spans="1:22" x14ac:dyDescent="0.2">
      <c r="A37" s="11">
        <f t="shared" si="0"/>
        <v>33.581095872529232</v>
      </c>
      <c r="B37" s="2">
        <v>33.005642692488948</v>
      </c>
      <c r="C37" s="2">
        <v>-0.24081320684778262</v>
      </c>
      <c r="D37" s="2">
        <v>0.15093861496538047</v>
      </c>
      <c r="E37" s="2">
        <v>11.05326829866542</v>
      </c>
      <c r="F37" s="2">
        <v>-1.5954380322293003</v>
      </c>
      <c r="G37" s="2">
        <f>'Speed Calc'!G$3</f>
        <v>20</v>
      </c>
      <c r="H37" s="2"/>
      <c r="I37" s="2"/>
      <c r="J37" s="2"/>
      <c r="K37" s="2"/>
      <c r="L37" s="2"/>
      <c r="M37" s="2"/>
      <c r="N37" s="2"/>
      <c r="O37" s="2"/>
      <c r="P37" s="2"/>
      <c r="Q37" s="9"/>
      <c r="R37" s="9"/>
      <c r="S37" s="9"/>
      <c r="T37" s="2">
        <f>'Traveling Line'!B27</f>
        <v>110</v>
      </c>
      <c r="U37" s="2">
        <f>'Traveling Line'!C27</f>
        <v>100</v>
      </c>
      <c r="V37" s="9">
        <f>'Traveling Line'!D27</f>
        <v>5</v>
      </c>
    </row>
    <row r="38" spans="1:22" x14ac:dyDescent="0.2">
      <c r="A38" s="11">
        <f t="shared" si="0"/>
        <v>33.581095872529232</v>
      </c>
      <c r="B38" s="2">
        <v>32.688651230329938</v>
      </c>
      <c r="C38" s="2">
        <v>-0.31699146215900953</v>
      </c>
      <c r="D38" s="2">
        <v>0.15222022192290438</v>
      </c>
      <c r="E38" s="2">
        <v>10.893724495442491</v>
      </c>
      <c r="F38" s="2">
        <v>-2.0824530286098093</v>
      </c>
      <c r="G38" s="2">
        <v>0.99780643756384912</v>
      </c>
      <c r="H38" s="2"/>
      <c r="I38" s="2"/>
      <c r="J38" s="2"/>
      <c r="K38" s="2"/>
      <c r="L38" s="2"/>
      <c r="M38" s="2"/>
      <c r="N38" s="2"/>
      <c r="O38" s="2"/>
      <c r="P38" s="2"/>
      <c r="Q38" s="9"/>
      <c r="R38" s="9"/>
      <c r="S38" s="9"/>
      <c r="T38" s="2">
        <f>'Traveling Line'!B28</f>
        <v>115</v>
      </c>
      <c r="U38" s="2">
        <f>'Traveling Line'!C28</f>
        <v>100</v>
      </c>
      <c r="V38" s="9">
        <f>'Traveling Line'!D28</f>
        <v>5</v>
      </c>
    </row>
    <row r="39" spans="1:22" x14ac:dyDescent="0.2">
      <c r="A39" s="11">
        <f t="shared" si="0"/>
        <v>33.581095872529232</v>
      </c>
      <c r="B39" s="2">
        <v>32.283500610765429</v>
      </c>
      <c r="C39" s="2">
        <v>-0.40515061956450893</v>
      </c>
      <c r="D39" s="2">
        <v>0.15391209489963245</v>
      </c>
      <c r="E39" s="2">
        <v>10.685479192581511</v>
      </c>
      <c r="F39" s="2">
        <v>-2.6323507572859137</v>
      </c>
      <c r="G39" s="2">
        <v>0.99879880008710931</v>
      </c>
      <c r="H39" s="2"/>
      <c r="I39" s="2"/>
      <c r="J39" s="2"/>
      <c r="K39" s="2"/>
      <c r="L39" s="2"/>
      <c r="M39" s="2"/>
      <c r="N39" s="2"/>
      <c r="O39" s="2"/>
      <c r="P39" s="2"/>
      <c r="Q39" s="9"/>
      <c r="R39" s="9"/>
      <c r="S39" s="9"/>
      <c r="T39" s="2">
        <f>'Traveling Line'!B29</f>
        <v>120</v>
      </c>
      <c r="U39" s="2">
        <f>'Traveling Line'!C29</f>
        <v>100</v>
      </c>
      <c r="V39" s="9">
        <f>'Traveling Line'!D29</f>
        <v>5</v>
      </c>
    </row>
    <row r="40" spans="1:22" x14ac:dyDescent="0.2">
      <c r="A40" s="11">
        <f t="shared" si="0"/>
        <v>33.581095872529232</v>
      </c>
      <c r="B40" s="2">
        <v>31.795281588255513</v>
      </c>
      <c r="C40" s="2">
        <v>-0.48821902250991656</v>
      </c>
      <c r="D40" s="2">
        <v>0.1560578971201608</v>
      </c>
      <c r="E40" s="2">
        <v>10.422244116852919</v>
      </c>
      <c r="F40" s="2">
        <v>-3.1284480408831841</v>
      </c>
      <c r="G40" s="2">
        <v>0.99751853109025257</v>
      </c>
      <c r="H40" s="2"/>
      <c r="I40" s="2"/>
      <c r="J40" s="2"/>
      <c r="K40" s="2"/>
      <c r="L40" s="2"/>
      <c r="M40" s="2"/>
      <c r="N40" s="2"/>
      <c r="O40" s="2"/>
      <c r="P40" s="2"/>
      <c r="Q40" s="9"/>
      <c r="R40" s="9"/>
      <c r="S40" s="9"/>
      <c r="T40" s="2">
        <f>'Traveling Line'!B30</f>
        <v>125</v>
      </c>
      <c r="U40" s="2">
        <f>'Traveling Line'!C30</f>
        <v>100</v>
      </c>
      <c r="V40" s="9">
        <f>'Traveling Line'!D30</f>
        <v>5</v>
      </c>
    </row>
    <row r="41" spans="1:22" x14ac:dyDescent="0.2">
      <c r="A41" s="11">
        <f t="shared" si="0"/>
        <v>33.581095872529232</v>
      </c>
      <c r="B41" s="2">
        <v>31.219973381702694</v>
      </c>
      <c r="C41" s="2">
        <v>-0.575308206552819</v>
      </c>
      <c r="D41" s="2">
        <v>0.15869173273626178</v>
      </c>
      <c r="E41" s="2">
        <v>10.1093993127646</v>
      </c>
      <c r="F41" s="2">
        <v>-3.6253193322235271</v>
      </c>
      <c r="G41" s="2">
        <v>0.9964115951979714</v>
      </c>
      <c r="H41" s="2"/>
      <c r="I41" s="2"/>
      <c r="J41" s="2"/>
      <c r="K41" s="2"/>
      <c r="L41" s="2"/>
      <c r="M41" s="2"/>
      <c r="N41" s="2"/>
      <c r="O41" s="2"/>
      <c r="P41" s="2"/>
      <c r="Q41" s="9"/>
      <c r="R41" s="9"/>
      <c r="S41" s="9"/>
      <c r="T41" s="2">
        <f>'Traveling Line'!B31</f>
        <v>130</v>
      </c>
      <c r="U41" s="2">
        <f>'Traveling Line'!C31</f>
        <v>100</v>
      </c>
      <c r="V41" s="9">
        <f>'Traveling Line'!D31</f>
        <v>5</v>
      </c>
    </row>
    <row r="42" spans="1:22" x14ac:dyDescent="0.2">
      <c r="A42" s="11">
        <f t="shared" si="0"/>
        <v>33.581095872529232</v>
      </c>
      <c r="B42" s="2">
        <v>30.552524061831921</v>
      </c>
      <c r="C42" s="2">
        <v>-0.66744931987077294</v>
      </c>
      <c r="D42" s="2">
        <v>0.16188434034322249</v>
      </c>
      <c r="E42" s="2">
        <v>9.7468673795422482</v>
      </c>
      <c r="F42" s="2">
        <v>-4.1230011405406239</v>
      </c>
      <c r="G42" s="2">
        <v>0.99585919221599695</v>
      </c>
      <c r="H42" s="2"/>
      <c r="I42" s="2"/>
      <c r="J42" s="2"/>
      <c r="K42" s="2"/>
      <c r="L42" s="2"/>
      <c r="M42" s="2"/>
      <c r="N42" s="2"/>
      <c r="O42" s="2"/>
      <c r="P42" s="2"/>
      <c r="Q42" s="9"/>
      <c r="R42" s="9"/>
      <c r="S42" s="9"/>
      <c r="T42" s="2">
        <f>'Traveling Line'!B32</f>
        <v>135</v>
      </c>
      <c r="U42" s="2">
        <f>'Traveling Line'!C32</f>
        <v>100</v>
      </c>
      <c r="V42" s="9">
        <f>'Traveling Line'!D32</f>
        <v>5</v>
      </c>
    </row>
    <row r="43" spans="1:22" x14ac:dyDescent="0.2">
      <c r="A43" s="11">
        <f t="shared" si="0"/>
        <v>33.581095872529232</v>
      </c>
      <c r="B43" s="2">
        <v>29.78659273006927</v>
      </c>
      <c r="C43" s="2">
        <v>-0.76593133176265127</v>
      </c>
      <c r="D43" s="2">
        <v>0.16572996973900381</v>
      </c>
      <c r="E43" s="2">
        <v>9.3345672654881859</v>
      </c>
      <c r="F43" s="2">
        <v>-4.6215620081803026</v>
      </c>
      <c r="G43" s="2">
        <v>0.99630495171162847</v>
      </c>
      <c r="H43" s="2"/>
      <c r="I43" s="2"/>
      <c r="J43" s="2"/>
      <c r="K43" s="2"/>
      <c r="L43" s="2"/>
      <c r="M43" s="2"/>
      <c r="N43" s="2"/>
      <c r="O43" s="2"/>
      <c r="P43" s="2"/>
      <c r="Q43" s="9"/>
      <c r="R43" s="9"/>
      <c r="S43" s="9"/>
      <c r="T43" s="2">
        <f>'Traveling Line'!B33</f>
        <v>140</v>
      </c>
      <c r="U43" s="2">
        <f>'Traveling Line'!C33</f>
        <v>100</v>
      </c>
      <c r="V43" s="9">
        <f>'Traveling Line'!D33</f>
        <v>5</v>
      </c>
    </row>
    <row r="44" spans="1:22" x14ac:dyDescent="0.2">
      <c r="A44" s="11">
        <f t="shared" si="0"/>
        <v>41.666666666666664</v>
      </c>
      <c r="B44" s="2">
        <v>28.9141827925332</v>
      </c>
      <c r="C44" s="2">
        <v>-0.87240993753606944</v>
      </c>
      <c r="D44" s="2">
        <v>0.17035550060406859</v>
      </c>
      <c r="E44" s="2">
        <v>8.8724110646701551</v>
      </c>
      <c r="F44" s="2">
        <v>-5.1211139906992456</v>
      </c>
      <c r="G44" s="2">
        <v>0.99825366823477657</v>
      </c>
      <c r="H44" s="2"/>
      <c r="I44" s="2"/>
      <c r="J44" s="2"/>
      <c r="K44" s="2"/>
      <c r="L44" s="2"/>
      <c r="M44" s="2"/>
      <c r="N44" s="2"/>
      <c r="O44" s="2"/>
      <c r="P44" s="2"/>
      <c r="Q44" s="9"/>
      <c r="R44" s="9"/>
      <c r="S44" s="9"/>
      <c r="T44" s="2">
        <f>'Traveling Line'!B34</f>
        <v>145</v>
      </c>
      <c r="U44" s="2">
        <f>'Traveling Line'!C34</f>
        <v>100</v>
      </c>
      <c r="V44" s="9">
        <f>'Traveling Line'!D34</f>
        <v>5</v>
      </c>
    </row>
    <row r="45" spans="1:22" x14ac:dyDescent="0.2">
      <c r="A45" s="11">
        <f t="shared" si="0"/>
        <v>41.666666666666664</v>
      </c>
      <c r="B45" s="2">
        <v>27.94015183550313</v>
      </c>
      <c r="C45" s="2">
        <v>-0.97403095703007025</v>
      </c>
      <c r="D45" s="2">
        <v>0.17588808426699526</v>
      </c>
      <c r="E45" s="2">
        <v>8.3602996656002304</v>
      </c>
      <c r="F45" s="2">
        <v>-5.5377881969054084</v>
      </c>
      <c r="G45" s="2">
        <v>0.99551051537012569</v>
      </c>
      <c r="H45" s="2"/>
      <c r="I45" s="2"/>
      <c r="J45" s="2"/>
      <c r="K45" s="2"/>
      <c r="L45" s="2"/>
      <c r="M45" s="2"/>
      <c r="N45" s="2"/>
      <c r="O45" s="2"/>
      <c r="P45" s="2"/>
      <c r="Q45" s="9"/>
      <c r="R45" s="9"/>
      <c r="S45" s="9"/>
      <c r="T45" s="2">
        <f>'Traveling Line'!B35</f>
        <v>150</v>
      </c>
      <c r="U45" s="2">
        <f>'Traveling Line'!C35</f>
        <v>100</v>
      </c>
      <c r="V45" s="9">
        <f>'Traveling Line'!D35</f>
        <v>5</v>
      </c>
    </row>
    <row r="46" spans="1:22" x14ac:dyDescent="0.2">
      <c r="A46" s="11">
        <f t="shared" si="0"/>
        <v>41.666666666666664</v>
      </c>
      <c r="B46" s="2">
        <v>26.853281989638067</v>
      </c>
      <c r="C46" s="2">
        <v>-1.0868698458650634</v>
      </c>
      <c r="D46" s="2">
        <v>0.18250361953792429</v>
      </c>
      <c r="E46" s="2">
        <v>7.8065208459096889</v>
      </c>
      <c r="F46" s="2">
        <v>-5.9553330975948757</v>
      </c>
      <c r="G46" s="2">
        <v>0.99484397705237937</v>
      </c>
      <c r="H46" s="2"/>
      <c r="I46" s="2"/>
      <c r="J46" s="2"/>
      <c r="K46" s="2"/>
      <c r="L46" s="2"/>
      <c r="M46" s="2"/>
      <c r="N46" s="2"/>
      <c r="O46" s="2"/>
      <c r="P46" s="2"/>
      <c r="Q46" s="9"/>
      <c r="R46" s="9"/>
      <c r="S46" s="9"/>
      <c r="T46" s="2">
        <f>'Traveling Line'!B36</f>
        <v>155</v>
      </c>
      <c r="U46" s="2">
        <f>'Traveling Line'!C36</f>
        <v>200</v>
      </c>
      <c r="V46" s="9">
        <f>'Traveling Line'!D36</f>
        <v>5</v>
      </c>
    </row>
    <row r="47" spans="1:22" x14ac:dyDescent="0.2">
      <c r="A47" s="11">
        <f t="shared" si="0"/>
        <v>41.666666666666664</v>
      </c>
      <c r="B47" s="2">
        <v>25.355315841836255</v>
      </c>
      <c r="C47" s="2">
        <v>-1.4979661478018116</v>
      </c>
      <c r="D47" s="2">
        <v>0.19153933289454156</v>
      </c>
      <c r="E47" s="2">
        <v>3.6054937680751009</v>
      </c>
      <c r="F47" s="2">
        <v>-7.8206712175747599</v>
      </c>
      <c r="G47" s="2">
        <v>0.99125967921328784</v>
      </c>
      <c r="H47" s="2"/>
      <c r="I47" s="2"/>
      <c r="J47" s="2"/>
      <c r="K47" s="2"/>
      <c r="L47" s="2"/>
      <c r="M47" s="2"/>
      <c r="N47" s="2"/>
      <c r="O47" s="2"/>
      <c r="P47" s="2"/>
      <c r="Q47" s="9"/>
      <c r="R47" s="9"/>
      <c r="S47" s="9"/>
      <c r="T47" s="2">
        <f>'Traveling Line'!B37</f>
        <v>160</v>
      </c>
      <c r="U47" s="2">
        <f>'Traveling Line'!C37</f>
        <v>200</v>
      </c>
      <c r="V47" s="9">
        <f>'Traveling Line'!D37</f>
        <v>5</v>
      </c>
    </row>
    <row r="48" spans="1:22" x14ac:dyDescent="0.2">
      <c r="A48" s="11">
        <f t="shared" si="0"/>
        <v>23.745420611141</v>
      </c>
      <c r="B48" s="2">
        <v>23.745420611141</v>
      </c>
      <c r="C48" s="2">
        <v>-1.6098952306952548</v>
      </c>
      <c r="D48" s="2">
        <v>0.2036629330310919</v>
      </c>
      <c r="E48" s="2">
        <v>3.2144602071963631</v>
      </c>
      <c r="F48" s="2">
        <v>-7.9047041439272725</v>
      </c>
      <c r="G48" s="2">
        <v>0.99027557113058196</v>
      </c>
      <c r="H48" s="2"/>
      <c r="I48" s="2"/>
      <c r="J48" s="2"/>
      <c r="K48" s="2"/>
      <c r="L48" s="2"/>
      <c r="M48" s="2"/>
      <c r="N48" s="2"/>
      <c r="O48" s="2"/>
      <c r="P48" s="2"/>
      <c r="Q48" s="9"/>
      <c r="R48" s="9"/>
      <c r="S48" s="9"/>
      <c r="T48" s="2">
        <f>'Traveling Line'!B38</f>
        <v>165</v>
      </c>
      <c r="U48" s="2">
        <f>'Traveling Line'!C38</f>
        <v>200</v>
      </c>
      <c r="V48" s="9">
        <f>'Traveling Line'!D38</f>
        <v>5</v>
      </c>
    </row>
    <row r="49" spans="1:22" x14ac:dyDescent="0.2">
      <c r="A49" s="11">
        <f t="shared" si="0"/>
        <v>23.745420611141</v>
      </c>
      <c r="B49" s="2">
        <v>23.745420611141</v>
      </c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9"/>
      <c r="R49" s="9"/>
      <c r="S49" s="9"/>
      <c r="T49" s="2">
        <f>'Traveling Line'!B39</f>
        <v>170</v>
      </c>
      <c r="U49" s="2">
        <f>'Traveling Line'!C39</f>
        <v>200</v>
      </c>
      <c r="V49" s="9">
        <f>'Traveling Line'!D39</f>
        <v>5</v>
      </c>
    </row>
    <row r="50" spans="1:22" x14ac:dyDescent="0.2">
      <c r="A50" s="11">
        <f t="shared" si="0"/>
        <v>23.745420611141</v>
      </c>
      <c r="B50" s="2">
        <v>23.728463042401579</v>
      </c>
      <c r="C50" s="2">
        <v>-1.6957568739421447E-2</v>
      </c>
      <c r="D50" s="2">
        <v>0.21064213058654585</v>
      </c>
      <c r="E50" s="2">
        <v>2.819224999999999</v>
      </c>
      <c r="F50" s="2">
        <v>-8.050416453822444E-2</v>
      </c>
      <c r="G50" s="2">
        <v>0.25018650183010788</v>
      </c>
      <c r="H50" s="2"/>
      <c r="I50" s="2"/>
      <c r="J50" s="2"/>
      <c r="K50" s="2"/>
      <c r="L50" s="2"/>
      <c r="M50" s="2"/>
      <c r="N50" s="2"/>
      <c r="O50" s="2"/>
      <c r="P50" s="2"/>
      <c r="Q50" s="9"/>
      <c r="R50" s="9"/>
      <c r="S50" s="9"/>
      <c r="T50" s="2">
        <f>'Traveling Line'!B40</f>
        <v>175</v>
      </c>
      <c r="U50" s="2">
        <f>'Traveling Line'!C40</f>
        <v>50</v>
      </c>
      <c r="V50" s="9">
        <f>'Traveling Line'!D40</f>
        <v>5</v>
      </c>
    </row>
    <row r="51" spans="1:22" x14ac:dyDescent="0.2">
      <c r="A51" s="11">
        <f t="shared" si="0"/>
        <v>23.745420611141</v>
      </c>
      <c r="B51" s="2">
        <v>23.728463042401579</v>
      </c>
      <c r="C51" s="2">
        <v>0</v>
      </c>
      <c r="D51" s="2">
        <v>0.21071739838628611</v>
      </c>
      <c r="E51" s="2">
        <v>11.260799167092353</v>
      </c>
      <c r="F51" s="2">
        <v>0</v>
      </c>
      <c r="G51" s="2">
        <v>0.99857222881220509</v>
      </c>
      <c r="H51" s="2"/>
      <c r="I51" s="2"/>
      <c r="J51" s="2"/>
      <c r="K51" s="2"/>
      <c r="L51" s="2"/>
      <c r="M51" s="2"/>
      <c r="N51" s="2"/>
      <c r="O51" s="2"/>
      <c r="P51" s="2"/>
      <c r="Q51" s="9"/>
      <c r="R51" s="9"/>
      <c r="S51" s="9"/>
      <c r="T51" s="2">
        <f>'Traveling Line'!B41</f>
        <v>180</v>
      </c>
      <c r="U51" s="2">
        <f>'Traveling Line'!C41</f>
        <v>50</v>
      </c>
      <c r="V51" s="9">
        <f>'Traveling Line'!D41</f>
        <v>5</v>
      </c>
    </row>
    <row r="52" spans="1:22" x14ac:dyDescent="0.2">
      <c r="A52" s="11">
        <f t="shared" si="0"/>
        <v>23.745420611141</v>
      </c>
      <c r="B52" s="2">
        <v>23.728463042401579</v>
      </c>
      <c r="C52" s="2">
        <v>0</v>
      </c>
      <c r="D52" s="2">
        <v>0.21071739838628611</v>
      </c>
      <c r="E52" s="2">
        <v>11.260799167092353</v>
      </c>
      <c r="F52" s="2">
        <v>0</v>
      </c>
      <c r="G52" s="2">
        <v>0.99857222881220509</v>
      </c>
      <c r="H52" s="2"/>
      <c r="I52" s="2"/>
      <c r="J52" s="2"/>
      <c r="K52" s="2"/>
      <c r="L52" s="2"/>
      <c r="M52" s="2"/>
      <c r="N52" s="2"/>
      <c r="O52" s="2"/>
      <c r="P52" s="2"/>
      <c r="Q52" s="9"/>
      <c r="R52" s="9"/>
      <c r="S52" s="9"/>
      <c r="T52" s="2">
        <f>'Traveling Line'!B42</f>
        <v>185</v>
      </c>
      <c r="U52" s="2">
        <f>'Traveling Line'!C42</f>
        <v>50</v>
      </c>
      <c r="V52" s="9">
        <f>'Traveling Line'!D42</f>
        <v>5</v>
      </c>
    </row>
    <row r="53" spans="1:22" x14ac:dyDescent="0.2">
      <c r="A53" s="11">
        <f t="shared" si="0"/>
        <v>23.745420611141</v>
      </c>
      <c r="B53" s="2">
        <v>23.728463042401579</v>
      </c>
      <c r="C53" s="2">
        <v>0</v>
      </c>
      <c r="D53" s="2">
        <v>0.21071739838628611</v>
      </c>
      <c r="E53" s="2">
        <v>11.260799167092353</v>
      </c>
      <c r="F53" s="2">
        <v>0</v>
      </c>
      <c r="G53" s="2">
        <v>0.99857222881220509</v>
      </c>
      <c r="H53" s="2"/>
      <c r="I53" s="2"/>
      <c r="J53" s="2"/>
      <c r="K53" s="2"/>
      <c r="L53" s="2"/>
      <c r="M53" s="2"/>
      <c r="N53" s="2"/>
      <c r="O53" s="2"/>
      <c r="P53" s="2"/>
      <c r="Q53" s="9"/>
      <c r="R53" s="9"/>
      <c r="S53" s="9"/>
      <c r="T53" s="2">
        <f>'Traveling Line'!B43</f>
        <v>190</v>
      </c>
      <c r="U53" s="2">
        <f>'Traveling Line'!C43</f>
        <v>50</v>
      </c>
      <c r="V53" s="9">
        <f>'Traveling Line'!D43</f>
        <v>5</v>
      </c>
    </row>
    <row r="54" spans="1:22" x14ac:dyDescent="0.2">
      <c r="A54" s="11">
        <f t="shared" si="0"/>
        <v>23.745420611141</v>
      </c>
      <c r="B54" s="2">
        <v>23.728463042401579</v>
      </c>
      <c r="C54" s="2">
        <v>0</v>
      </c>
      <c r="D54" s="2">
        <v>0.21071739838628611</v>
      </c>
      <c r="E54" s="2">
        <v>11.260799167092353</v>
      </c>
      <c r="F54" s="2">
        <v>0</v>
      </c>
      <c r="G54" s="2">
        <v>0.99857222881220509</v>
      </c>
      <c r="H54" s="2"/>
      <c r="I54" s="2"/>
      <c r="J54" s="2"/>
      <c r="K54" s="2"/>
      <c r="L54" s="2"/>
      <c r="M54" s="2"/>
      <c r="N54" s="2"/>
      <c r="O54" s="2"/>
      <c r="P54" s="2"/>
      <c r="Q54" s="9"/>
      <c r="R54" s="9"/>
      <c r="S54" s="9"/>
      <c r="T54" s="2">
        <f>'Traveling Line'!B44</f>
        <v>195</v>
      </c>
      <c r="U54" s="2">
        <f>'Traveling Line'!C44</f>
        <v>50</v>
      </c>
      <c r="V54" s="9">
        <f>'Traveling Line'!D44</f>
        <v>5</v>
      </c>
    </row>
    <row r="55" spans="1:22" x14ac:dyDescent="0.2">
      <c r="A55" s="11">
        <f t="shared" si="0"/>
        <v>23.745420611141</v>
      </c>
      <c r="B55" s="2">
        <v>23.728463042401579</v>
      </c>
      <c r="C55" s="2">
        <v>0</v>
      </c>
      <c r="D55" s="2">
        <v>0.21071739838628611</v>
      </c>
      <c r="E55" s="2">
        <v>11.260799167092353</v>
      </c>
      <c r="F55" s="2">
        <v>0</v>
      </c>
      <c r="G55" s="2">
        <v>0.99857222881220509</v>
      </c>
      <c r="H55" s="2"/>
      <c r="I55" s="2"/>
      <c r="J55" s="2"/>
      <c r="K55" s="2"/>
      <c r="L55" s="2"/>
      <c r="M55" s="2"/>
      <c r="N55" s="2"/>
      <c r="O55" s="2"/>
      <c r="P55" s="2"/>
      <c r="Q55" s="9"/>
      <c r="R55" s="9"/>
      <c r="S55" s="9"/>
      <c r="T55" s="2">
        <f>'Traveling Line'!B45</f>
        <v>200</v>
      </c>
      <c r="U55" s="2">
        <f>'Traveling Line'!C45</f>
        <v>50</v>
      </c>
      <c r="V55" s="9">
        <f>'Traveling Line'!D45</f>
        <v>5</v>
      </c>
    </row>
    <row r="56" spans="1:22" x14ac:dyDescent="0.2">
      <c r="A56" s="11">
        <f t="shared" si="0"/>
        <v>23.745420611141</v>
      </c>
      <c r="B56" s="2">
        <v>23.728463042401579</v>
      </c>
      <c r="C56" s="2">
        <v>0</v>
      </c>
      <c r="D56" s="2">
        <v>0.21071739838628611</v>
      </c>
      <c r="E56" s="2">
        <v>11.260799167092353</v>
      </c>
      <c r="F56" s="2">
        <v>0</v>
      </c>
      <c r="G56" s="2">
        <v>0.99857222881220509</v>
      </c>
      <c r="H56" s="2"/>
      <c r="I56" s="2"/>
      <c r="J56" s="2"/>
      <c r="K56" s="2"/>
      <c r="L56" s="2"/>
      <c r="M56" s="2"/>
      <c r="N56" s="2"/>
      <c r="O56" s="2"/>
      <c r="P56" s="2"/>
      <c r="Q56" s="9"/>
      <c r="R56" s="9"/>
      <c r="S56" s="9"/>
      <c r="T56" s="2">
        <f>'Traveling Line'!B46</f>
        <v>205</v>
      </c>
      <c r="U56" s="2">
        <f>'Traveling Line'!C46</f>
        <v>50</v>
      </c>
      <c r="V56" s="9">
        <f>'Traveling Line'!D46</f>
        <v>5</v>
      </c>
    </row>
    <row r="57" spans="1:22" x14ac:dyDescent="0.2">
      <c r="A57" s="11">
        <f t="shared" si="0"/>
        <v>23.745420611141</v>
      </c>
      <c r="B57" s="2">
        <v>23.728463042401579</v>
      </c>
      <c r="C57" s="2">
        <v>0</v>
      </c>
      <c r="D57" s="2">
        <v>0.21071739838628611</v>
      </c>
      <c r="E57" s="2">
        <v>11.260799167092353</v>
      </c>
      <c r="F57" s="2">
        <v>0</v>
      </c>
      <c r="G57" s="2">
        <v>0.99857222881220509</v>
      </c>
      <c r="H57" s="2"/>
      <c r="I57" s="2"/>
      <c r="J57" s="2"/>
      <c r="K57" s="2"/>
      <c r="L57" s="2"/>
      <c r="M57" s="2"/>
      <c r="N57" s="2"/>
      <c r="O57" s="2"/>
      <c r="P57" s="2"/>
      <c r="Q57" s="9"/>
      <c r="R57" s="9"/>
      <c r="S57" s="9"/>
      <c r="T57" s="2">
        <f>'Traveling Line'!B47</f>
        <v>210</v>
      </c>
      <c r="U57" s="2">
        <f>'Traveling Line'!C47</f>
        <v>50</v>
      </c>
      <c r="V57" s="9">
        <f>'Traveling Line'!D47</f>
        <v>5</v>
      </c>
    </row>
    <row r="58" spans="1:22" x14ac:dyDescent="0.2">
      <c r="A58" s="11">
        <f t="shared" si="0"/>
        <v>23.745420611141</v>
      </c>
      <c r="B58" s="2">
        <v>23.728463042401579</v>
      </c>
      <c r="C58" s="2">
        <v>0</v>
      </c>
      <c r="D58" s="2">
        <v>0.21071739838628611</v>
      </c>
      <c r="E58" s="2">
        <v>11.260799167092353</v>
      </c>
      <c r="F58" s="2">
        <v>0</v>
      </c>
      <c r="G58" s="2">
        <v>0.99857222881220509</v>
      </c>
      <c r="H58" s="2"/>
      <c r="I58" s="2"/>
      <c r="J58" s="2"/>
      <c r="K58" s="2"/>
      <c r="L58" s="2"/>
      <c r="M58" s="2"/>
      <c r="N58" s="2"/>
      <c r="O58" s="2"/>
      <c r="P58" s="2"/>
      <c r="Q58" s="9"/>
      <c r="R58" s="9"/>
      <c r="S58" s="9"/>
      <c r="T58" s="2">
        <f>'Traveling Line'!B48</f>
        <v>215</v>
      </c>
      <c r="U58" s="2">
        <f>'Traveling Line'!C48</f>
        <v>50</v>
      </c>
      <c r="V58" s="9">
        <f>'Traveling Line'!D48</f>
        <v>5</v>
      </c>
    </row>
    <row r="59" spans="1:22" x14ac:dyDescent="0.2">
      <c r="A59" s="11">
        <f t="shared" si="0"/>
        <v>23.745420611141</v>
      </c>
      <c r="B59" s="2">
        <v>23.728463042401579</v>
      </c>
      <c r="C59" s="2">
        <v>0</v>
      </c>
      <c r="D59" s="2">
        <v>0.21071739838628611</v>
      </c>
      <c r="E59" s="2">
        <v>11.260799167092353</v>
      </c>
      <c r="F59" s="2">
        <v>0</v>
      </c>
      <c r="G59" s="2">
        <v>0.99857222881220509</v>
      </c>
      <c r="H59" s="2"/>
      <c r="I59" s="2"/>
      <c r="J59" s="2"/>
      <c r="K59" s="2"/>
      <c r="L59" s="2"/>
      <c r="M59" s="2"/>
      <c r="N59" s="2"/>
      <c r="O59" s="2"/>
      <c r="P59" s="2"/>
      <c r="Q59" s="9"/>
      <c r="R59" s="9"/>
      <c r="S59" s="9"/>
      <c r="T59" s="2">
        <f>'Traveling Line'!B49</f>
        <v>220</v>
      </c>
      <c r="U59" s="2">
        <f>'Traveling Line'!C49</f>
        <v>50</v>
      </c>
      <c r="V59" s="9">
        <f>'Traveling Line'!D49</f>
        <v>5</v>
      </c>
    </row>
    <row r="60" spans="1:22" x14ac:dyDescent="0.2">
      <c r="A60" s="11">
        <f t="shared" si="0"/>
        <v>23.745420611141</v>
      </c>
      <c r="B60" s="2">
        <v>23.728463042401579</v>
      </c>
      <c r="C60" s="2">
        <v>0</v>
      </c>
      <c r="D60" s="2">
        <v>0.21071739838628611</v>
      </c>
      <c r="E60" s="2">
        <v>11.260799167092353</v>
      </c>
      <c r="F60" s="2">
        <v>0</v>
      </c>
      <c r="G60" s="2">
        <v>0.99857222881220509</v>
      </c>
      <c r="H60" s="2"/>
      <c r="I60" s="2"/>
      <c r="J60" s="2"/>
      <c r="K60" s="2"/>
      <c r="L60" s="2"/>
      <c r="M60" s="2"/>
      <c r="N60" s="2"/>
      <c r="O60" s="2"/>
      <c r="P60" s="2"/>
      <c r="Q60" s="9"/>
      <c r="R60" s="9"/>
      <c r="S60" s="9"/>
      <c r="T60" s="2">
        <f>'Traveling Line'!B50</f>
        <v>225</v>
      </c>
      <c r="U60" s="2">
        <f>'Traveling Line'!C50</f>
        <v>50</v>
      </c>
      <c r="V60" s="9">
        <f>'Traveling Line'!D50</f>
        <v>5</v>
      </c>
    </row>
    <row r="61" spans="1:22" x14ac:dyDescent="0.2">
      <c r="A61" s="11">
        <f t="shared" si="0"/>
        <v>23.745420611141</v>
      </c>
      <c r="B61" s="2">
        <v>23.728463042401579</v>
      </c>
      <c r="C61" s="2">
        <v>0</v>
      </c>
      <c r="D61" s="2">
        <v>0.21071739838628611</v>
      </c>
      <c r="E61" s="2">
        <v>11.260799167092353</v>
      </c>
      <c r="F61" s="2">
        <v>0</v>
      </c>
      <c r="G61" s="2">
        <v>0.99857222881220509</v>
      </c>
      <c r="H61" s="2"/>
      <c r="I61" s="2"/>
      <c r="J61" s="2"/>
      <c r="K61" s="2"/>
      <c r="L61" s="2"/>
      <c r="M61" s="2"/>
      <c r="N61" s="2"/>
      <c r="O61" s="2"/>
      <c r="P61" s="2"/>
      <c r="Q61" s="9"/>
      <c r="R61" s="9"/>
      <c r="S61" s="9"/>
      <c r="T61" s="2">
        <f>'Traveling Line'!B51</f>
        <v>230</v>
      </c>
      <c r="U61" s="2">
        <f>'Traveling Line'!C51</f>
        <v>50</v>
      </c>
      <c r="V61" s="9">
        <f>'Traveling Line'!D51</f>
        <v>5</v>
      </c>
    </row>
    <row r="62" spans="1:22" x14ac:dyDescent="0.2">
      <c r="A62" s="11">
        <f t="shared" si="0"/>
        <v>23.745420611141</v>
      </c>
      <c r="B62" s="2">
        <v>23.728463042401579</v>
      </c>
      <c r="C62" s="2">
        <v>0</v>
      </c>
      <c r="D62" s="2">
        <v>0.21071739838628611</v>
      </c>
      <c r="E62" s="2">
        <v>11.260799167092353</v>
      </c>
      <c r="F62" s="2">
        <v>0</v>
      </c>
      <c r="G62" s="2">
        <v>0.99857222881220509</v>
      </c>
      <c r="H62" s="2"/>
      <c r="I62" s="2"/>
      <c r="J62" s="2"/>
      <c r="K62" s="2"/>
      <c r="L62" s="2"/>
      <c r="M62" s="2"/>
      <c r="N62" s="2"/>
      <c r="O62" s="2"/>
      <c r="P62" s="2"/>
      <c r="Q62" s="9"/>
      <c r="R62" s="9"/>
      <c r="S62" s="9"/>
      <c r="T62" s="2">
        <f>'Traveling Line'!B52</f>
        <v>235</v>
      </c>
      <c r="U62" s="2">
        <f>'Traveling Line'!C52</f>
        <v>50</v>
      </c>
      <c r="V62" s="9">
        <f>'Traveling Line'!D52</f>
        <v>5</v>
      </c>
    </row>
    <row r="63" spans="1:22" x14ac:dyDescent="0.2">
      <c r="A63" s="11">
        <f t="shared" si="0"/>
        <v>23.745420611141</v>
      </c>
      <c r="B63" s="2">
        <v>23.728463042401579</v>
      </c>
      <c r="C63" s="2">
        <v>0</v>
      </c>
      <c r="D63" s="2">
        <v>0.21071739838628611</v>
      </c>
      <c r="E63" s="2">
        <v>11.260799167092353</v>
      </c>
      <c r="F63" s="2">
        <v>0</v>
      </c>
      <c r="G63" s="2">
        <v>0.99857222881220509</v>
      </c>
      <c r="H63" s="2"/>
      <c r="I63" s="2"/>
      <c r="J63" s="2"/>
      <c r="K63" s="2"/>
      <c r="L63" s="2"/>
      <c r="M63" s="2"/>
      <c r="N63" s="2"/>
      <c r="O63" s="2"/>
      <c r="P63" s="2"/>
      <c r="Q63" s="9"/>
      <c r="R63" s="9"/>
      <c r="S63" s="9"/>
      <c r="T63" s="2">
        <f>'Traveling Line'!B53</f>
        <v>240</v>
      </c>
      <c r="U63" s="2">
        <f>'Traveling Line'!C53</f>
        <v>50</v>
      </c>
      <c r="V63" s="9">
        <f>'Traveling Line'!D53</f>
        <v>5</v>
      </c>
    </row>
    <row r="64" spans="1:22" x14ac:dyDescent="0.2">
      <c r="A64" s="11">
        <f t="shared" si="0"/>
        <v>23.745420611141</v>
      </c>
      <c r="B64" s="2">
        <v>23.728463042401579</v>
      </c>
      <c r="C64" s="2">
        <v>0</v>
      </c>
      <c r="D64" s="2">
        <v>0.21071739838628611</v>
      </c>
      <c r="E64" s="2">
        <v>11.260799167092353</v>
      </c>
      <c r="F64" s="2">
        <v>0</v>
      </c>
      <c r="G64" s="2">
        <v>0.99857222881220509</v>
      </c>
      <c r="H64" s="2"/>
      <c r="I64" s="2"/>
      <c r="J64" s="2"/>
      <c r="K64" s="2"/>
      <c r="L64" s="2"/>
      <c r="M64" s="2"/>
      <c r="N64" s="2"/>
      <c r="O64" s="2"/>
      <c r="P64" s="2"/>
      <c r="Q64" s="9"/>
      <c r="R64" s="9"/>
      <c r="S64" s="9"/>
      <c r="T64" s="2">
        <f>'Traveling Line'!B54</f>
        <v>245</v>
      </c>
      <c r="U64" s="2">
        <f>'Traveling Line'!C54</f>
        <v>50</v>
      </c>
      <c r="V64" s="9">
        <f>'Traveling Line'!D54</f>
        <v>5</v>
      </c>
    </row>
    <row r="65" spans="1:22" x14ac:dyDescent="0.2">
      <c r="A65" s="11">
        <f t="shared" si="0"/>
        <v>23.745420611141</v>
      </c>
      <c r="B65" s="2">
        <v>23.728463042401572</v>
      </c>
      <c r="C65" s="2">
        <v>-7.1054273576010019E-15</v>
      </c>
      <c r="D65" s="2">
        <v>0.21071739838628614</v>
      </c>
      <c r="E65" s="2">
        <v>11.260799167092353</v>
      </c>
      <c r="F65" s="2">
        <v>-3.3720174091060891E-14</v>
      </c>
      <c r="G65" s="2">
        <v>0.99857222881220509</v>
      </c>
      <c r="H65" s="2"/>
      <c r="I65" s="2"/>
      <c r="J65" s="2"/>
      <c r="K65" s="2"/>
      <c r="L65" s="2"/>
      <c r="M65" s="2"/>
      <c r="N65" s="2"/>
      <c r="O65" s="2"/>
      <c r="P65" s="2"/>
      <c r="Q65" s="9"/>
      <c r="R65" s="9"/>
      <c r="S65" s="9"/>
      <c r="T65" s="2">
        <f>'Traveling Line'!B55</f>
        <v>250</v>
      </c>
      <c r="U65" s="2">
        <f>'Traveling Line'!C55</f>
        <v>50</v>
      </c>
      <c r="V65" s="9">
        <f>'Traveling Line'!D55</f>
        <v>5</v>
      </c>
    </row>
    <row r="66" spans="1:22" x14ac:dyDescent="0.2">
      <c r="A66" s="11">
        <f t="shared" si="0"/>
        <v>23.745420611141</v>
      </c>
      <c r="B66" s="2">
        <v>23.728463042391397</v>
      </c>
      <c r="C66" s="2">
        <v>-1.0174971976084635E-11</v>
      </c>
      <c r="D66" s="2">
        <v>0.21071739838633136</v>
      </c>
      <c r="E66" s="2">
        <v>11.260799167092346</v>
      </c>
      <c r="F66" s="2">
        <v>-4.8287289298388831E-11</v>
      </c>
      <c r="G66" s="2">
        <v>0.99857222881220442</v>
      </c>
      <c r="H66" s="2"/>
      <c r="I66" s="2"/>
      <c r="J66" s="2"/>
      <c r="K66" s="2"/>
      <c r="L66" s="2"/>
      <c r="M66" s="2"/>
      <c r="N66" s="2"/>
      <c r="O66" s="2"/>
      <c r="P66" s="2"/>
      <c r="Q66" s="9"/>
      <c r="R66" s="9"/>
      <c r="S66" s="9"/>
      <c r="T66" s="2">
        <f>'Traveling Line'!B56</f>
        <v>255</v>
      </c>
      <c r="U66" s="2">
        <f>'Traveling Line'!C56</f>
        <v>50</v>
      </c>
      <c r="V66" s="9">
        <f>'Traveling Line'!D56</f>
        <v>5</v>
      </c>
    </row>
    <row r="67" spans="1:22" x14ac:dyDescent="0.2">
      <c r="A67" s="11">
        <f t="shared" si="0"/>
        <v>23.745420611141</v>
      </c>
      <c r="B67" s="2">
        <v>23.728463027138755</v>
      </c>
      <c r="C67" s="2">
        <v>-1.5252641816232426E-8</v>
      </c>
      <c r="D67" s="2">
        <v>0.21071739845410103</v>
      </c>
      <c r="E67" s="2">
        <v>11.260799167082688</v>
      </c>
      <c r="F67" s="2">
        <v>-7.2384349503796632E-8</v>
      </c>
      <c r="G67" s="2">
        <v>0.99857222881134799</v>
      </c>
      <c r="H67" s="2"/>
      <c r="I67" s="2"/>
      <c r="J67" s="2"/>
      <c r="K67" s="2"/>
      <c r="L67" s="2"/>
      <c r="M67" s="2"/>
      <c r="N67" s="2"/>
      <c r="O67" s="2"/>
      <c r="P67" s="2"/>
      <c r="Q67" s="9"/>
      <c r="R67" s="9"/>
      <c r="S67" s="9"/>
      <c r="T67" s="2">
        <f>'Traveling Line'!B57</f>
        <v>260</v>
      </c>
      <c r="U67" s="2">
        <f>'Traveling Line'!C57</f>
        <v>50</v>
      </c>
      <c r="V67" s="9">
        <f>'Traveling Line'!D57</f>
        <v>5</v>
      </c>
    </row>
    <row r="68" spans="1:22" x14ac:dyDescent="0.2">
      <c r="A68" s="11">
        <f t="shared" si="0"/>
        <v>23.745420611141</v>
      </c>
      <c r="B68" s="2">
        <v>23.728440159106249</v>
      </c>
      <c r="C68" s="2">
        <v>-2.2868032505840574E-5</v>
      </c>
      <c r="D68" s="2">
        <v>0.21071750006010545</v>
      </c>
      <c r="E68" s="2">
        <v>11.260799152605818</v>
      </c>
      <c r="F68" s="2">
        <v>-1.0852460046895798E-4</v>
      </c>
      <c r="G68" s="2">
        <v>0.99857222761246867</v>
      </c>
      <c r="H68" s="2"/>
      <c r="I68" s="2"/>
      <c r="J68" s="2"/>
      <c r="K68" s="2"/>
      <c r="L68" s="2"/>
      <c r="M68" s="2"/>
      <c r="N68" s="2"/>
      <c r="O68" s="2"/>
      <c r="P68" s="2"/>
      <c r="Q68" s="9"/>
      <c r="R68" s="9"/>
      <c r="S68" s="9"/>
      <c r="T68" s="2">
        <f>'Traveling Line'!B58</f>
        <v>265</v>
      </c>
      <c r="U68" s="2">
        <f>'Traveling Line'!C58</f>
        <v>50</v>
      </c>
      <c r="V68" s="9">
        <f>'Traveling Line'!D58</f>
        <v>5</v>
      </c>
    </row>
    <row r="69" spans="1:22" x14ac:dyDescent="0.2">
      <c r="A69" s="11">
        <f t="shared" si="0"/>
        <v>23.745420611141</v>
      </c>
      <c r="B69" s="2">
        <v>23.694199165684608</v>
      </c>
      <c r="C69" s="2">
        <v>-3.4240993421640553E-2</v>
      </c>
      <c r="D69" s="2">
        <v>0.21086974791747531</v>
      </c>
      <c r="E69" s="2">
        <v>11.260777447685722</v>
      </c>
      <c r="F69" s="2">
        <v>-0.16237982811569965</v>
      </c>
      <c r="G69" s="2">
        <v>0.99876031985072689</v>
      </c>
      <c r="H69" s="2"/>
      <c r="I69" s="2"/>
      <c r="J69" s="2"/>
      <c r="K69" s="2"/>
      <c r="L69" s="2"/>
      <c r="M69" s="2"/>
      <c r="N69" s="2"/>
      <c r="O69" s="2"/>
      <c r="P69" s="2"/>
      <c r="Q69" s="9"/>
      <c r="R69" s="9"/>
      <c r="S69" s="9"/>
      <c r="T69" s="2">
        <f>'Traveling Line'!B59</f>
        <v>270</v>
      </c>
      <c r="U69" s="2">
        <f>'Traveling Line'!C59</f>
        <v>50</v>
      </c>
      <c r="V69" s="9">
        <f>'Traveling Line'!D59</f>
        <v>5</v>
      </c>
    </row>
    <row r="70" spans="1:22" x14ac:dyDescent="0.2">
      <c r="A70" s="11">
        <f t="shared" si="0"/>
        <v>23.745420611141</v>
      </c>
      <c r="B70" s="2">
        <v>23.555323647591493</v>
      </c>
      <c r="C70" s="2">
        <v>-0.1388755180931156</v>
      </c>
      <c r="D70" s="2">
        <v>0.21164234905649068</v>
      </c>
      <c r="E70" s="2">
        <v>11.228301482062584</v>
      </c>
      <c r="F70" s="2">
        <v>-0.6561801960346203</v>
      </c>
      <c r="G70" s="2">
        <v>0.99879780752415914</v>
      </c>
      <c r="H70" s="2"/>
      <c r="I70" s="2"/>
      <c r="J70" s="2"/>
      <c r="K70" s="2"/>
      <c r="L70" s="2"/>
      <c r="M70" s="2"/>
      <c r="N70" s="2"/>
      <c r="O70" s="2"/>
      <c r="P70" s="2"/>
      <c r="Q70" s="9"/>
      <c r="R70" s="9"/>
      <c r="S70" s="9"/>
      <c r="T70" s="2">
        <f>'Traveling Line'!B60</f>
        <v>275</v>
      </c>
      <c r="U70" s="2">
        <f>'Traveling Line'!C60</f>
        <v>50</v>
      </c>
      <c r="V70" s="9">
        <f>'Traveling Line'!D60</f>
        <v>5</v>
      </c>
    </row>
    <row r="71" spans="1:22" x14ac:dyDescent="0.2">
      <c r="A71" s="11">
        <f t="shared" si="0"/>
        <v>23.745420611141</v>
      </c>
      <c r="B71" s="2">
        <v>23.251536916459287</v>
      </c>
      <c r="C71" s="2">
        <v>-0.303786731132206</v>
      </c>
      <c r="D71" s="2">
        <v>0.21364389492253902</v>
      </c>
      <c r="E71" s="2">
        <v>11.09706544285566</v>
      </c>
      <c r="F71" s="2">
        <v>-1.421930316531395</v>
      </c>
      <c r="G71" s="2">
        <v>0.99873059526106767</v>
      </c>
      <c r="H71" s="2"/>
      <c r="I71" s="2"/>
      <c r="J71" s="2"/>
      <c r="K71" s="2"/>
      <c r="L71" s="2"/>
      <c r="M71" s="2"/>
      <c r="N71" s="2"/>
      <c r="O71" s="2"/>
      <c r="P71" s="2"/>
      <c r="Q71" s="9"/>
      <c r="R71" s="9"/>
      <c r="S71" s="9"/>
      <c r="T71" s="2">
        <f>'Traveling Line'!B61</f>
        <v>280</v>
      </c>
      <c r="U71" s="2">
        <f>'Traveling Line'!C61</f>
        <v>50</v>
      </c>
      <c r="V71" s="9">
        <f>'Traveling Line'!D61</f>
        <v>5</v>
      </c>
    </row>
    <row r="72" spans="1:22" x14ac:dyDescent="0.2">
      <c r="A72" s="11">
        <f t="shared" si="0"/>
        <v>23.745420611141</v>
      </c>
      <c r="B72" s="2">
        <v>22.745368436321161</v>
      </c>
      <c r="C72" s="2">
        <v>-0.50616848013812543</v>
      </c>
      <c r="D72" s="2">
        <v>0.2174059303186473</v>
      </c>
      <c r="E72" s="2">
        <v>10.812679379549381</v>
      </c>
      <c r="F72" s="2">
        <v>-2.3282183673474082</v>
      </c>
      <c r="G72" s="2">
        <v>0.99869260884128419</v>
      </c>
      <c r="H72" s="2"/>
      <c r="I72" s="2"/>
      <c r="J72" s="2"/>
      <c r="K72" s="2"/>
      <c r="L72" s="2"/>
      <c r="M72" s="2"/>
      <c r="N72" s="2"/>
      <c r="O72" s="2"/>
      <c r="P72" s="2"/>
      <c r="Q72" s="9"/>
      <c r="R72" s="9"/>
      <c r="S72" s="9"/>
      <c r="T72" s="2">
        <f>'Traveling Line'!B62</f>
        <v>285</v>
      </c>
      <c r="U72" s="2">
        <f>'Traveling Line'!C62</f>
        <v>50</v>
      </c>
      <c r="V72" s="9">
        <f>'Traveling Line'!D62</f>
        <v>5</v>
      </c>
    </row>
    <row r="73" spans="1:22" x14ac:dyDescent="0.2">
      <c r="A73" s="11">
        <f t="shared" si="0"/>
        <v>23.745420611141</v>
      </c>
      <c r="B73" s="2">
        <v>22.011190795209764</v>
      </c>
      <c r="C73" s="2">
        <v>-0.73417764111139761</v>
      </c>
      <c r="D73" s="2">
        <v>0.22343093775973322</v>
      </c>
      <c r="E73" s="2">
        <v>10.347035706079899</v>
      </c>
      <c r="F73" s="2">
        <v>-3.2859265080867925</v>
      </c>
      <c r="G73" s="2">
        <v>0.99864896513157886</v>
      </c>
      <c r="H73" s="2"/>
      <c r="I73" s="2"/>
      <c r="J73" s="2"/>
      <c r="K73" s="2"/>
      <c r="L73" s="2"/>
      <c r="M73" s="2"/>
      <c r="N73" s="2"/>
      <c r="O73" s="2"/>
      <c r="P73" s="2"/>
      <c r="Q73" s="9"/>
      <c r="R73" s="9"/>
      <c r="S73" s="9"/>
      <c r="T73" s="2">
        <f>'Traveling Line'!B63</f>
        <v>290</v>
      </c>
      <c r="U73" s="2">
        <f>'Traveling Line'!C63</f>
        <v>50</v>
      </c>
      <c r="V73" s="9">
        <f>'Traveling Line'!D63</f>
        <v>5</v>
      </c>
    </row>
    <row r="74" spans="1:22" x14ac:dyDescent="0.2">
      <c r="A74" s="11">
        <f t="shared" si="0"/>
        <v>23.745420611141</v>
      </c>
      <c r="B74" s="2">
        <v>21.024934677406105</v>
      </c>
      <c r="C74" s="2">
        <v>-0.98625611780365929</v>
      </c>
      <c r="D74" s="2">
        <v>0.23236292510493439</v>
      </c>
      <c r="E74" s="2">
        <v>9.6898504044625398</v>
      </c>
      <c r="F74" s="2">
        <v>-4.2444642033933295</v>
      </c>
      <c r="G74" s="2">
        <v>0.99882430405529543</v>
      </c>
      <c r="H74" s="2"/>
      <c r="I74" s="2"/>
      <c r="J74" s="2"/>
      <c r="K74" s="2"/>
      <c r="L74" s="2"/>
      <c r="M74" s="2"/>
      <c r="N74" s="2"/>
      <c r="O74" s="2"/>
      <c r="P74" s="2"/>
      <c r="Q74" s="9"/>
      <c r="R74" s="9"/>
      <c r="S74" s="9"/>
      <c r="T74" s="2">
        <f>'Traveling Line'!B64</f>
        <v>295</v>
      </c>
      <c r="U74" s="2">
        <f>'Traveling Line'!C64</f>
        <v>50</v>
      </c>
      <c r="V74" s="9">
        <f>'Traveling Line'!D64</f>
        <v>5</v>
      </c>
    </row>
    <row r="75" spans="1:22" x14ac:dyDescent="0.2">
      <c r="A75" s="11">
        <f t="shared" si="0"/>
        <v>23.745420611141</v>
      </c>
      <c r="B75" s="2">
        <v>19.76046007461164</v>
      </c>
      <c r="C75" s="2">
        <v>-1.2644746027944649</v>
      </c>
      <c r="D75" s="2">
        <v>0.245185808812241</v>
      </c>
      <c r="E75" s="2">
        <v>8.8409575637838742</v>
      </c>
      <c r="F75" s="2">
        <v>-5.157209582887309</v>
      </c>
      <c r="G75" s="2">
        <v>0.9987338870176522</v>
      </c>
      <c r="H75" s="2"/>
      <c r="I75" s="2"/>
      <c r="J75" s="2"/>
      <c r="K75" s="2"/>
      <c r="L75" s="2"/>
      <c r="M75" s="2"/>
      <c r="N75" s="2"/>
      <c r="O75" s="2"/>
      <c r="P75" s="2"/>
      <c r="Q75" s="9"/>
      <c r="R75" s="9"/>
      <c r="S75" s="9"/>
      <c r="T75" s="2">
        <f>'Traveling Line'!B65</f>
        <v>300</v>
      </c>
      <c r="U75" s="2">
        <f>'Traveling Line'!C65</f>
        <v>50</v>
      </c>
      <c r="V75" s="9">
        <f>'Traveling Line'!D65</f>
        <v>5</v>
      </c>
    </row>
    <row r="76" spans="1:22" x14ac:dyDescent="0.2">
      <c r="A76" s="11">
        <f t="shared" si="0"/>
        <v>23.745420611141</v>
      </c>
      <c r="B76" s="2">
        <v>18.181092896586737</v>
      </c>
      <c r="C76" s="2">
        <v>-1.5793671780249028</v>
      </c>
      <c r="D76" s="2">
        <v>0.26356327606281826</v>
      </c>
      <c r="E76" s="2">
        <v>7.8095156472064131</v>
      </c>
      <c r="F76" s="2">
        <v>-5.9923643446003947</v>
      </c>
      <c r="G76" s="2">
        <v>0.99822377400805018</v>
      </c>
      <c r="H76" s="2"/>
      <c r="I76" s="2"/>
      <c r="J76" s="2"/>
      <c r="K76" s="2"/>
      <c r="L76" s="2"/>
      <c r="M76" s="2"/>
      <c r="N76" s="2"/>
      <c r="O76" s="2"/>
      <c r="P76" s="2"/>
      <c r="Q76" s="9"/>
      <c r="R76" s="9"/>
      <c r="S76" s="9"/>
      <c r="T76" s="2">
        <f>'Traveling Line'!B66</f>
        <v>305</v>
      </c>
      <c r="U76" s="2">
        <f>'Traveling Line'!C66</f>
        <v>50</v>
      </c>
      <c r="V76" s="9">
        <f>'Traveling Line'!D66</f>
        <v>5</v>
      </c>
    </row>
    <row r="77" spans="1:22" x14ac:dyDescent="0.2">
      <c r="A77" s="11">
        <f t="shared" si="0"/>
        <v>23.745420611141</v>
      </c>
      <c r="B77" s="2">
        <v>16.245511136992153</v>
      </c>
      <c r="C77" s="2">
        <v>-1.9355817595945837</v>
      </c>
      <c r="D77" s="2">
        <v>0.29047303039957811</v>
      </c>
      <c r="E77" s="2">
        <v>6.6110427782863335</v>
      </c>
      <c r="F77" s="2">
        <v>-6.6635506812180623</v>
      </c>
      <c r="G77" s="2">
        <v>0.99137065213213227</v>
      </c>
      <c r="H77" s="2"/>
      <c r="I77" s="2"/>
      <c r="J77" s="2"/>
      <c r="K77" s="2"/>
      <c r="L77" s="2"/>
      <c r="M77" s="2"/>
      <c r="N77" s="2"/>
      <c r="O77" s="2"/>
      <c r="P77" s="2"/>
      <c r="Q77" s="9"/>
      <c r="R77" s="9"/>
      <c r="S77" s="9"/>
      <c r="T77" s="2">
        <f>'Traveling Line'!B67</f>
        <v>310</v>
      </c>
      <c r="U77" s="2">
        <f>'Traveling Line'!C67</f>
        <v>50</v>
      </c>
      <c r="V77" s="9">
        <f>'Traveling Line'!D67</f>
        <v>5</v>
      </c>
    </row>
    <row r="78" spans="1:22" x14ac:dyDescent="0.2">
      <c r="A78" s="11">
        <f t="shared" si="0"/>
        <v>23.745420611141</v>
      </c>
      <c r="B78" s="2">
        <v>13.801184450689217</v>
      </c>
      <c r="C78" s="2">
        <v>-2.4443266863029365</v>
      </c>
      <c r="D78" s="2">
        <v>0.33281529979955027</v>
      </c>
      <c r="E78" s="2">
        <v>5.2783326420427219</v>
      </c>
      <c r="F78" s="2">
        <v>-7.3443939860190266</v>
      </c>
      <c r="G78" s="2">
        <v>0.99774458183227988</v>
      </c>
      <c r="H78" s="2"/>
      <c r="I78" s="2"/>
      <c r="J78" s="2"/>
      <c r="K78" s="2"/>
      <c r="L78" s="2"/>
      <c r="M78" s="2"/>
      <c r="N78" s="2"/>
      <c r="O78" s="2"/>
      <c r="P78" s="2"/>
      <c r="Q78" s="9"/>
      <c r="R78" s="9"/>
      <c r="S78" s="9"/>
      <c r="T78" s="2">
        <f>'Traveling Line'!B68</f>
        <v>315</v>
      </c>
      <c r="U78" s="2">
        <f>'Traveling Line'!C68</f>
        <v>50</v>
      </c>
      <c r="V78" s="9">
        <f>'Traveling Line'!D68</f>
        <v>5</v>
      </c>
    </row>
    <row r="79" spans="1:22" x14ac:dyDescent="0.2">
      <c r="A79" s="11">
        <f t="shared" si="0"/>
        <v>10.619274928167176</v>
      </c>
      <c r="B79" s="2">
        <v>10.619274928167176</v>
      </c>
      <c r="C79" s="2">
        <v>-3.1819095225220408</v>
      </c>
      <c r="D79" s="2">
        <v>0.409492706294385</v>
      </c>
      <c r="E79" s="2">
        <v>3.8094538448389166</v>
      </c>
      <c r="F79" s="2">
        <v>-7.7703692241945834</v>
      </c>
      <c r="G79" s="2">
        <v>0.99156427221701071</v>
      </c>
      <c r="H79" s="2"/>
      <c r="I79" s="2"/>
      <c r="J79" s="2"/>
      <c r="K79" s="2"/>
      <c r="L79" s="2"/>
      <c r="M79" s="2"/>
      <c r="N79" s="2"/>
      <c r="O79" s="2"/>
      <c r="P79" s="2"/>
      <c r="Q79" s="9"/>
      <c r="R79" s="9"/>
      <c r="S79" s="9"/>
      <c r="T79" s="2">
        <f>'Traveling Line'!B69</f>
        <v>320</v>
      </c>
      <c r="U79" s="2">
        <f>'Traveling Line'!C69</f>
        <v>50</v>
      </c>
      <c r="V79" s="9">
        <f>'Traveling Line'!D69</f>
        <v>5</v>
      </c>
    </row>
    <row r="80" spans="1:22" x14ac:dyDescent="0.2">
      <c r="A80" s="11">
        <f t="shared" ref="A80:A95" si="1">IF((ABS(U82)*B$2*9.806)^0.5&gt;B$7/3.6,B$7/3.6,(ABS(U82)*B$2*9.806)^0.5)</f>
        <v>23.745420611141</v>
      </c>
      <c r="B80" s="2">
        <v>23.728451724622897</v>
      </c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9"/>
      <c r="R80" s="9"/>
      <c r="S80" s="9"/>
      <c r="T80" s="2">
        <f>'Traveling Line'!B70</f>
        <v>325</v>
      </c>
      <c r="U80" s="2">
        <f>'Traveling Line'!C70</f>
        <v>50</v>
      </c>
      <c r="V80" s="9">
        <f>'Traveling Line'!D70</f>
        <v>5</v>
      </c>
    </row>
    <row r="81" spans="1:22" x14ac:dyDescent="0.2">
      <c r="A81" s="11">
        <f t="shared" si="1"/>
        <v>23.745420611141</v>
      </c>
      <c r="B81" s="2">
        <v>23.711505412422078</v>
      </c>
      <c r="C81" s="2">
        <v>-1.694631220081888E-2</v>
      </c>
      <c r="D81" s="2">
        <v>0.21079277055651444</v>
      </c>
      <c r="E81" s="2">
        <v>11.260788424955186</v>
      </c>
      <c r="F81" s="2">
        <v>-8.0393232443782991E-2</v>
      </c>
      <c r="G81" s="2">
        <v>0.99861785609112907</v>
      </c>
      <c r="H81" s="2"/>
      <c r="I81" s="2"/>
      <c r="J81" s="2"/>
      <c r="K81" s="2"/>
      <c r="L81" s="2"/>
      <c r="M81" s="2"/>
      <c r="N81" s="2"/>
      <c r="O81" s="2"/>
      <c r="P81" s="2"/>
      <c r="Q81" s="9"/>
      <c r="R81" s="9"/>
      <c r="S81" s="9"/>
      <c r="T81" s="2">
        <f>'Traveling Line'!B71</f>
        <v>330</v>
      </c>
      <c r="U81" s="2">
        <f>'Traveling Line'!C71</f>
        <v>10</v>
      </c>
      <c r="V81" s="9">
        <f>'Traveling Line'!D71</f>
        <v>5</v>
      </c>
    </row>
    <row r="82" spans="1:22" x14ac:dyDescent="0.2">
      <c r="A82" s="11">
        <f t="shared" si="1"/>
        <v>23.745420611141</v>
      </c>
      <c r="B82" s="2">
        <v>23.728417134334286</v>
      </c>
      <c r="C82" s="2">
        <v>1.6911721912208577E-2</v>
      </c>
      <c r="D82" s="2">
        <v>0.21079292425370402</v>
      </c>
      <c r="E82" s="2">
        <v>56.223548892332147</v>
      </c>
      <c r="F82" s="2">
        <v>8.0229077764745735E-2</v>
      </c>
      <c r="G82" s="2">
        <v>4.9857366537768488</v>
      </c>
      <c r="H82" s="2"/>
      <c r="I82" s="2"/>
      <c r="J82" s="2"/>
      <c r="K82" s="2"/>
      <c r="L82" s="2"/>
      <c r="M82" s="2"/>
      <c r="N82" s="2"/>
      <c r="O82" s="2"/>
      <c r="P82" s="2"/>
      <c r="Q82" s="9"/>
      <c r="R82" s="9"/>
      <c r="S82" s="9"/>
      <c r="T82" s="2">
        <f>'Traveling Line'!B72</f>
        <v>335</v>
      </c>
      <c r="U82" s="2">
        <f>'Traveling Line'!C72</f>
        <v>-50</v>
      </c>
      <c r="V82" s="9">
        <f>'Traveling Line'!D72</f>
        <v>5</v>
      </c>
    </row>
    <row r="83" spans="1:22" x14ac:dyDescent="0.2">
      <c r="A83" s="11">
        <f t="shared" si="1"/>
        <v>23.745420611141</v>
      </c>
      <c r="B83" s="2">
        <v>23.659813425059411</v>
      </c>
      <c r="C83" s="2">
        <v>-6.8603709274874802E-2</v>
      </c>
      <c r="D83" s="2">
        <v>0.21102286120319627</v>
      </c>
      <c r="E83" s="2">
        <v>-11.260755594019379</v>
      </c>
      <c r="F83" s="2">
        <v>-0.32510083923473831</v>
      </c>
      <c r="G83" s="2">
        <v>0.99932981455579062</v>
      </c>
      <c r="H83" s="2"/>
      <c r="I83" s="2"/>
      <c r="J83" s="2"/>
      <c r="K83" s="2"/>
      <c r="L83" s="2"/>
      <c r="M83" s="2"/>
      <c r="N83" s="2"/>
      <c r="O83" s="2"/>
      <c r="P83" s="2"/>
      <c r="Q83" s="9"/>
      <c r="R83" s="9"/>
      <c r="S83" s="9"/>
      <c r="T83" s="2">
        <f>'Traveling Line'!B73</f>
        <v>340</v>
      </c>
      <c r="U83" s="2">
        <f>'Traveling Line'!C73</f>
        <v>-50</v>
      </c>
      <c r="V83" s="9">
        <f>'Traveling Line'!D73</f>
        <v>5</v>
      </c>
    </row>
    <row r="84" spans="1:22" x14ac:dyDescent="0.2">
      <c r="A84" s="11">
        <f t="shared" si="1"/>
        <v>23.745420611141</v>
      </c>
      <c r="B84" s="2">
        <v>23.485050600726588</v>
      </c>
      <c r="C84" s="2">
        <v>-0.17476282433282364</v>
      </c>
      <c r="D84" s="2">
        <v>0.21211218245386126</v>
      </c>
      <c r="E84" s="2">
        <v>-11.195735426172432</v>
      </c>
      <c r="F84" s="2">
        <v>-0.82391695899332951</v>
      </c>
      <c r="G84" s="2">
        <v>0.99771143391314598</v>
      </c>
      <c r="H84" s="2"/>
      <c r="I84" s="2"/>
      <c r="J84" s="2"/>
      <c r="K84" s="2"/>
      <c r="L84" s="2"/>
      <c r="M84" s="2"/>
      <c r="N84" s="2"/>
      <c r="O84" s="2"/>
      <c r="P84" s="2"/>
      <c r="Q84" s="9"/>
      <c r="R84" s="9"/>
      <c r="S84" s="9"/>
      <c r="T84" s="2">
        <f>'Traveling Line'!B74</f>
        <v>345</v>
      </c>
      <c r="U84" s="2">
        <f>'Traveling Line'!C74</f>
        <v>-50</v>
      </c>
      <c r="V84" s="9">
        <f>'Traveling Line'!D74</f>
        <v>5</v>
      </c>
    </row>
    <row r="85" spans="1:22" x14ac:dyDescent="0.2">
      <c r="A85" s="11">
        <f t="shared" si="1"/>
        <v>23.745420611141</v>
      </c>
      <c r="B85" s="2">
        <v>23.141489487722197</v>
      </c>
      <c r="C85" s="2">
        <v>-0.34356111300439096</v>
      </c>
      <c r="D85" s="2">
        <v>0.21447012755032602</v>
      </c>
      <c r="E85" s="2">
        <v>-11.030952034373765</v>
      </c>
      <c r="F85" s="2">
        <v>-1.6019066008331317</v>
      </c>
      <c r="G85" s="2">
        <v>0.99689123490061238</v>
      </c>
      <c r="H85" s="2"/>
      <c r="I85" s="2"/>
      <c r="J85" s="2"/>
      <c r="K85" s="2"/>
      <c r="L85" s="2"/>
      <c r="M85" s="2"/>
      <c r="N85" s="2"/>
      <c r="O85" s="2"/>
      <c r="P85" s="2"/>
      <c r="Q85" s="9"/>
      <c r="R85" s="9"/>
      <c r="S85" s="9"/>
      <c r="T85" s="2">
        <f>'Traveling Line'!B75</f>
        <v>350</v>
      </c>
      <c r="U85" s="2">
        <f>'Traveling Line'!C75</f>
        <v>-50</v>
      </c>
      <c r="V85" s="9">
        <f>'Traveling Line'!D75</f>
        <v>5</v>
      </c>
    </row>
    <row r="86" spans="1:22" x14ac:dyDescent="0.2">
      <c r="A86" s="11">
        <f t="shared" si="1"/>
        <v>23.745420611141</v>
      </c>
      <c r="B86" s="2">
        <v>22.574260050418658</v>
      </c>
      <c r="C86" s="2">
        <v>-0.56722943730353848</v>
      </c>
      <c r="D86" s="2">
        <v>0.21874299559841964</v>
      </c>
      <c r="E86" s="2">
        <v>-10.710570714207138</v>
      </c>
      <c r="F86" s="2">
        <v>-2.5931318886429136</v>
      </c>
      <c r="G86" s="2">
        <v>0.99943525710944492</v>
      </c>
      <c r="H86" s="2"/>
      <c r="I86" s="2"/>
      <c r="J86" s="2"/>
      <c r="K86" s="2"/>
      <c r="L86" s="2"/>
      <c r="M86" s="2"/>
      <c r="N86" s="2"/>
      <c r="O86" s="2"/>
      <c r="P86" s="2"/>
      <c r="Q86" s="9"/>
      <c r="R86" s="9"/>
      <c r="S86" s="9"/>
      <c r="T86" s="2">
        <f>'Traveling Line'!B76</f>
        <v>355</v>
      </c>
      <c r="U86" s="2">
        <f>'Traveling Line'!C76</f>
        <v>-50</v>
      </c>
      <c r="V86" s="9">
        <f>'Traveling Line'!D76</f>
        <v>5</v>
      </c>
    </row>
    <row r="87" spans="1:22" x14ac:dyDescent="0.2">
      <c r="A87" s="11">
        <f t="shared" si="1"/>
        <v>23.745420611141</v>
      </c>
      <c r="B87" s="2">
        <v>21.784908198919695</v>
      </c>
      <c r="C87" s="2">
        <v>-0.7893518514989637</v>
      </c>
      <c r="D87" s="2">
        <v>0.22543254065971258</v>
      </c>
      <c r="E87" s="2">
        <v>-10.191944336478556</v>
      </c>
      <c r="F87" s="2">
        <v>-3.5014991588569275</v>
      </c>
      <c r="G87" s="2">
        <v>0.99665031880739152</v>
      </c>
      <c r="H87" s="2"/>
      <c r="I87" s="2"/>
      <c r="J87" s="2"/>
      <c r="K87" s="2"/>
      <c r="L87" s="2"/>
      <c r="M87" s="2"/>
      <c r="N87" s="2"/>
      <c r="O87" s="2"/>
      <c r="P87" s="2"/>
      <c r="Q87" s="9"/>
      <c r="R87" s="9"/>
      <c r="S87" s="9"/>
      <c r="T87" s="2">
        <f>'Traveling Line'!B77</f>
        <v>360</v>
      </c>
      <c r="U87" s="2">
        <f>'Traveling Line'!C77</f>
        <v>-50</v>
      </c>
      <c r="V87" s="9">
        <f>'Traveling Line'!D77</f>
        <v>5</v>
      </c>
    </row>
    <row r="88" spans="1:22" x14ac:dyDescent="0.2">
      <c r="A88" s="11">
        <f t="shared" si="1"/>
        <v>23.745420611141</v>
      </c>
      <c r="B88" s="2">
        <v>20.728072831806799</v>
      </c>
      <c r="C88" s="2">
        <v>-1.0568353671128961</v>
      </c>
      <c r="D88" s="2">
        <v>0.23522227229307782</v>
      </c>
      <c r="E88" s="2">
        <v>-9.4916445047071711</v>
      </c>
      <c r="F88" s="2">
        <v>-4.4929221914671418</v>
      </c>
      <c r="G88" s="2">
        <v>0.99950031079915747</v>
      </c>
      <c r="H88" s="2"/>
      <c r="I88" s="2"/>
      <c r="J88" s="2"/>
      <c r="K88" s="2"/>
      <c r="L88" s="2"/>
      <c r="M88" s="2"/>
      <c r="N88" s="2"/>
      <c r="O88" s="2"/>
      <c r="P88" s="2"/>
      <c r="Q88" s="9"/>
      <c r="R88" s="9"/>
      <c r="S88" s="9"/>
      <c r="T88" s="2">
        <f>'Traveling Line'!B78</f>
        <v>365</v>
      </c>
      <c r="U88" s="2">
        <f>'Traveling Line'!C78</f>
        <v>-50</v>
      </c>
      <c r="V88" s="9">
        <f>'Traveling Line'!D78</f>
        <v>5</v>
      </c>
    </row>
    <row r="89" spans="1:22" x14ac:dyDescent="0.2">
      <c r="A89" s="11">
        <f t="shared" si="1"/>
        <v>41.666666666666664</v>
      </c>
      <c r="B89" s="2">
        <v>19.401605221873073</v>
      </c>
      <c r="C89" s="2">
        <v>-1.3264676099337258</v>
      </c>
      <c r="D89" s="2">
        <v>0.24919213123572531</v>
      </c>
      <c r="E89" s="2">
        <v>-8.5930600664137415</v>
      </c>
      <c r="F89" s="2">
        <v>-5.3230718135274628</v>
      </c>
      <c r="G89" s="2">
        <v>0.99423579398735695</v>
      </c>
      <c r="H89" s="2"/>
      <c r="I89" s="2"/>
      <c r="J89" s="2"/>
      <c r="K89" s="2"/>
      <c r="L89" s="2"/>
      <c r="M89" s="2"/>
      <c r="N89" s="2"/>
      <c r="O89" s="2"/>
      <c r="P89" s="2"/>
      <c r="Q89" s="9"/>
      <c r="R89" s="9"/>
      <c r="S89" s="9"/>
      <c r="T89" s="2">
        <f>'Traveling Line'!B79</f>
        <v>370</v>
      </c>
      <c r="U89" s="2">
        <f>'Traveling Line'!C79</f>
        <v>-50</v>
      </c>
      <c r="V89" s="9">
        <f>'Traveling Line'!D79</f>
        <v>5</v>
      </c>
    </row>
    <row r="90" spans="1:22" x14ac:dyDescent="0.2">
      <c r="A90" s="11">
        <f t="shared" si="1"/>
        <v>41.666666666666664</v>
      </c>
      <c r="B90" s="2">
        <v>17.743327301800328</v>
      </c>
      <c r="C90" s="2">
        <v>-1.6582779200727451</v>
      </c>
      <c r="D90" s="2">
        <v>0.26921572663045618</v>
      </c>
      <c r="E90" s="2">
        <v>-7.5284457037082495</v>
      </c>
      <c r="F90" s="2">
        <v>-6.1596621446599595</v>
      </c>
      <c r="G90" s="2">
        <v>0.99589827483242099</v>
      </c>
      <c r="H90" s="2"/>
      <c r="I90" s="2"/>
      <c r="J90" s="2"/>
      <c r="K90" s="2"/>
      <c r="L90" s="2"/>
      <c r="M90" s="2"/>
      <c r="N90" s="2"/>
      <c r="O90" s="2"/>
      <c r="P90" s="2"/>
      <c r="Q90" s="9"/>
      <c r="R90" s="9"/>
      <c r="S90" s="9"/>
      <c r="T90" s="2">
        <f>'Traveling Line'!B80</f>
        <v>375</v>
      </c>
      <c r="U90" s="2">
        <f>'Traveling Line'!C80</f>
        <v>-50</v>
      </c>
      <c r="V90" s="9">
        <f>'Traveling Line'!D80</f>
        <v>5</v>
      </c>
    </row>
    <row r="91" spans="1:22" x14ac:dyDescent="0.2">
      <c r="A91" s="11">
        <f t="shared" si="1"/>
        <v>41.666666666666664</v>
      </c>
      <c r="B91" s="2">
        <v>15.700294454673642</v>
      </c>
      <c r="C91" s="2">
        <v>-2.0430328471266854</v>
      </c>
      <c r="D91" s="2">
        <v>0.29901067751623561</v>
      </c>
      <c r="E91" s="2">
        <v>-6.2965132747762587</v>
      </c>
      <c r="F91" s="2">
        <v>-6.8326417775356978</v>
      </c>
      <c r="G91" s="2">
        <v>0.99183629858814493</v>
      </c>
      <c r="H91" s="2"/>
      <c r="I91" s="2"/>
      <c r="J91" s="2"/>
      <c r="K91" s="2"/>
      <c r="L91" s="2"/>
      <c r="M91" s="2"/>
      <c r="N91" s="2"/>
      <c r="O91" s="2"/>
      <c r="P91" s="2"/>
      <c r="Q91" s="9"/>
      <c r="R91" s="9"/>
      <c r="S91" s="9"/>
      <c r="T91" s="2">
        <f>'Traveling Line'!B81</f>
        <v>380</v>
      </c>
      <c r="U91" s="2">
        <f>'Traveling Line'!C81</f>
        <v>1000</v>
      </c>
      <c r="V91" s="9">
        <f>'Traveling Line'!D81</f>
        <v>5</v>
      </c>
    </row>
    <row r="92" spans="1:22" x14ac:dyDescent="0.2">
      <c r="A92" s="11">
        <f t="shared" si="1"/>
        <v>41.666666666666664</v>
      </c>
      <c r="B92" s="2">
        <v>12.808833122095715</v>
      </c>
      <c r="C92" s="2">
        <v>-2.8914613325779275</v>
      </c>
      <c r="D92" s="2">
        <v>0.35076485497748072</v>
      </c>
      <c r="E92" s="2">
        <v>0.24649924596345593</v>
      </c>
      <c r="F92" s="2">
        <v>-8.2433040013759662</v>
      </c>
      <c r="G92" s="2">
        <v>0.98922834892220191</v>
      </c>
      <c r="H92" s="2"/>
      <c r="I92" s="2"/>
      <c r="J92" s="2"/>
      <c r="K92" s="2"/>
      <c r="L92" s="2"/>
      <c r="M92" s="2"/>
      <c r="N92" s="2"/>
      <c r="O92" s="2"/>
      <c r="P92" s="2"/>
      <c r="Q92" s="9"/>
      <c r="R92" s="9"/>
      <c r="S92" s="9"/>
      <c r="T92" s="2">
        <f>'Traveling Line'!B82</f>
        <v>385</v>
      </c>
      <c r="U92" s="2">
        <f>'Traveling Line'!C82</f>
        <v>900</v>
      </c>
      <c r="V92" s="9">
        <f>'Traveling Line'!D82</f>
        <v>5</v>
      </c>
    </row>
    <row r="93" spans="1:22" x14ac:dyDescent="0.2">
      <c r="A93" s="11">
        <f t="shared" si="1"/>
        <v>41.666666666666664</v>
      </c>
      <c r="B93" s="2">
        <v>9.0383801148214609</v>
      </c>
      <c r="C93" s="2">
        <v>-3.7704530072742539</v>
      </c>
      <c r="D93" s="2">
        <v>0.45772428234014356</v>
      </c>
      <c r="E93" s="2">
        <v>0.1822957843885514</v>
      </c>
      <c r="F93" s="2">
        <v>-8.2373890849696263</v>
      </c>
      <c r="G93" s="2">
        <v>0.98840937681409446</v>
      </c>
      <c r="H93" s="2"/>
      <c r="I93" s="2"/>
      <c r="J93" s="2"/>
      <c r="K93" s="2"/>
      <c r="L93" s="2"/>
      <c r="M93" s="2"/>
      <c r="N93" s="2"/>
      <c r="O93" s="2"/>
      <c r="P93" s="2"/>
      <c r="Q93" s="9"/>
      <c r="R93" s="9"/>
      <c r="S93" s="9"/>
      <c r="T93" s="2">
        <f>'Traveling Line'!B83</f>
        <v>390</v>
      </c>
      <c r="U93" s="2">
        <f>'Traveling Line'!C83</f>
        <v>800</v>
      </c>
      <c r="V93" s="9">
        <f>'Traveling Line'!D83</f>
        <v>5</v>
      </c>
    </row>
    <row r="94" spans="1:22" x14ac:dyDescent="0.2">
      <c r="A94" s="11">
        <f t="shared" si="1"/>
        <v>0</v>
      </c>
      <c r="B94" s="2">
        <v>0</v>
      </c>
      <c r="C94" s="2">
        <v>-9.0383801148214609</v>
      </c>
      <c r="D94" s="2">
        <v>1.1063929457449615</v>
      </c>
      <c r="E94" s="2">
        <v>0.102115393875</v>
      </c>
      <c r="F94" s="2">
        <v>-8.1692315100000013</v>
      </c>
      <c r="G94" s="2">
        <v>0.98014183052570003</v>
      </c>
      <c r="H94" s="2"/>
      <c r="I94" s="2"/>
      <c r="J94" s="2"/>
      <c r="K94" s="2"/>
      <c r="L94" s="2"/>
      <c r="M94" s="2"/>
      <c r="N94" s="2"/>
      <c r="O94" s="2"/>
      <c r="P94" s="2"/>
      <c r="Q94" s="9"/>
      <c r="R94" s="9"/>
      <c r="S94" s="9"/>
      <c r="T94" s="2">
        <f>'Traveling Line'!B84</f>
        <v>395</v>
      </c>
      <c r="U94" s="2">
        <f>'Traveling Line'!C84</f>
        <v>700</v>
      </c>
      <c r="V94" s="9">
        <f>'Traveling Line'!D84</f>
        <v>5</v>
      </c>
    </row>
    <row r="95" spans="1:22" x14ac:dyDescent="0.2">
      <c r="A95" s="11">
        <f t="shared" si="1"/>
        <v>0</v>
      </c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9"/>
      <c r="R95" s="9"/>
      <c r="S95" s="9"/>
      <c r="T95" s="2">
        <f>'Traveling Line'!B85</f>
        <v>400</v>
      </c>
      <c r="U95" s="2">
        <f>'Traveling Line'!C85</f>
        <v>600</v>
      </c>
      <c r="V95" s="9">
        <f>'Traveling Line'!D85</f>
        <v>5</v>
      </c>
    </row>
  </sheetData>
  <mergeCells count="9">
    <mergeCell ref="H11:N11"/>
    <mergeCell ref="O11:S11"/>
    <mergeCell ref="E2:F2"/>
    <mergeCell ref="E3:F3"/>
    <mergeCell ref="E4:F4"/>
    <mergeCell ref="E5:F5"/>
    <mergeCell ref="B11:G11"/>
    <mergeCell ref="E8:F8"/>
    <mergeCell ref="E9:F9"/>
  </mergeCells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I1102"/>
  <sheetViews>
    <sheetView tabSelected="1" topLeftCell="A37" zoomScaleNormal="100" workbookViewId="0">
      <selection activeCell="J35" sqref="J35"/>
    </sheetView>
  </sheetViews>
  <sheetFormatPr defaultRowHeight="13" x14ac:dyDescent="0.2"/>
  <cols>
    <col min="3" max="3" width="12.81640625" bestFit="1" customWidth="1"/>
    <col min="4" max="4" width="11.81640625" bestFit="1" customWidth="1"/>
    <col min="6" max="6" width="11.36328125" bestFit="1" customWidth="1"/>
  </cols>
  <sheetData>
    <row r="2" spans="1:4" x14ac:dyDescent="0.2">
      <c r="A2" s="14" t="s">
        <v>82</v>
      </c>
      <c r="B2" s="14" t="s">
        <v>83</v>
      </c>
      <c r="C2" s="14" t="s">
        <v>84</v>
      </c>
      <c r="D2" s="14" t="s">
        <v>85</v>
      </c>
    </row>
    <row r="3" spans="1:4" x14ac:dyDescent="0.2">
      <c r="A3" s="15">
        <v>0</v>
      </c>
      <c r="B3" s="15">
        <v>0</v>
      </c>
      <c r="C3" s="15"/>
      <c r="D3" s="11">
        <f xml:space="preserve"> -0.00000000000000005*A3^5 + 0.0000000000009*A3^4 - 0.000000006*A3^3 + 0.00002*A3^2 + 0.0062*A3 + 0.4296</f>
        <v>0.42959999999999998</v>
      </c>
    </row>
    <row r="4" spans="1:4" x14ac:dyDescent="0.2">
      <c r="A4" s="15">
        <v>500</v>
      </c>
      <c r="B4" s="15">
        <v>8</v>
      </c>
      <c r="C4" s="11">
        <v>11.5</v>
      </c>
      <c r="D4" s="11">
        <f xml:space="preserve"> -0.00000000000000005*A4^5 + 0.0000000000009*A4^4 - 0.000000006*A4^3 + 0.00002*A4^2 + 0.0062*A4 + 0.4296</f>
        <v>7.8342874999999994</v>
      </c>
    </row>
    <row r="5" spans="1:4" x14ac:dyDescent="0.2">
      <c r="A5" s="15">
        <v>1000</v>
      </c>
      <c r="B5" s="15">
        <v>20</v>
      </c>
      <c r="C5" s="11">
        <v>14.3</v>
      </c>
      <c r="D5" s="11">
        <f t="shared" ref="D5:D21" si="0" xml:space="preserve"> -0.00000000000000005*A5^5 + 0.0000000000009*A5^4 - 0.000000006*A5^3 + 0.00002*A5^2 + 0.0062*A5 + 0.4296</f>
        <v>21.479600000000001</v>
      </c>
    </row>
    <row r="6" spans="1:4" x14ac:dyDescent="0.2">
      <c r="A6" s="15">
        <v>1500</v>
      </c>
      <c r="B6" s="15">
        <v>33</v>
      </c>
      <c r="C6" s="11">
        <v>15.8</v>
      </c>
      <c r="D6" s="11">
        <f t="shared" si="0"/>
        <v>38.656162500000008</v>
      </c>
    </row>
    <row r="7" spans="1:4" x14ac:dyDescent="0.2">
      <c r="A7" s="15">
        <v>2000</v>
      </c>
      <c r="B7" s="15">
        <v>47</v>
      </c>
      <c r="C7" s="11">
        <v>16.8</v>
      </c>
      <c r="D7" s="11">
        <f t="shared" si="0"/>
        <v>57.629599999999996</v>
      </c>
    </row>
    <row r="8" spans="1:4" x14ac:dyDescent="0.2">
      <c r="A8" s="15">
        <v>2500</v>
      </c>
      <c r="B8" s="15">
        <v>63</v>
      </c>
      <c r="C8" s="11">
        <v>18</v>
      </c>
      <c r="D8" s="11">
        <f t="shared" si="0"/>
        <v>77.453037500000008</v>
      </c>
    </row>
    <row r="9" spans="1:4" x14ac:dyDescent="0.2">
      <c r="A9" s="15">
        <v>3000</v>
      </c>
      <c r="B9" s="15">
        <v>78</v>
      </c>
      <c r="C9" s="11">
        <v>18.600000000000001</v>
      </c>
      <c r="D9" s="11">
        <f t="shared" si="0"/>
        <v>97.779600000000016</v>
      </c>
    </row>
    <row r="10" spans="1:4" x14ac:dyDescent="0.2">
      <c r="A10" s="15">
        <v>3500</v>
      </c>
      <c r="B10" s="15">
        <v>92</v>
      </c>
      <c r="C10" s="11">
        <v>18.8</v>
      </c>
      <c r="D10" s="11">
        <f t="shared" si="0"/>
        <v>118.67491250000005</v>
      </c>
    </row>
    <row r="11" spans="1:4" x14ac:dyDescent="0.2">
      <c r="A11" s="15">
        <v>4000</v>
      </c>
      <c r="B11" s="15">
        <v>105</v>
      </c>
      <c r="C11" s="11">
        <v>18.8</v>
      </c>
      <c r="D11" s="11">
        <f t="shared" si="0"/>
        <v>140.42960000000002</v>
      </c>
    </row>
    <row r="12" spans="1:4" x14ac:dyDescent="0.2">
      <c r="A12" s="15">
        <v>4500</v>
      </c>
      <c r="B12" s="15">
        <v>118</v>
      </c>
      <c r="C12" s="11">
        <v>18.8</v>
      </c>
      <c r="D12" s="11">
        <f t="shared" si="0"/>
        <v>163.37178750000001</v>
      </c>
    </row>
    <row r="13" spans="1:4" x14ac:dyDescent="0.2">
      <c r="A13" s="15">
        <v>5000</v>
      </c>
      <c r="B13" s="15">
        <v>132</v>
      </c>
      <c r="C13" s="11">
        <v>18.899999999999999</v>
      </c>
      <c r="D13" s="11">
        <f t="shared" si="0"/>
        <v>187.67960000000005</v>
      </c>
    </row>
    <row r="14" spans="1:4" x14ac:dyDescent="0.2">
      <c r="A14" s="15">
        <v>5500</v>
      </c>
      <c r="B14" s="15">
        <v>152</v>
      </c>
      <c r="C14" s="11">
        <v>19.8</v>
      </c>
      <c r="D14" s="11">
        <f t="shared" si="0"/>
        <v>213.19366249999999</v>
      </c>
    </row>
    <row r="15" spans="1:4" x14ac:dyDescent="0.2">
      <c r="A15" s="15">
        <v>6000</v>
      </c>
      <c r="B15" s="15">
        <v>173</v>
      </c>
      <c r="C15" s="11">
        <v>20.7</v>
      </c>
      <c r="D15" s="11">
        <f t="shared" si="0"/>
        <v>239.22960000000023</v>
      </c>
    </row>
    <row r="16" spans="1:4" x14ac:dyDescent="0.2">
      <c r="A16" s="15">
        <v>6500</v>
      </c>
      <c r="B16" s="15">
        <v>192</v>
      </c>
      <c r="C16" s="11">
        <v>21.2</v>
      </c>
      <c r="D16" s="11">
        <f t="shared" si="0"/>
        <v>264.39053750000039</v>
      </c>
    </row>
    <row r="17" spans="1:4" x14ac:dyDescent="0.2">
      <c r="A17" s="15">
        <v>7000</v>
      </c>
      <c r="B17" s="15">
        <v>212</v>
      </c>
      <c r="C17" s="11">
        <v>21.7</v>
      </c>
      <c r="D17" s="11">
        <f t="shared" si="0"/>
        <v>286.37960000000027</v>
      </c>
    </row>
    <row r="18" spans="1:4" x14ac:dyDescent="0.2">
      <c r="A18" s="15">
        <v>7500</v>
      </c>
      <c r="B18" s="15">
        <v>231</v>
      </c>
      <c r="C18" s="11">
        <v>22.1</v>
      </c>
      <c r="D18" s="11">
        <f t="shared" si="0"/>
        <v>301.81241249999999</v>
      </c>
    </row>
    <row r="19" spans="1:4" x14ac:dyDescent="0.2">
      <c r="A19" s="15">
        <v>8000</v>
      </c>
      <c r="B19" s="15">
        <v>244</v>
      </c>
      <c r="C19" s="11">
        <v>21.8</v>
      </c>
      <c r="D19" s="11">
        <f t="shared" si="0"/>
        <v>306.02960000000002</v>
      </c>
    </row>
    <row r="20" spans="1:4" x14ac:dyDescent="0.2">
      <c r="A20" s="15">
        <v>8500</v>
      </c>
      <c r="B20" s="15">
        <v>247</v>
      </c>
      <c r="C20" s="11">
        <v>20.8</v>
      </c>
      <c r="D20" s="11">
        <f t="shared" si="0"/>
        <v>292.90928749999966</v>
      </c>
    </row>
    <row r="21" spans="1:4" x14ac:dyDescent="0.2">
      <c r="A21" s="15">
        <v>9000</v>
      </c>
      <c r="B21" s="15">
        <v>235</v>
      </c>
      <c r="C21" s="11">
        <v>18.7</v>
      </c>
      <c r="D21" s="11">
        <f t="shared" si="0"/>
        <v>254.67960000000005</v>
      </c>
    </row>
    <row r="23" spans="1:4" x14ac:dyDescent="0.2">
      <c r="A23" s="14" t="s">
        <v>86</v>
      </c>
      <c r="B23" s="15">
        <v>0.30499999999999999</v>
      </c>
      <c r="C23" t="s">
        <v>87</v>
      </c>
    </row>
    <row r="24" spans="1:4" x14ac:dyDescent="0.2">
      <c r="A24" s="14">
        <v>1</v>
      </c>
      <c r="B24" s="15">
        <v>3.133</v>
      </c>
    </row>
    <row r="25" spans="1:4" x14ac:dyDescent="0.2">
      <c r="A25" s="14">
        <v>2</v>
      </c>
      <c r="B25" s="15">
        <v>2.0449999999999999</v>
      </c>
    </row>
    <row r="26" spans="1:4" x14ac:dyDescent="0.2">
      <c r="A26" s="14">
        <v>3</v>
      </c>
      <c r="B26" s="15">
        <v>1.4810000000000001</v>
      </c>
    </row>
    <row r="27" spans="1:4" x14ac:dyDescent="0.2">
      <c r="A27" s="14">
        <v>4</v>
      </c>
      <c r="B27" s="15">
        <v>1.161</v>
      </c>
    </row>
    <row r="28" spans="1:4" x14ac:dyDescent="0.2">
      <c r="A28" s="14">
        <v>5</v>
      </c>
      <c r="B28" s="15">
        <v>0.97</v>
      </c>
      <c r="C28" t="s">
        <v>89</v>
      </c>
    </row>
    <row r="29" spans="1:4" x14ac:dyDescent="0.2">
      <c r="A29" s="14">
        <v>6</v>
      </c>
      <c r="B29" s="15">
        <v>0.81</v>
      </c>
    </row>
    <row r="30" spans="1:4" x14ac:dyDescent="0.2">
      <c r="A30" s="14" t="s">
        <v>88</v>
      </c>
      <c r="B30" s="15">
        <v>2.8</v>
      </c>
    </row>
    <row r="31" spans="1:4" x14ac:dyDescent="0.2">
      <c r="A31" s="14">
        <v>1</v>
      </c>
      <c r="B31" s="15">
        <v>1.1599999999999999</v>
      </c>
    </row>
    <row r="32" spans="1:4" x14ac:dyDescent="0.2">
      <c r="A32" s="14">
        <v>2</v>
      </c>
      <c r="B32" s="15">
        <v>4.0999999999999996</v>
      </c>
    </row>
    <row r="34" spans="1:9" x14ac:dyDescent="0.2">
      <c r="A34" s="14" t="s">
        <v>49</v>
      </c>
      <c r="B34" s="14" t="s">
        <v>90</v>
      </c>
      <c r="C34" s="14" t="s">
        <v>91</v>
      </c>
      <c r="D34" s="14" t="s">
        <v>83</v>
      </c>
      <c r="E34" s="14" t="s">
        <v>92</v>
      </c>
      <c r="F34" s="14" t="s">
        <v>93</v>
      </c>
      <c r="G34" s="14" t="s">
        <v>94</v>
      </c>
      <c r="H34" s="14" t="s">
        <v>95</v>
      </c>
      <c r="I34" s="14" t="s">
        <v>49</v>
      </c>
    </row>
    <row r="35" spans="1:9" x14ac:dyDescent="0.2">
      <c r="A35" s="14" t="s">
        <v>78</v>
      </c>
      <c r="B35" s="14"/>
      <c r="C35" s="14" t="s">
        <v>96</v>
      </c>
      <c r="D35" s="14" t="s">
        <v>97</v>
      </c>
      <c r="E35" s="14" t="s">
        <v>98</v>
      </c>
      <c r="F35" s="14" t="s">
        <v>99</v>
      </c>
      <c r="G35" s="14" t="s">
        <v>100</v>
      </c>
      <c r="H35" s="14" t="s">
        <v>101</v>
      </c>
      <c r="I35" s="14" t="s">
        <v>102</v>
      </c>
    </row>
    <row r="36" spans="1:9" x14ac:dyDescent="0.2">
      <c r="A36" s="11">
        <v>0</v>
      </c>
      <c r="B36" s="15">
        <v>3.133</v>
      </c>
      <c r="C36" s="11">
        <f>A36/3.6/B$23/2/PI()*B$32*B$31*B36*60</f>
        <v>0</v>
      </c>
      <c r="D36" s="11">
        <f>-4.687*10^(-17)*C36^5+9.129*10^(-13)*C36^4-6.175*10^(-9)*C36^3+1.799*10^(-5)*C36^2+6.502*10^(-3)*C36</f>
        <v>0</v>
      </c>
      <c r="E36" s="15"/>
      <c r="F36" s="15"/>
      <c r="G36" s="15">
        <f>'Speed Calc'!G$3+'Speed Calc'!G$5*A36^2</f>
        <v>20</v>
      </c>
      <c r="H36" s="7">
        <f>(F36-G36)/'Speed Calc'!G$2*9.806</f>
        <v>-0.14527407407407406</v>
      </c>
      <c r="I36" s="4">
        <f>A36/3.6</f>
        <v>0</v>
      </c>
    </row>
    <row r="37" spans="1:9" x14ac:dyDescent="0.2">
      <c r="A37" s="11">
        <v>0.1</v>
      </c>
      <c r="B37" s="15">
        <v>3.133</v>
      </c>
      <c r="C37" s="11">
        <f t="shared" ref="C37:C42" si="1">A37/3.6/B$23/2/PI()*B$32*B$31*B37*60</f>
        <v>12.958993819552212</v>
      </c>
      <c r="D37" s="11">
        <f t="shared" ref="D37:D100" si="2">-4.687*10^(-17)*C37^5+9.129*10^(-13)*C37^4-6.175*10^(-9)*C37^3+1.799*10^(-5)*C37^2+6.502*10^(-3)*C37</f>
        <v>8.7267125062530634E-2</v>
      </c>
      <c r="E37" s="11">
        <f>D37*75*B37*B$31*B$32/B$23/C37/2/PI()*60</f>
        <v>235.62123766883269</v>
      </c>
      <c r="F37" s="11">
        <f>'Speed Calc'!B$5*E37</f>
        <v>212.05911390194942</v>
      </c>
      <c r="G37" s="15">
        <f>'Speed Calc'!G$3+'Speed Calc'!G$5*A37^2</f>
        <v>20</v>
      </c>
      <c r="H37" s="7">
        <f>(F37-G37)/'Speed Calc'!G$2*9.806</f>
        <v>1.3950604969796412</v>
      </c>
      <c r="I37" s="4">
        <f>A37/3.6</f>
        <v>2.777777777777778E-2</v>
      </c>
    </row>
    <row r="38" spans="1:9" x14ac:dyDescent="0.2">
      <c r="A38" s="11">
        <v>0.2</v>
      </c>
      <c r="B38" s="15">
        <v>3.133</v>
      </c>
      <c r="C38" s="11">
        <f t="shared" si="1"/>
        <v>25.917987639104425</v>
      </c>
      <c r="D38" s="11">
        <f t="shared" si="2"/>
        <v>0.1804962990902218</v>
      </c>
      <c r="E38" s="11">
        <f t="shared" ref="E38:E101" si="3">D38*75*B38*B$31*B$32/B$23/C38/2/PI()*60</f>
        <v>243.67000377179943</v>
      </c>
      <c r="F38" s="11">
        <f>'Speed Calc'!B$5*E38</f>
        <v>219.30300339461948</v>
      </c>
      <c r="G38" s="15">
        <f>'Speed Calc'!G$3+'Speed Calc'!G$5*A38^2</f>
        <v>20</v>
      </c>
      <c r="H38" s="7">
        <f>(F38-G38)/'Speed Calc'!G$2*9.806</f>
        <v>1.4476779639167692</v>
      </c>
      <c r="I38" s="4">
        <f t="shared" ref="I38:I101" si="4">A38/3.6</f>
        <v>5.5555555555555559E-2</v>
      </c>
    </row>
    <row r="39" spans="1:9" x14ac:dyDescent="0.2">
      <c r="A39" s="11">
        <v>0.3</v>
      </c>
      <c r="B39" s="15">
        <v>3.133</v>
      </c>
      <c r="C39" s="11">
        <f t="shared" si="1"/>
        <v>38.87698145865663</v>
      </c>
      <c r="D39" s="11">
        <f t="shared" si="2"/>
        <v>0.27960781536387086</v>
      </c>
      <c r="E39" s="11">
        <f t="shared" si="3"/>
        <v>251.64703382748377</v>
      </c>
      <c r="F39" s="11">
        <f>'Speed Calc'!B$5*E39</f>
        <v>226.4823304447354</v>
      </c>
      <c r="G39" s="15">
        <f>'Speed Calc'!G$3+'Speed Calc'!G$5*A39^2</f>
        <v>20</v>
      </c>
      <c r="H39" s="7">
        <f>(F39-G39)/'Speed Calc'!G$2*9.806</f>
        <v>1.4998264684007965</v>
      </c>
      <c r="I39" s="4">
        <f t="shared" si="4"/>
        <v>8.3333333333333329E-2</v>
      </c>
    </row>
    <row r="40" spans="1:9" x14ac:dyDescent="0.2">
      <c r="A40" s="11">
        <v>0.4</v>
      </c>
      <c r="B40" s="15">
        <v>3.133</v>
      </c>
      <c r="C40" s="11">
        <f t="shared" si="1"/>
        <v>51.835975278208849</v>
      </c>
      <c r="D40" s="11">
        <f t="shared" si="2"/>
        <v>0.38452258095510183</v>
      </c>
      <c r="E40" s="11">
        <f t="shared" si="3"/>
        <v>259.5527421446937</v>
      </c>
      <c r="F40" s="11">
        <f>'Speed Calc'!B$5*E40</f>
        <v>233.59746793022433</v>
      </c>
      <c r="G40" s="15">
        <f>'Speed Calc'!G$3+'Speed Calc'!G$5*A40^2</f>
        <v>20</v>
      </c>
      <c r="H40" s="7">
        <f>(F40-G40)/'Speed Calc'!G$2*9.806</f>
        <v>1.5515087189065035</v>
      </c>
      <c r="I40" s="4">
        <f t="shared" si="4"/>
        <v>0.11111111111111112</v>
      </c>
    </row>
    <row r="41" spans="1:9" x14ac:dyDescent="0.2">
      <c r="A41" s="11">
        <v>0.5</v>
      </c>
      <c r="B41" s="15">
        <v>3.133</v>
      </c>
      <c r="C41" s="11">
        <f t="shared" si="1"/>
        <v>64.794969097761069</v>
      </c>
      <c r="D41" s="11">
        <f t="shared" si="2"/>
        <v>0.49516211467079374</v>
      </c>
      <c r="E41" s="11">
        <f t="shared" si="3"/>
        <v>267.38754192222859</v>
      </c>
      <c r="F41" s="11">
        <f>'Speed Calc'!B$5*E41</f>
        <v>240.64878773000575</v>
      </c>
      <c r="G41" s="15">
        <f>'Speed Calc'!G$3+'Speed Calc'!G$5*A41^2</f>
        <v>20</v>
      </c>
      <c r="H41" s="7">
        <f>(F41-G41)/'Speed Calc'!G$2*9.806</f>
        <v>1.602727416652175</v>
      </c>
      <c r="I41" s="4">
        <f t="shared" si="4"/>
        <v>0.1388888888888889</v>
      </c>
    </row>
    <row r="42" spans="1:9" x14ac:dyDescent="0.2">
      <c r="A42" s="11">
        <v>0.6</v>
      </c>
      <c r="B42" s="15">
        <v>3.133</v>
      </c>
      <c r="C42" s="11">
        <f t="shared" si="1"/>
        <v>77.75396291731326</v>
      </c>
      <c r="D42" s="11">
        <f t="shared" si="2"/>
        <v>0.61144854499750867</v>
      </c>
      <c r="E42" s="11">
        <f t="shared" si="3"/>
        <v>275.15184524887894</v>
      </c>
      <c r="F42" s="11">
        <f>'Speed Calc'!B$5*E42</f>
        <v>247.63666072399104</v>
      </c>
      <c r="G42" s="15">
        <f>'Speed Calc'!G$3+'Speed Calc'!G$5*A42^2</f>
        <v>20</v>
      </c>
      <c r="H42" s="7">
        <f>(F42-G42)/'Speed Calc'!G$2*9.806</f>
        <v>1.6534852555995969</v>
      </c>
      <c r="I42" s="4">
        <f t="shared" si="4"/>
        <v>0.16666666666666666</v>
      </c>
    </row>
    <row r="43" spans="1:9" x14ac:dyDescent="0.2">
      <c r="A43" s="11">
        <v>0.7</v>
      </c>
      <c r="B43" s="15">
        <v>3.133</v>
      </c>
      <c r="C43" s="11">
        <f t="shared" ref="C43:C106" si="5">A43/3.6/B$23/2/PI()*B$32*B$31*B43*60</f>
        <v>90.712956736865465</v>
      </c>
      <c r="D43" s="11">
        <f t="shared" si="2"/>
        <v>0.73330460804592112</v>
      </c>
      <c r="E43" s="11">
        <f t="shared" si="3"/>
        <v>282.84606310342679</v>
      </c>
      <c r="F43" s="11">
        <f>'Speed Calc'!B$5*E43</f>
        <v>254.56145679308412</v>
      </c>
      <c r="G43" s="15">
        <f>'Speed Calc'!G$3+'Speed Calc'!G$5*A43^2</f>
        <v>20</v>
      </c>
      <c r="H43" s="7">
        <f>(F43-G43)/'Speed Calc'!G$2*9.806</f>
        <v>1.7037849224540613</v>
      </c>
      <c r="I43" s="4">
        <f t="shared" si="4"/>
        <v>0.19444444444444442</v>
      </c>
    </row>
    <row r="44" spans="1:9" x14ac:dyDescent="0.2">
      <c r="A44" s="11">
        <v>0.8</v>
      </c>
      <c r="B44" s="15">
        <v>3.133</v>
      </c>
      <c r="C44" s="11">
        <f t="shared" si="5"/>
        <v>103.6719505564177</v>
      </c>
      <c r="D44" s="11">
        <f t="shared" si="2"/>
        <v>0.86065364549524559</v>
      </c>
      <c r="E44" s="11">
        <f t="shared" si="3"/>
        <v>290.47060535464533</v>
      </c>
      <c r="F44" s="11">
        <f>'Speed Calc'!B$5*E44</f>
        <v>261.42354481918079</v>
      </c>
      <c r="G44" s="15">
        <f>'Speed Calc'!G$3+'Speed Calc'!G$5*A44^2</f>
        <v>20</v>
      </c>
      <c r="H44" s="7">
        <f>(F44-G44)/'Speed Calc'!G$2*9.806</f>
        <v>1.7536290966643604</v>
      </c>
      <c r="I44" s="4">
        <f t="shared" si="4"/>
        <v>0.22222222222222224</v>
      </c>
    </row>
    <row r="45" spans="1:9" x14ac:dyDescent="0.2">
      <c r="A45" s="11">
        <v>0.9</v>
      </c>
      <c r="B45" s="15">
        <v>3.133</v>
      </c>
      <c r="C45" s="11">
        <f t="shared" si="5"/>
        <v>116.63094437596989</v>
      </c>
      <c r="D45" s="11">
        <f t="shared" si="2"/>
        <v>0.99341960253766404</v>
      </c>
      <c r="E45" s="11">
        <f t="shared" si="3"/>
        <v>298.02588076129922</v>
      </c>
      <c r="F45" s="11">
        <f>'Speed Calc'!B$5*E45</f>
        <v>268.22329268516933</v>
      </c>
      <c r="G45" s="15">
        <f>'Speed Calc'!G$3+'Speed Calc'!G$5*A45^2</f>
        <v>20</v>
      </c>
      <c r="H45" s="7">
        <f>(F45-G45)/'Speed Calc'!G$2*9.806</f>
        <v>1.8030204504227929</v>
      </c>
      <c r="I45" s="4">
        <f t="shared" si="4"/>
        <v>0.25</v>
      </c>
    </row>
    <row r="46" spans="1:9" x14ac:dyDescent="0.2">
      <c r="A46" s="11">
        <v>1</v>
      </c>
      <c r="B46" s="15">
        <v>3.133</v>
      </c>
      <c r="C46" s="11">
        <f t="shared" si="5"/>
        <v>129.58993819552214</v>
      </c>
      <c r="D46" s="11">
        <f t="shared" si="2"/>
        <v>1.1315270258227577</v>
      </c>
      <c r="E46" s="11">
        <f t="shared" si="3"/>
        <v>305.51229697214444</v>
      </c>
      <c r="F46" s="11">
        <f>'Speed Calc'!B$5*E46</f>
        <v>274.96106727493003</v>
      </c>
      <c r="G46" s="15">
        <f>'Speed Calc'!G$3+'Speed Calc'!G$5*A46^2</f>
        <v>20</v>
      </c>
      <c r="H46" s="7">
        <f>(F46-G46)/'Speed Calc'!G$2*9.806</f>
        <v>1.8519616486651582</v>
      </c>
      <c r="I46" s="4">
        <f t="shared" si="4"/>
        <v>0.27777777777777779</v>
      </c>
    </row>
    <row r="47" spans="1:9" x14ac:dyDescent="0.2">
      <c r="A47" s="11">
        <v>1.1000000000000001</v>
      </c>
      <c r="B47" s="15">
        <v>3.133</v>
      </c>
      <c r="C47" s="11">
        <f t="shared" si="5"/>
        <v>142.54893201507437</v>
      </c>
      <c r="D47" s="11">
        <f t="shared" si="2"/>
        <v>1.27490106140193</v>
      </c>
      <c r="E47" s="11">
        <f t="shared" si="3"/>
        <v>312.93026052592819</v>
      </c>
      <c r="F47" s="11">
        <f>'Speed Calc'!B$5*E47</f>
        <v>281.63723447333535</v>
      </c>
      <c r="G47" s="15">
        <f>'Speed Calc'!G$3+'Speed Calc'!G$5*A47^2</f>
        <v>20</v>
      </c>
      <c r="H47" s="7">
        <f>(F47-G47)/'Speed Calc'!G$2*9.806</f>
        <v>1.9004553490707603</v>
      </c>
      <c r="I47" s="4">
        <f t="shared" si="4"/>
        <v>0.30555555555555558</v>
      </c>
    </row>
    <row r="48" spans="1:9" x14ac:dyDescent="0.2">
      <c r="A48" s="11">
        <v>1.2</v>
      </c>
      <c r="B48" s="15">
        <v>3.133</v>
      </c>
      <c r="C48" s="11">
        <f t="shared" si="5"/>
        <v>155.50792583462652</v>
      </c>
      <c r="D48" s="11">
        <f t="shared" si="2"/>
        <v>1.4234674526728397</v>
      </c>
      <c r="E48" s="11">
        <f t="shared" si="3"/>
        <v>320.28017685138889</v>
      </c>
      <c r="F48" s="11">
        <f>'Speed Calc'!B$5*E48</f>
        <v>288.25215916625001</v>
      </c>
      <c r="G48" s="15">
        <f>'Speed Calc'!G$3+'Speed Calc'!G$5*A48^2</f>
        <v>20</v>
      </c>
      <c r="H48" s="7">
        <f>(F48-G48)/'Speed Calc'!G$2*9.806</f>
        <v>1.9485042020624055</v>
      </c>
      <c r="I48" s="4">
        <f t="shared" si="4"/>
        <v>0.33333333333333331</v>
      </c>
    </row>
    <row r="49" spans="1:9" x14ac:dyDescent="0.2">
      <c r="A49" s="11">
        <v>1.3</v>
      </c>
      <c r="B49" s="15">
        <v>3.133</v>
      </c>
      <c r="C49" s="11">
        <f t="shared" si="5"/>
        <v>168.46691965417872</v>
      </c>
      <c r="D49" s="11">
        <f t="shared" si="2"/>
        <v>1.5771525383238283</v>
      </c>
      <c r="E49" s="11">
        <f t="shared" si="3"/>
        <v>327.56245026725668</v>
      </c>
      <c r="F49" s="11">
        <f>'Speed Calc'!B$5*E49</f>
        <v>294.80620524053103</v>
      </c>
      <c r="G49" s="15">
        <f>'Speed Calc'!G$3+'Speed Calc'!G$5*A49^2</f>
        <v>20</v>
      </c>
      <c r="H49" s="7">
        <f>(F49-G49)/'Speed Calc'!G$2*9.806</f>
        <v>1.9961108508064052</v>
      </c>
      <c r="I49" s="4">
        <f t="shared" si="4"/>
        <v>0.3611111111111111</v>
      </c>
    </row>
    <row r="50" spans="1:9" x14ac:dyDescent="0.2">
      <c r="A50" s="11">
        <v>1.4</v>
      </c>
      <c r="B50" s="15">
        <v>3.133</v>
      </c>
      <c r="C50" s="11">
        <f t="shared" si="5"/>
        <v>181.42591347373093</v>
      </c>
      <c r="D50" s="11">
        <f t="shared" si="2"/>
        <v>1.735883250278347</v>
      </c>
      <c r="E50" s="11">
        <f t="shared" si="3"/>
        <v>334.77748398225265</v>
      </c>
      <c r="F50" s="11">
        <f>'Speed Calc'!B$5*E50</f>
        <v>301.29973558402742</v>
      </c>
      <c r="G50" s="15">
        <f>'Speed Calc'!G$3+'Speed Calc'!G$5*A50^2</f>
        <v>20</v>
      </c>
      <c r="H50" s="7">
        <f>(F50-G50)/'Speed Calc'!G$2*9.806</f>
        <v>2.0432779312125722</v>
      </c>
      <c r="I50" s="4">
        <f t="shared" si="4"/>
        <v>0.38888888888888884</v>
      </c>
    </row>
    <row r="51" spans="1:9" x14ac:dyDescent="0.2">
      <c r="A51" s="11">
        <v>1.5</v>
      </c>
      <c r="B51" s="15">
        <v>3.133</v>
      </c>
      <c r="C51" s="11">
        <f t="shared" si="5"/>
        <v>194.38490729328319</v>
      </c>
      <c r="D51" s="11">
        <f t="shared" si="2"/>
        <v>1.8995871116393861</v>
      </c>
      <c r="E51" s="11">
        <f t="shared" si="3"/>
        <v>341.92568009508949</v>
      </c>
      <c r="F51" s="11">
        <f>'Speed Calc'!B$5*E51</f>
        <v>307.73311208558056</v>
      </c>
      <c r="G51" s="15">
        <f>'Speed Calc'!G$3+'Speed Calc'!G$5*A51^2</f>
        <v>20</v>
      </c>
      <c r="H51" s="7">
        <f>(F51-G51)/'Speed Calc'!G$2*9.806</f>
        <v>2.0900080719342244</v>
      </c>
      <c r="I51" s="4">
        <f t="shared" si="4"/>
        <v>0.41666666666666663</v>
      </c>
    </row>
    <row r="52" spans="1:9" x14ac:dyDescent="0.2">
      <c r="A52" s="11">
        <v>1.6</v>
      </c>
      <c r="B52" s="15">
        <v>3.133</v>
      </c>
      <c r="C52" s="11">
        <f t="shared" si="5"/>
        <v>207.3439011128354</v>
      </c>
      <c r="D52" s="11">
        <f t="shared" si="2"/>
        <v>2.068192234633901</v>
      </c>
      <c r="E52" s="11">
        <f t="shared" si="3"/>
        <v>349.00743959447072</v>
      </c>
      <c r="F52" s="11">
        <f>'Speed Calc'!B$5*E52</f>
        <v>314.10669563502364</v>
      </c>
      <c r="G52" s="15">
        <f>'Speed Calc'!G$3+'Speed Calc'!G$5*A52^2</f>
        <v>20</v>
      </c>
      <c r="H52" s="7">
        <f>(F52-G52)/'Speed Calc'!G$2*9.806</f>
        <v>2.1363038943681789</v>
      </c>
      <c r="I52" s="4">
        <f t="shared" si="4"/>
        <v>0.44444444444444448</v>
      </c>
    </row>
    <row r="53" spans="1:9" x14ac:dyDescent="0.2">
      <c r="A53" s="11">
        <v>1.7</v>
      </c>
      <c r="B53" s="15">
        <v>3.133</v>
      </c>
      <c r="C53" s="11">
        <f t="shared" si="5"/>
        <v>220.30289493238755</v>
      </c>
      <c r="D53" s="11">
        <f t="shared" si="2"/>
        <v>2.2416273185572448</v>
      </c>
      <c r="E53" s="11">
        <f t="shared" si="3"/>
        <v>356.02316235909188</v>
      </c>
      <c r="F53" s="11">
        <f>'Speed Calc'!B$5*E53</f>
        <v>320.42084612318268</v>
      </c>
      <c r="G53" s="15">
        <f>'Speed Calc'!G$3+'Speed Calc'!G$5*A53^2</f>
        <v>20</v>
      </c>
      <c r="H53" s="7">
        <f>(F53-G53)/'Speed Calc'!G$2*9.806</f>
        <v>2.1821680126547625</v>
      </c>
      <c r="I53" s="4">
        <f t="shared" si="4"/>
        <v>0.47222222222222221</v>
      </c>
    </row>
    <row r="54" spans="1:9" x14ac:dyDescent="0.2">
      <c r="A54" s="11">
        <v>1.8</v>
      </c>
      <c r="B54" s="15">
        <v>3.133</v>
      </c>
      <c r="C54" s="11">
        <f t="shared" si="5"/>
        <v>233.26188875193978</v>
      </c>
      <c r="D54" s="11">
        <f t="shared" si="2"/>
        <v>2.4198216477175958</v>
      </c>
      <c r="E54" s="11">
        <f t="shared" si="3"/>
        <v>362.97324715763932</v>
      </c>
      <c r="F54" s="11">
        <f>'Speed Calc'!B$5*E54</f>
        <v>326.6759224418754</v>
      </c>
      <c r="G54" s="15">
        <f>'Speed Calc'!G$3+'Speed Calc'!G$5*A54^2</f>
        <v>20</v>
      </c>
      <c r="H54" s="7">
        <f>(F54-G54)/'Speed Calc'!G$2*9.806</f>
        <v>2.2276030336777999</v>
      </c>
      <c r="I54" s="4">
        <f t="shared" si="4"/>
        <v>0.5</v>
      </c>
    </row>
    <row r="55" spans="1:9" x14ac:dyDescent="0.2">
      <c r="A55" s="11">
        <v>1.9</v>
      </c>
      <c r="B55" s="15">
        <v>3.133</v>
      </c>
      <c r="C55" s="11">
        <f t="shared" si="5"/>
        <v>246.22088257149198</v>
      </c>
      <c r="D55" s="11">
        <f t="shared" si="2"/>
        <v>2.6027050893803811</v>
      </c>
      <c r="E55" s="11">
        <f t="shared" si="3"/>
        <v>369.85809164879112</v>
      </c>
      <c r="F55" s="11">
        <f>'Speed Calc'!B$5*E55</f>
        <v>332.87228248391199</v>
      </c>
      <c r="G55" s="15">
        <f>'Speed Calc'!G$3+'Speed Calc'!G$5*A55^2</f>
        <v>20</v>
      </c>
      <c r="H55" s="7">
        <f>(F55-G55)/'Speed Calc'!G$2*9.806</f>
        <v>2.2726115570646228</v>
      </c>
      <c r="I55" s="4">
        <f t="shared" si="4"/>
        <v>0.52777777777777779</v>
      </c>
    </row>
    <row r="56" spans="1:9" x14ac:dyDescent="0.2">
      <c r="A56" s="11">
        <v>2</v>
      </c>
      <c r="B56" s="15">
        <v>3.133</v>
      </c>
      <c r="C56" s="11">
        <f t="shared" si="5"/>
        <v>259.17987639104427</v>
      </c>
      <c r="D56" s="11">
        <f t="shared" si="2"/>
        <v>2.7902080917127128</v>
      </c>
      <c r="E56" s="11">
        <f t="shared" si="3"/>
        <v>376.67809238121606</v>
      </c>
      <c r="F56" s="11">
        <f>'Speed Calc'!B$5*E56</f>
        <v>339.01028314309445</v>
      </c>
      <c r="G56" s="15">
        <f>'Speed Calc'!G$3+'Speed Calc'!G$5*A56^2</f>
        <v>20</v>
      </c>
      <c r="H56" s="7">
        <f>(F56-G56)/'Speed Calc'!G$2*9.806</f>
        <v>2.3171961751860621</v>
      </c>
      <c r="I56" s="4">
        <f t="shared" si="4"/>
        <v>0.55555555555555558</v>
      </c>
    </row>
    <row r="57" spans="1:9" x14ac:dyDescent="0.2">
      <c r="A57" s="11">
        <v>2.1</v>
      </c>
      <c r="B57" s="15">
        <v>3.133</v>
      </c>
      <c r="C57" s="11">
        <f t="shared" si="5"/>
        <v>272.13887021059645</v>
      </c>
      <c r="D57" s="11">
        <f t="shared" si="2"/>
        <v>2.982261681727806</v>
      </c>
      <c r="E57" s="11">
        <f t="shared" si="3"/>
        <v>383.43364479357507</v>
      </c>
      <c r="F57" s="11">
        <f>'Speed Calc'!B$5*E57</f>
        <v>345.09028031421758</v>
      </c>
      <c r="G57" s="15">
        <f>'Speed Calc'!G$3+'Speed Calc'!G$5*A57^2</f>
        <v>20</v>
      </c>
      <c r="H57" s="7">
        <f>(F57-G57)/'Speed Calc'!G$2*9.806</f>
        <v>2.3613594731564573</v>
      </c>
      <c r="I57" s="4">
        <f t="shared" si="4"/>
        <v>0.58333333333333337</v>
      </c>
    </row>
    <row r="58" spans="1:9" x14ac:dyDescent="0.2">
      <c r="A58" s="11">
        <v>2.2000000000000002</v>
      </c>
      <c r="B58" s="15">
        <v>3.133</v>
      </c>
      <c r="C58" s="11">
        <f t="shared" si="5"/>
        <v>285.09786403014874</v>
      </c>
      <c r="D58" s="11">
        <f t="shared" si="2"/>
        <v>3.1787974632294196</v>
      </c>
      <c r="E58" s="11">
        <f t="shared" si="3"/>
        <v>390.1251432145196</v>
      </c>
      <c r="F58" s="11">
        <f>'Speed Calc'!B$5*E58</f>
        <v>351.11262889306767</v>
      </c>
      <c r="G58" s="15">
        <f>'Speed Calc'!G$3+'Speed Calc'!G$5*A58^2</f>
        <v>20</v>
      </c>
      <c r="H58" s="7">
        <f>(F58-G58)/'Speed Calc'!G$2*9.806</f>
        <v>2.4051040288336454</v>
      </c>
      <c r="I58" s="4">
        <f t="shared" si="4"/>
        <v>0.61111111111111116</v>
      </c>
    </row>
    <row r="59" spans="1:9" x14ac:dyDescent="0.2">
      <c r="A59" s="11">
        <v>2.2999999999999998</v>
      </c>
      <c r="B59" s="15">
        <v>3.133</v>
      </c>
      <c r="C59" s="11">
        <f t="shared" si="5"/>
        <v>298.0568578497008</v>
      </c>
      <c r="D59" s="11">
        <f t="shared" si="2"/>
        <v>3.3797476147562713</v>
      </c>
      <c r="E59" s="11">
        <f t="shared" si="3"/>
        <v>396.75298086269282</v>
      </c>
      <c r="F59" s="11">
        <f>'Speed Calc'!B$5*E59</f>
        <v>357.07768277642356</v>
      </c>
      <c r="G59" s="15">
        <f>'Speed Calc'!G$3+'Speed Calc'!G$5*A59^2</f>
        <v>20</v>
      </c>
      <c r="H59" s="7">
        <f>(F59-G59)/'Speed Calc'!G$2*9.806</f>
        <v>2.4484324128189696</v>
      </c>
      <c r="I59" s="4">
        <f t="shared" si="4"/>
        <v>0.63888888888888884</v>
      </c>
    </row>
    <row r="60" spans="1:9" x14ac:dyDescent="0.2">
      <c r="A60" s="11">
        <v>2.4</v>
      </c>
      <c r="B60" s="15">
        <v>3.133</v>
      </c>
      <c r="C60" s="11">
        <f t="shared" si="5"/>
        <v>311.01585166925304</v>
      </c>
      <c r="D60" s="11">
        <f t="shared" si="2"/>
        <v>3.5850448875264833</v>
      </c>
      <c r="E60" s="11">
        <f t="shared" si="3"/>
        <v>403.31754984672943</v>
      </c>
      <c r="F60" s="11">
        <f>'Speed Calc'!B$5*E60</f>
        <v>362.98579486205648</v>
      </c>
      <c r="G60" s="15">
        <f>'Speed Calc'!G$3+'Speed Calc'!G$5*A60^2</f>
        <v>20</v>
      </c>
      <c r="H60" s="7">
        <f>(F60-G60)/'Speed Calc'!G$2*9.806</f>
        <v>2.4913471884572784</v>
      </c>
      <c r="I60" s="4">
        <f t="shared" si="4"/>
        <v>0.66666666666666663</v>
      </c>
    </row>
    <row r="61" spans="1:9" x14ac:dyDescent="0.2">
      <c r="A61" s="11">
        <v>2.5</v>
      </c>
      <c r="B61" s="15">
        <v>3.133</v>
      </c>
      <c r="C61" s="11">
        <f t="shared" si="5"/>
        <v>323.97484548880527</v>
      </c>
      <c r="D61" s="11">
        <f t="shared" si="2"/>
        <v>3.794622603381991</v>
      </c>
      <c r="E61" s="11">
        <f t="shared" si="3"/>
        <v>409.81924116525505</v>
      </c>
      <c r="F61" s="11">
        <f>'Speed Calc'!B$5*E61</f>
        <v>368.83731704872957</v>
      </c>
      <c r="G61" s="15">
        <f>'Speed Calc'!G$3+'Speed Calc'!G$5*A61^2</f>
        <v>20</v>
      </c>
      <c r="H61" s="7">
        <f>(F61-G61)/'Speed Calc'!G$2*9.806</f>
        <v>2.5338509118369199</v>
      </c>
      <c r="I61" s="4">
        <f t="shared" si="4"/>
        <v>0.69444444444444442</v>
      </c>
    </row>
    <row r="62" spans="1:9" x14ac:dyDescent="0.2">
      <c r="A62" s="11">
        <v>2.6</v>
      </c>
      <c r="B62" s="15">
        <v>3.133</v>
      </c>
      <c r="C62" s="11">
        <f t="shared" si="5"/>
        <v>336.93383930835745</v>
      </c>
      <c r="D62" s="11">
        <f t="shared" si="2"/>
        <v>4.0084146527329843</v>
      </c>
      <c r="E62" s="11">
        <f t="shared" si="3"/>
        <v>416.25844470688691</v>
      </c>
      <c r="F62" s="11">
        <f>'Speed Calc'!B$5*E62</f>
        <v>374.63260023619824</v>
      </c>
      <c r="G62" s="15">
        <f>'Speed Calc'!G$3+'Speed Calc'!G$5*A62^2</f>
        <v>20</v>
      </c>
      <c r="H62" s="7">
        <f>(F62-G62)/'Speed Calc'!G$2*9.806</f>
        <v>2.5759461317897481</v>
      </c>
      <c r="I62" s="4">
        <f t="shared" si="4"/>
        <v>0.72222222222222221</v>
      </c>
    </row>
    <row r="63" spans="1:9" x14ac:dyDescent="0.2">
      <c r="A63" s="11">
        <v>2.7</v>
      </c>
      <c r="B63" s="15">
        <v>3.133</v>
      </c>
      <c r="C63" s="11">
        <f t="shared" si="5"/>
        <v>349.89283312790974</v>
      </c>
      <c r="D63" s="11">
        <f t="shared" si="2"/>
        <v>4.2263554925023339</v>
      </c>
      <c r="E63" s="11">
        <f t="shared" si="3"/>
        <v>422.6355492502334</v>
      </c>
      <c r="F63" s="11">
        <f>'Speed Calc'!B$5*E63</f>
        <v>380.37199432521004</v>
      </c>
      <c r="G63" s="15">
        <f>'Speed Calc'!G$3+'Speed Calc'!G$5*A63^2</f>
        <v>20</v>
      </c>
      <c r="H63" s="7">
        <f>(F63-G63)/'Speed Calc'!G$2*9.806</f>
        <v>2.6176353898911184</v>
      </c>
      <c r="I63" s="4">
        <f t="shared" si="4"/>
        <v>0.75</v>
      </c>
    </row>
    <row r="64" spans="1:9" x14ac:dyDescent="0.2">
      <c r="A64" s="11">
        <v>2.8</v>
      </c>
      <c r="B64" s="15">
        <v>3.133</v>
      </c>
      <c r="C64" s="11">
        <f t="shared" si="5"/>
        <v>362.85182694746186</v>
      </c>
      <c r="D64" s="11">
        <f t="shared" si="2"/>
        <v>4.448380144070013</v>
      </c>
      <c r="E64" s="11">
        <f t="shared" si="3"/>
        <v>428.95094246389419</v>
      </c>
      <c r="F64" s="11">
        <f>'Speed Calc'!B$5*E64</f>
        <v>386.05584821750477</v>
      </c>
      <c r="G64" s="15">
        <f>'Speed Calc'!G$3+'Speed Calc'!G$5*A64^2</f>
        <v>20</v>
      </c>
      <c r="H64" s="7">
        <f>(F64-G64)/'Speed Calc'!G$2*9.806</f>
        <v>2.6589212204598902</v>
      </c>
      <c r="I64" s="4">
        <f t="shared" si="4"/>
        <v>0.77777777777777768</v>
      </c>
    </row>
    <row r="65" spans="1:9" x14ac:dyDescent="0.2">
      <c r="A65" s="11">
        <v>2.9</v>
      </c>
      <c r="B65" s="15">
        <v>3.133</v>
      </c>
      <c r="C65" s="11">
        <f t="shared" si="5"/>
        <v>375.81082076701409</v>
      </c>
      <c r="D65" s="11">
        <f t="shared" si="2"/>
        <v>4.6744241912175379</v>
      </c>
      <c r="E65" s="11">
        <f t="shared" si="3"/>
        <v>435.20501090646047</v>
      </c>
      <c r="F65" s="11">
        <f>'Speed Calc'!B$5*E65</f>
        <v>391.68450981581441</v>
      </c>
      <c r="G65" s="15">
        <f>'Speed Calc'!G$3+'Speed Calc'!G$5*A65^2</f>
        <v>20</v>
      </c>
      <c r="H65" s="7">
        <f>(F65-G65)/'Speed Calc'!G$2*9.806</f>
        <v>2.6998061505584263</v>
      </c>
      <c r="I65" s="4">
        <f t="shared" si="4"/>
        <v>0.80555555555555547</v>
      </c>
    </row>
    <row r="66" spans="1:9" x14ac:dyDescent="0.2">
      <c r="A66" s="11">
        <v>3</v>
      </c>
      <c r="B66" s="15">
        <v>3.133</v>
      </c>
      <c r="C66" s="11">
        <f t="shared" si="5"/>
        <v>388.76981458656638</v>
      </c>
      <c r="D66" s="11">
        <f t="shared" si="2"/>
        <v>4.9044237780723865</v>
      </c>
      <c r="E66" s="11">
        <f t="shared" si="3"/>
        <v>441.39814002651468</v>
      </c>
      <c r="F66" s="11">
        <f>'Speed Calc'!B$5*E66</f>
        <v>397.25832602386322</v>
      </c>
      <c r="G66" s="15">
        <f>'Speed Calc'!G$3+'Speed Calc'!G$5*A66^2</f>
        <v>20</v>
      </c>
      <c r="H66" s="7">
        <f>(F66-G66)/'Speed Calc'!G$2*9.806</f>
        <v>2.7402926999925943</v>
      </c>
      <c r="I66" s="4">
        <f t="shared" si="4"/>
        <v>0.83333333333333326</v>
      </c>
    </row>
    <row r="67" spans="1:9" x14ac:dyDescent="0.2">
      <c r="A67" s="11">
        <v>3.1</v>
      </c>
      <c r="B67" s="15">
        <v>3.133</v>
      </c>
      <c r="C67" s="11">
        <f t="shared" si="5"/>
        <v>401.72880840611856</v>
      </c>
      <c r="D67" s="11">
        <f t="shared" si="2"/>
        <v>5.1383156070524239</v>
      </c>
      <c r="E67" s="11">
        <f t="shared" si="3"/>
        <v>447.53071416263043</v>
      </c>
      <c r="F67" s="11">
        <f>'Speed Calc'!B$5*E67</f>
        <v>402.77764274636741</v>
      </c>
      <c r="G67" s="15">
        <f>'Speed Calc'!G$3+'Speed Calc'!G$5*A67^2</f>
        <v>20</v>
      </c>
      <c r="H67" s="7">
        <f>(F67-G67)/'Speed Calc'!G$2*9.806</f>
        <v>2.7803833813117618</v>
      </c>
      <c r="I67" s="4">
        <f t="shared" si="4"/>
        <v>0.86111111111111116</v>
      </c>
    </row>
    <row r="68" spans="1:9" x14ac:dyDescent="0.2">
      <c r="A68" s="11">
        <v>3.2</v>
      </c>
      <c r="B68" s="15">
        <v>3.133</v>
      </c>
      <c r="C68" s="11">
        <f t="shared" si="5"/>
        <v>414.68780222567079</v>
      </c>
      <c r="D68" s="11">
        <f t="shared" si="2"/>
        <v>5.3760369368103476</v>
      </c>
      <c r="E68" s="11">
        <f t="shared" si="3"/>
        <v>453.60311654337295</v>
      </c>
      <c r="F68" s="11">
        <f>'Speed Calc'!B$5*E68</f>
        <v>408.24280488903565</v>
      </c>
      <c r="G68" s="15">
        <f>'Speed Calc'!G$3+'Speed Calc'!G$5*A68^2</f>
        <v>20</v>
      </c>
      <c r="H68" s="7">
        <f>(F68-G68)/'Speed Calc'!G$2*9.806</f>
        <v>2.8200806998088024</v>
      </c>
      <c r="I68" s="4">
        <f t="shared" si="4"/>
        <v>0.88888888888888895</v>
      </c>
    </row>
    <row r="69" spans="1:9" x14ac:dyDescent="0.2">
      <c r="A69" s="11">
        <v>3.3</v>
      </c>
      <c r="B69" s="15">
        <v>3.133</v>
      </c>
      <c r="C69" s="11">
        <f t="shared" si="5"/>
        <v>427.64679604522291</v>
      </c>
      <c r="D69" s="11">
        <f t="shared" si="2"/>
        <v>5.6175255801780919</v>
      </c>
      <c r="E69" s="11">
        <f t="shared" si="3"/>
        <v>459.61572928729856</v>
      </c>
      <c r="F69" s="11">
        <f>'Speed Calc'!B$5*E69</f>
        <v>413.65415635856874</v>
      </c>
      <c r="G69" s="15">
        <f>'Speed Calc'!G$3+'Speed Calc'!G$5*A69^2</f>
        <v>20</v>
      </c>
      <c r="H69" s="7">
        <f>(F69-G69)/'Speed Calc'!G$2*9.806</f>
        <v>2.8593871535200925</v>
      </c>
      <c r="I69" s="4">
        <f t="shared" si="4"/>
        <v>0.91666666666666663</v>
      </c>
    </row>
    <row r="70" spans="1:9" x14ac:dyDescent="0.2">
      <c r="A70" s="11">
        <v>3.4</v>
      </c>
      <c r="B70" s="15">
        <v>3.133</v>
      </c>
      <c r="C70" s="11">
        <f t="shared" si="5"/>
        <v>440.60578986477509</v>
      </c>
      <c r="D70" s="11">
        <f t="shared" si="2"/>
        <v>5.8627199021112828</v>
      </c>
      <c r="E70" s="11">
        <f t="shared" si="3"/>
        <v>465.56893340295505</v>
      </c>
      <c r="F70" s="11">
        <f>'Speed Calc'!B$5*E70</f>
        <v>419.01204006265954</v>
      </c>
      <c r="G70" s="15">
        <f>'Speed Calc'!G$3+'Speed Calc'!G$5*A70^2</f>
        <v>20</v>
      </c>
      <c r="H70" s="7">
        <f>(F70-G70)/'Speed Calc'!G$2*9.806</f>
        <v>2.8983052332255101</v>
      </c>
      <c r="I70" s="4">
        <f t="shared" si="4"/>
        <v>0.94444444444444442</v>
      </c>
    </row>
    <row r="71" spans="1:9" x14ac:dyDescent="0.2">
      <c r="A71" s="11">
        <v>3.5</v>
      </c>
      <c r="B71" s="15">
        <v>3.133</v>
      </c>
      <c r="C71" s="11">
        <f t="shared" si="5"/>
        <v>453.56478368432738</v>
      </c>
      <c r="D71" s="11">
        <f t="shared" si="2"/>
        <v>6.1115588176336431</v>
      </c>
      <c r="E71" s="11">
        <f t="shared" si="3"/>
        <v>471.46310878888096</v>
      </c>
      <c r="F71" s="11">
        <f>'Speed Calc'!B$5*E71</f>
        <v>424.31679790999289</v>
      </c>
      <c r="G71" s="15">
        <f>'Speed Calc'!G$3+'Speed Calc'!G$5*A71^2</f>
        <v>20</v>
      </c>
      <c r="H71" s="7">
        <f>(F71-G71)/'Speed Calc'!G$2*9.806</f>
        <v>2.9368374224484368</v>
      </c>
      <c r="I71" s="4">
        <f t="shared" si="4"/>
        <v>0.97222222222222221</v>
      </c>
    </row>
    <row r="72" spans="1:9" x14ac:dyDescent="0.2">
      <c r="A72" s="11">
        <v>3.6</v>
      </c>
      <c r="B72" s="15">
        <v>3.133</v>
      </c>
      <c r="C72" s="11">
        <f t="shared" si="5"/>
        <v>466.52377750387956</v>
      </c>
      <c r="D72" s="11">
        <f t="shared" si="2"/>
        <v>6.3639817897814321</v>
      </c>
      <c r="E72" s="11">
        <f t="shared" si="3"/>
        <v>477.2986342336074</v>
      </c>
      <c r="F72" s="11">
        <f>'Speed Calc'!B$5*E72</f>
        <v>429.56877081024669</v>
      </c>
      <c r="G72" s="15">
        <f>'Speed Calc'!G$3+'Speed Calc'!G$5*A72^2</f>
        <v>20</v>
      </c>
      <c r="H72" s="7">
        <f>(F72-G72)/'Speed Calc'!G$2*9.806</f>
        <v>2.9749861974557623</v>
      </c>
      <c r="I72" s="4">
        <f t="shared" si="4"/>
        <v>1</v>
      </c>
    </row>
    <row r="73" spans="1:9" x14ac:dyDescent="0.2">
      <c r="A73" s="11">
        <v>3.7</v>
      </c>
      <c r="B73" s="15">
        <v>3.133</v>
      </c>
      <c r="C73" s="11">
        <f t="shared" si="5"/>
        <v>479.4827713234319</v>
      </c>
      <c r="D73" s="11">
        <f t="shared" si="2"/>
        <v>6.619928827547878</v>
      </c>
      <c r="E73" s="11">
        <f t="shared" si="3"/>
        <v>483.07588741565581</v>
      </c>
      <c r="F73" s="11">
        <f>'Speed Calc'!B$5*E73</f>
        <v>434.76829867409026</v>
      </c>
      <c r="G73" s="15">
        <f>'Speed Calc'!G$3+'Speed Calc'!G$5*A73^2</f>
        <v>20</v>
      </c>
      <c r="H73" s="7">
        <f>(F73-G73)/'Speed Calc'!G$2*9.806</f>
        <v>3.012754027257873</v>
      </c>
      <c r="I73" s="4">
        <f t="shared" si="4"/>
        <v>1.0277777777777779</v>
      </c>
    </row>
    <row r="74" spans="1:9" x14ac:dyDescent="0.2">
      <c r="A74" s="11">
        <v>3.8</v>
      </c>
      <c r="B74" s="15">
        <v>3.133</v>
      </c>
      <c r="C74" s="11">
        <f t="shared" si="5"/>
        <v>492.44176514298397</v>
      </c>
      <c r="D74" s="11">
        <f t="shared" si="2"/>
        <v>6.8793404838275842</v>
      </c>
      <c r="E74" s="11">
        <f t="shared" si="3"/>
        <v>488.79524490353896</v>
      </c>
      <c r="F74" s="11">
        <f>'Speed Calc'!B$5*E74</f>
        <v>439.91572041318506</v>
      </c>
      <c r="G74" s="15">
        <f>'Speed Calc'!G$3+'Speed Calc'!G$5*A74^2</f>
        <v>20</v>
      </c>
      <c r="H74" s="7">
        <f>(F74-G74)/'Speed Calc'!G$2*9.806</f>
        <v>3.0501433736086607</v>
      </c>
      <c r="I74" s="4">
        <f t="shared" si="4"/>
        <v>1.0555555555555556</v>
      </c>
    </row>
    <row r="75" spans="1:9" x14ac:dyDescent="0.2">
      <c r="A75" s="11">
        <v>3.9</v>
      </c>
      <c r="B75" s="15">
        <v>3.133</v>
      </c>
      <c r="C75" s="11">
        <f t="shared" si="5"/>
        <v>505.40075896253614</v>
      </c>
      <c r="D75" s="11">
        <f t="shared" si="2"/>
        <v>7.1421578533609953</v>
      </c>
      <c r="E75" s="11">
        <f t="shared" si="3"/>
        <v>494.45708215576133</v>
      </c>
      <c r="F75" s="11">
        <f>'Speed Calc'!B$5*E75</f>
        <v>445.01137394018519</v>
      </c>
      <c r="G75" s="15">
        <f>'Speed Calc'!G$3+'Speed Calc'!G$5*A75^2</f>
        <v>20</v>
      </c>
      <c r="H75" s="7">
        <f>(F75-G75)/'Speed Calc'!G$2*9.806</f>
        <v>3.0871566910055224</v>
      </c>
      <c r="I75" s="4">
        <f t="shared" si="4"/>
        <v>1.0833333333333333</v>
      </c>
    </row>
    <row r="76" spans="1:9" x14ac:dyDescent="0.2">
      <c r="A76" s="11">
        <v>4</v>
      </c>
      <c r="B76" s="15">
        <v>3.133</v>
      </c>
      <c r="C76" s="11">
        <f t="shared" si="5"/>
        <v>518.35975278208855</v>
      </c>
      <c r="D76" s="11">
        <f t="shared" si="2"/>
        <v>7.4083225706787967</v>
      </c>
      <c r="E76" s="11">
        <f t="shared" si="3"/>
        <v>500.06177352081875</v>
      </c>
      <c r="F76" s="11">
        <f>'Speed Calc'!B$5*E76</f>
        <v>450.05559616873688</v>
      </c>
      <c r="G76" s="15">
        <f>'Speed Calc'!G$3+'Speed Calc'!G$5*A76^2</f>
        <v>20</v>
      </c>
      <c r="H76" s="7">
        <f>(F76-G76)/'Speed Calc'!G$2*9.806</f>
        <v>3.1237964266893585</v>
      </c>
      <c r="I76" s="4">
        <f t="shared" si="4"/>
        <v>1.1111111111111112</v>
      </c>
    </row>
    <row r="77" spans="1:9" x14ac:dyDescent="0.2">
      <c r="A77" s="11">
        <v>4.0999999999999996</v>
      </c>
      <c r="B77" s="15">
        <v>3.133</v>
      </c>
      <c r="C77" s="11">
        <f t="shared" si="5"/>
        <v>531.31874660164056</v>
      </c>
      <c r="D77" s="11">
        <f t="shared" si="2"/>
        <v>7.6777768080463353</v>
      </c>
      <c r="E77" s="11">
        <f t="shared" si="3"/>
        <v>505.60969223719786</v>
      </c>
      <c r="F77" s="11">
        <f>'Speed Calc'!B$5*E77</f>
        <v>455.04872301347808</v>
      </c>
      <c r="G77" s="15">
        <f>'Speed Calc'!G$3+'Speed Calc'!G$5*A77^2</f>
        <v>20</v>
      </c>
      <c r="H77" s="7">
        <f>(F77-G77)/'Speed Calc'!G$2*9.806</f>
        <v>3.1600650206445673</v>
      </c>
      <c r="I77" s="4">
        <f t="shared" si="4"/>
        <v>1.1388888888888888</v>
      </c>
    </row>
    <row r="78" spans="1:9" x14ac:dyDescent="0.2">
      <c r="A78" s="11">
        <v>4.2</v>
      </c>
      <c r="B78" s="15">
        <v>3.133</v>
      </c>
      <c r="C78" s="11">
        <f t="shared" si="5"/>
        <v>544.2777404211929</v>
      </c>
      <c r="D78" s="11">
        <f t="shared" si="2"/>
        <v>7.95046327340809</v>
      </c>
      <c r="E78" s="11">
        <f t="shared" si="3"/>
        <v>511.10121043337728</v>
      </c>
      <c r="F78" s="11">
        <f>'Speed Calc'!B$5*E78</f>
        <v>459.99108939003958</v>
      </c>
      <c r="G78" s="15">
        <f>'Speed Calc'!G$3+'Speed Calc'!G$5*A78^2</f>
        <v>20</v>
      </c>
      <c r="H78" s="7">
        <f>(F78-G78)/'Speed Calc'!G$2*9.806</f>
        <v>3.1959649055990575</v>
      </c>
      <c r="I78" s="4">
        <f t="shared" si="4"/>
        <v>1.1666666666666667</v>
      </c>
    </row>
    <row r="79" spans="1:9" x14ac:dyDescent="0.2">
      <c r="A79" s="11">
        <v>4.3</v>
      </c>
      <c r="B79" s="15">
        <v>3.133</v>
      </c>
      <c r="C79" s="11">
        <f t="shared" si="5"/>
        <v>557.23673424074502</v>
      </c>
      <c r="D79" s="11">
        <f t="shared" si="2"/>
        <v>8.2263252083320459</v>
      </c>
      <c r="E79" s="11">
        <f t="shared" si="3"/>
        <v>516.53669912782618</v>
      </c>
      <c r="F79" s="11">
        <f>'Speed Calc'!B$5*E79</f>
        <v>464.88302921504356</v>
      </c>
      <c r="G79" s="15">
        <f>'Speed Calc'!G$3+'Speed Calc'!G$5*A79^2</f>
        <v>20</v>
      </c>
      <c r="H79" s="7">
        <f>(F79-G79)/'Speed Calc'!G$2*9.806</f>
        <v>3.2314985070242348</v>
      </c>
      <c r="I79" s="4">
        <f t="shared" si="4"/>
        <v>1.1944444444444444</v>
      </c>
    </row>
    <row r="80" spans="1:9" x14ac:dyDescent="0.2">
      <c r="A80" s="11">
        <v>4.4000000000000004</v>
      </c>
      <c r="B80" s="15">
        <v>3.133</v>
      </c>
      <c r="C80" s="11">
        <f t="shared" si="5"/>
        <v>570.19572806029748</v>
      </c>
      <c r="D80" s="11">
        <f t="shared" si="2"/>
        <v>8.505306385954178</v>
      </c>
      <c r="E80" s="11">
        <f t="shared" si="3"/>
        <v>521.91652822900619</v>
      </c>
      <c r="F80" s="11">
        <f>'Speed Calc'!B$5*E80</f>
        <v>469.72487540610558</v>
      </c>
      <c r="G80" s="15">
        <f>'Speed Calc'!G$3+'Speed Calc'!G$5*A80^2</f>
        <v>20</v>
      </c>
      <c r="H80" s="7">
        <f>(F80-G80)/'Speed Calc'!G$2*9.806</f>
        <v>3.2666682431350158</v>
      </c>
      <c r="I80" s="4">
        <f t="shared" si="4"/>
        <v>1.2222222222222223</v>
      </c>
    </row>
    <row r="81" spans="1:9" x14ac:dyDescent="0.2">
      <c r="A81" s="11">
        <v>4.5</v>
      </c>
      <c r="B81" s="15">
        <v>3.133</v>
      </c>
      <c r="C81" s="11">
        <f t="shared" si="5"/>
        <v>583.15472187984949</v>
      </c>
      <c r="D81" s="11">
        <f t="shared" si="2"/>
        <v>8.7873511089228202</v>
      </c>
      <c r="E81" s="11">
        <f t="shared" si="3"/>
        <v>527.24106653536933</v>
      </c>
      <c r="F81" s="11">
        <f>'Speed Calc'!B$5*E81</f>
        <v>474.51695988183241</v>
      </c>
      <c r="G81" s="15">
        <f>'Speed Calc'!G$3+'Speed Calc'!G$5*A81^2</f>
        <v>20</v>
      </c>
      <c r="H81" s="7">
        <f>(F81-G81)/'Speed Calc'!G$2*9.806</f>
        <v>3.3014765248898135</v>
      </c>
      <c r="I81" s="4">
        <f t="shared" si="4"/>
        <v>1.25</v>
      </c>
    </row>
    <row r="82" spans="1:9" x14ac:dyDescent="0.2">
      <c r="A82" s="11">
        <v>4.5999999999999996</v>
      </c>
      <c r="B82" s="15">
        <v>3.133</v>
      </c>
      <c r="C82" s="11">
        <f t="shared" si="5"/>
        <v>596.11371569940161</v>
      </c>
      <c r="D82" s="11">
        <f t="shared" si="2"/>
        <v>9.0724042073431477</v>
      </c>
      <c r="E82" s="11">
        <f t="shared" si="3"/>
        <v>532.51068173535862</v>
      </c>
      <c r="F82" s="11">
        <f>'Speed Calc'!B$5*E82</f>
        <v>479.25961356182279</v>
      </c>
      <c r="G82" s="15">
        <f>'Speed Calc'!G$3+'Speed Calc'!G$5*A82^2</f>
        <v>20</v>
      </c>
      <c r="H82" s="7">
        <f>(F82-G82)/'Speed Calc'!G$2*9.806</f>
        <v>3.3359257559905435</v>
      </c>
      <c r="I82" s="4">
        <f t="shared" si="4"/>
        <v>1.2777777777777777</v>
      </c>
    </row>
    <row r="83" spans="1:9" x14ac:dyDescent="0.2">
      <c r="A83" s="11">
        <v>4.7</v>
      </c>
      <c r="B83" s="15">
        <v>3.133</v>
      </c>
      <c r="C83" s="11">
        <f t="shared" si="5"/>
        <v>609.07270951895396</v>
      </c>
      <c r="D83" s="11">
        <f t="shared" si="2"/>
        <v>9.3604110367215814</v>
      </c>
      <c r="E83" s="11">
        <f t="shared" si="3"/>
        <v>537.72574040740994</v>
      </c>
      <c r="F83" s="11">
        <f>'Speed Calc'!B$5*E83</f>
        <v>483.95316636666894</v>
      </c>
      <c r="G83" s="15">
        <f>'Speed Calc'!G$3+'Speed Calc'!G$5*A83^2</f>
        <v>20</v>
      </c>
      <c r="H83" s="7">
        <f>(F83-G83)/'Speed Calc'!G$2*9.806</f>
        <v>3.3700183328826334</v>
      </c>
      <c r="I83" s="4">
        <f t="shared" si="4"/>
        <v>1.3055555555555556</v>
      </c>
    </row>
    <row r="84" spans="1:9" x14ac:dyDescent="0.2">
      <c r="A84" s="11">
        <v>4.8</v>
      </c>
      <c r="B84" s="15">
        <v>3.133</v>
      </c>
      <c r="C84" s="11">
        <f t="shared" si="5"/>
        <v>622.03170333850608</v>
      </c>
      <c r="D84" s="11">
        <f t="shared" si="2"/>
        <v>9.6513174759102043</v>
      </c>
      <c r="E84" s="11">
        <f t="shared" si="3"/>
        <v>542.88660801994911</v>
      </c>
      <c r="F84" s="11">
        <f>'Speed Calc'!B$5*E84</f>
        <v>488.59794721795419</v>
      </c>
      <c r="G84" s="15">
        <f>'Speed Calc'!G$3+'Speed Calc'!G$5*A84^2</f>
        <v>20</v>
      </c>
      <c r="H84" s="7">
        <f>(F84-G84)/'Speed Calc'!G$2*9.806</f>
        <v>3.4037566447550058</v>
      </c>
      <c r="I84" s="4">
        <f t="shared" si="4"/>
        <v>1.3333333333333333</v>
      </c>
    </row>
    <row r="85" spans="1:9" x14ac:dyDescent="0.2">
      <c r="A85" s="11">
        <v>4.9000000000000004</v>
      </c>
      <c r="B85" s="15">
        <v>3.133</v>
      </c>
      <c r="C85" s="11">
        <f t="shared" si="5"/>
        <v>634.99069715805831</v>
      </c>
      <c r="D85" s="11">
        <f t="shared" si="2"/>
        <v>9.9450699250512145</v>
      </c>
      <c r="E85" s="11">
        <f t="shared" si="3"/>
        <v>547.99364893139352</v>
      </c>
      <c r="F85" s="11">
        <f>'Speed Calc'!B$5*E85</f>
        <v>493.19428403825418</v>
      </c>
      <c r="G85" s="15">
        <f>'Speed Calc'!G$3+'Speed Calc'!G$5*A85^2</f>
        <v>20</v>
      </c>
      <c r="H85" s="7">
        <f>(F85-G85)/'Speed Calc'!G$2*9.806</f>
        <v>3.437143073540089</v>
      </c>
      <c r="I85" s="4">
        <f t="shared" si="4"/>
        <v>1.3611111111111112</v>
      </c>
    </row>
    <row r="86" spans="1:9" x14ac:dyDescent="0.2">
      <c r="A86" s="11">
        <v>5</v>
      </c>
      <c r="B86" s="15">
        <v>3.133</v>
      </c>
      <c r="C86" s="11">
        <f t="shared" si="5"/>
        <v>647.94969097761054</v>
      </c>
      <c r="D86" s="11">
        <f t="shared" si="2"/>
        <v>10.241615303521339</v>
      </c>
      <c r="E86" s="11">
        <f t="shared" si="3"/>
        <v>553.04722639015233</v>
      </c>
      <c r="F86" s="11">
        <f>'Speed Calc'!B$5*E86</f>
        <v>497.74250375113712</v>
      </c>
      <c r="G86" s="15">
        <f>'Speed Calc'!G$3+'Speed Calc'!G$5*A86^2</f>
        <v>20</v>
      </c>
      <c r="H86" s="7">
        <f>(F86-G86)/'Speed Calc'!G$2*9.806</f>
        <v>3.4701799939138152</v>
      </c>
      <c r="I86" s="4">
        <f t="shared" si="4"/>
        <v>1.3888888888888888</v>
      </c>
    </row>
    <row r="87" spans="1:9" x14ac:dyDescent="0.2">
      <c r="A87" s="11">
        <v>5.0999999999999996</v>
      </c>
      <c r="B87" s="15">
        <v>3.133</v>
      </c>
      <c r="C87" s="11">
        <f t="shared" si="5"/>
        <v>660.90868479716266</v>
      </c>
      <c r="D87" s="11">
        <f t="shared" si="2"/>
        <v>10.540901047876261</v>
      </c>
      <c r="E87" s="11">
        <f t="shared" si="3"/>
        <v>558.04770253462573</v>
      </c>
      <c r="F87" s="11">
        <f>'Speed Calc'!B$5*E87</f>
        <v>502.24293228116318</v>
      </c>
      <c r="G87" s="15">
        <f>'Speed Calc'!G$3+'Speed Calc'!G$5*A87^2</f>
        <v>20</v>
      </c>
      <c r="H87" s="7">
        <f>(F87-G87)/'Speed Calc'!G$2*9.806</f>
        <v>3.5028697732956191</v>
      </c>
      <c r="I87" s="4">
        <f t="shared" si="4"/>
        <v>1.4166666666666665</v>
      </c>
    </row>
    <row r="88" spans="1:9" x14ac:dyDescent="0.2">
      <c r="A88" s="11">
        <v>5.2</v>
      </c>
      <c r="B88" s="15">
        <v>3.133</v>
      </c>
      <c r="C88" s="11">
        <f t="shared" si="5"/>
        <v>673.8676786167149</v>
      </c>
      <c r="D88" s="11">
        <f t="shared" si="2"/>
        <v>10.842875109795063</v>
      </c>
      <c r="E88" s="11">
        <f t="shared" si="3"/>
        <v>562.99543839320529</v>
      </c>
      <c r="F88" s="11">
        <f>'Speed Calc'!B$5*E88</f>
        <v>506.69589455388478</v>
      </c>
      <c r="G88" s="15">
        <f>'Speed Calc'!G$3+'Speed Calc'!G$5*A88^2</f>
        <v>20</v>
      </c>
      <c r="H88" s="7">
        <f>(F88-G88)/'Speed Calc'!G$2*9.806</f>
        <v>3.5352147718484397</v>
      </c>
      <c r="I88" s="4">
        <f t="shared" si="4"/>
        <v>1.4444444444444444</v>
      </c>
    </row>
    <row r="89" spans="1:9" x14ac:dyDescent="0.2">
      <c r="A89" s="11">
        <v>5.3</v>
      </c>
      <c r="B89" s="15">
        <v>3.133</v>
      </c>
      <c r="C89" s="11">
        <f t="shared" si="5"/>
        <v>686.82667243626702</v>
      </c>
      <c r="D89" s="11">
        <f t="shared" si="2"/>
        <v>11.147485954024631</v>
      </c>
      <c r="E89" s="11">
        <f t="shared" si="3"/>
        <v>567.89079388427376</v>
      </c>
      <c r="F89" s="11">
        <f>'Speed Calc'!B$5*E89</f>
        <v>511.10171449584641</v>
      </c>
      <c r="G89" s="15">
        <f>'Speed Calc'!G$3+'Speed Calc'!G$5*A89^2</f>
        <v>20</v>
      </c>
      <c r="H89" s="7">
        <f>(F89-G89)/'Speed Calc'!G$2*9.806</f>
        <v>3.5672173424787181</v>
      </c>
      <c r="I89" s="4">
        <f t="shared" si="4"/>
        <v>1.4722222222222221</v>
      </c>
    </row>
    <row r="90" spans="1:9" x14ac:dyDescent="0.2">
      <c r="A90" s="11">
        <v>5.4</v>
      </c>
      <c r="B90" s="15">
        <v>3.133</v>
      </c>
      <c r="C90" s="11">
        <f t="shared" si="5"/>
        <v>699.78566625581948</v>
      </c>
      <c r="D90" s="11">
        <f t="shared" si="2"/>
        <v>11.454682556324116</v>
      </c>
      <c r="E90" s="11">
        <f t="shared" si="3"/>
        <v>572.73412781620573</v>
      </c>
      <c r="F90" s="11">
        <f>'Speed Calc'!B$5*E90</f>
        <v>515.46071503458518</v>
      </c>
      <c r="G90" s="15">
        <f>'Speed Calc'!G$3+'Speed Calc'!G$5*A90^2</f>
        <v>20</v>
      </c>
      <c r="H90" s="7">
        <f>(F90-G90)/'Speed Calc'!G$2*9.806</f>
        <v>3.5988798308364012</v>
      </c>
      <c r="I90" s="4">
        <f t="shared" si="4"/>
        <v>1.5</v>
      </c>
    </row>
    <row r="91" spans="1:9" x14ac:dyDescent="0.2">
      <c r="A91" s="11">
        <v>5.5</v>
      </c>
      <c r="B91" s="15">
        <v>3.133</v>
      </c>
      <c r="C91" s="11">
        <f t="shared" si="5"/>
        <v>712.7446600753716</v>
      </c>
      <c r="D91" s="11">
        <f t="shared" si="2"/>
        <v>11.76441440140931</v>
      </c>
      <c r="E91" s="11">
        <f t="shared" si="3"/>
        <v>577.52579788736602</v>
      </c>
      <c r="F91" s="11">
        <f>'Speed Calc'!B$5*E91</f>
        <v>519.7732180986294</v>
      </c>
      <c r="G91" s="15">
        <f>'Speed Calc'!G$3+'Speed Calc'!G$5*A91^2</f>
        <v>20</v>
      </c>
      <c r="H91" s="7">
        <f>(F91-G91)/'Speed Calc'!G$2*9.806</f>
        <v>3.630204575314933</v>
      </c>
      <c r="I91" s="4">
        <f t="shared" si="4"/>
        <v>1.5277777777777777</v>
      </c>
    </row>
    <row r="92" spans="1:9" x14ac:dyDescent="0.2">
      <c r="A92" s="11">
        <v>5.6</v>
      </c>
      <c r="B92" s="15">
        <v>3.133</v>
      </c>
      <c r="C92" s="11">
        <f t="shared" si="5"/>
        <v>725.70365389492372</v>
      </c>
      <c r="D92" s="11">
        <f t="shared" si="2"/>
        <v>12.076631480897138</v>
      </c>
      <c r="E92" s="11">
        <f t="shared" si="3"/>
        <v>582.26616068611224</v>
      </c>
      <c r="F92" s="11">
        <f>'Speed Calc'!B$5*E92</f>
        <v>524.03954461750106</v>
      </c>
      <c r="G92" s="15">
        <f>'Speed Calc'!G$3+'Speed Calc'!G$5*A92^2</f>
        <v>20</v>
      </c>
      <c r="H92" s="7">
        <f>(F92-G92)/'Speed Calc'!G$2*9.806</f>
        <v>3.6611939070512705</v>
      </c>
      <c r="I92" s="4">
        <f t="shared" si="4"/>
        <v>1.5555555555555554</v>
      </c>
    </row>
    <row r="93" spans="1:9" x14ac:dyDescent="0.2">
      <c r="A93" s="11">
        <v>5.7</v>
      </c>
      <c r="B93" s="15">
        <v>3.133</v>
      </c>
      <c r="C93" s="11">
        <f t="shared" si="5"/>
        <v>738.66264771447595</v>
      </c>
      <c r="D93" s="11">
        <f t="shared" si="2"/>
        <v>12.391284291250052</v>
      </c>
      <c r="E93" s="11">
        <f t="shared" si="3"/>
        <v>586.95557169079211</v>
      </c>
      <c r="F93" s="11">
        <f>'Speed Calc'!B$5*E93</f>
        <v>528.26001452171295</v>
      </c>
      <c r="G93" s="15">
        <f>'Speed Calc'!G$3+'Speed Calc'!G$5*A93^2</f>
        <v>20</v>
      </c>
      <c r="H93" s="7">
        <f>(F93-G93)/'Speed Calc'!G$2*9.806</f>
        <v>3.6918501499258642</v>
      </c>
      <c r="I93" s="4">
        <f t="shared" si="4"/>
        <v>1.5833333333333333</v>
      </c>
    </row>
    <row r="94" spans="1:9" x14ac:dyDescent="0.2">
      <c r="A94" s="11">
        <v>5.8</v>
      </c>
      <c r="B94" s="15">
        <v>3.133</v>
      </c>
      <c r="C94" s="11">
        <f t="shared" si="5"/>
        <v>751.62164153402819</v>
      </c>
      <c r="D94" s="11">
        <f t="shared" si="2"/>
        <v>12.708323831720451</v>
      </c>
      <c r="E94" s="11">
        <f t="shared" si="3"/>
        <v>591.5943852697452</v>
      </c>
      <c r="F94" s="11">
        <f>'Speed Calc'!B$5*E94</f>
        <v>532.43494674277065</v>
      </c>
      <c r="G94" s="15">
        <f>'Speed Calc'!G$3+'Speed Calc'!G$5*A94^2</f>
        <v>20</v>
      </c>
      <c r="H94" s="7">
        <f>(F94-G94)/'Speed Calc'!G$2*9.806</f>
        <v>3.7221756205626733</v>
      </c>
      <c r="I94" s="4">
        <f t="shared" si="4"/>
        <v>1.6111111111111109</v>
      </c>
    </row>
    <row r="95" spans="1:9" x14ac:dyDescent="0.2">
      <c r="A95" s="11">
        <v>5.9</v>
      </c>
      <c r="B95" s="15">
        <v>3.133</v>
      </c>
      <c r="C95" s="11">
        <f t="shared" si="5"/>
        <v>764.58063535358042</v>
      </c>
      <c r="D95" s="11">
        <f t="shared" si="2"/>
        <v>13.027701602295124</v>
      </c>
      <c r="E95" s="11">
        <f t="shared" si="3"/>
        <v>596.18295468130236</v>
      </c>
      <c r="F95" s="11">
        <f>'Speed Calc'!B$5*E95</f>
        <v>536.56465921317215</v>
      </c>
      <c r="G95" s="15">
        <f>'Speed Calc'!G$3+'Speed Calc'!G$5*A95^2</f>
        <v>20</v>
      </c>
      <c r="H95" s="7">
        <f>(F95-G95)/'Speed Calc'!G$2*9.806</f>
        <v>3.7521726283291601</v>
      </c>
      <c r="I95" s="4">
        <f t="shared" si="4"/>
        <v>1.6388888888888888</v>
      </c>
    </row>
    <row r="96" spans="1:9" x14ac:dyDescent="0.2">
      <c r="A96" s="11">
        <v>6</v>
      </c>
      <c r="B96" s="15">
        <v>3.133</v>
      </c>
      <c r="C96" s="11">
        <f t="shared" si="5"/>
        <v>777.53962917313277</v>
      </c>
      <c r="D96" s="11">
        <f t="shared" si="2"/>
        <v>13.349369601639687</v>
      </c>
      <c r="E96" s="11">
        <f t="shared" si="3"/>
        <v>600.72163207378583</v>
      </c>
      <c r="F96" s="11">
        <f>'Speed Calc'!B$5*E96</f>
        <v>540.64946886640723</v>
      </c>
      <c r="G96" s="15">
        <f>'Speed Calc'!G$3+'Speed Calc'!G$5*A96^2</f>
        <v>20</v>
      </c>
      <c r="H96" s="7">
        <f>(F96-G96)/'Speed Calc'!G$2*9.806</f>
        <v>3.7818434753362884</v>
      </c>
      <c r="I96" s="4">
        <f t="shared" si="4"/>
        <v>1.6666666666666665</v>
      </c>
    </row>
    <row r="97" spans="1:9" x14ac:dyDescent="0.2">
      <c r="A97" s="11">
        <v>6.1</v>
      </c>
      <c r="B97" s="15">
        <v>3.133</v>
      </c>
      <c r="C97" s="11">
        <f t="shared" si="5"/>
        <v>790.49862299268466</v>
      </c>
      <c r="D97" s="11">
        <f t="shared" si="2"/>
        <v>13.673280325042976</v>
      </c>
      <c r="E97" s="11">
        <f t="shared" si="3"/>
        <v>605.21076848550888</v>
      </c>
      <c r="F97" s="11">
        <f>'Speed Calc'!B$5*E97</f>
        <v>544.68969163695806</v>
      </c>
      <c r="G97" s="15">
        <f>'Speed Calc'!G$3+'Speed Calc'!G$5*A97^2</f>
        <v>20</v>
      </c>
      <c r="H97" s="7">
        <f>(F97-G97)/'Speed Calc'!G$2*9.806</f>
        <v>3.8111904564385264</v>
      </c>
      <c r="I97" s="4">
        <f t="shared" si="4"/>
        <v>1.6944444444444442</v>
      </c>
    </row>
    <row r="98" spans="1:9" x14ac:dyDescent="0.2">
      <c r="A98" s="11">
        <v>6.2</v>
      </c>
      <c r="B98" s="15">
        <v>3.133</v>
      </c>
      <c r="C98" s="11">
        <f t="shared" si="5"/>
        <v>803.45761681223712</v>
      </c>
      <c r="D98" s="11">
        <f t="shared" si="2"/>
        <v>13.999386762361539</v>
      </c>
      <c r="E98" s="11">
        <f t="shared" si="3"/>
        <v>609.65071384477676</v>
      </c>
      <c r="F98" s="11">
        <f>'Speed Calc'!B$5*E98</f>
        <v>548.68564246029905</v>
      </c>
      <c r="G98" s="15">
        <f>'Speed Calc'!G$3+'Speed Calc'!G$5*A98^2</f>
        <v>20</v>
      </c>
      <c r="H98" s="7">
        <f>(F98-G98)/'Speed Calc'!G$2*9.806</f>
        <v>3.840215859233846</v>
      </c>
      <c r="I98" s="4">
        <f t="shared" si="4"/>
        <v>1.7222222222222223</v>
      </c>
    </row>
    <row r="99" spans="1:9" x14ac:dyDescent="0.2">
      <c r="A99" s="11">
        <v>6.3</v>
      </c>
      <c r="B99" s="15">
        <v>3.133</v>
      </c>
      <c r="C99" s="11">
        <f t="shared" si="5"/>
        <v>816.41661063178924</v>
      </c>
      <c r="D99" s="11">
        <f t="shared" si="2"/>
        <v>14.327642395963984</v>
      </c>
      <c r="E99" s="11">
        <f t="shared" si="3"/>
        <v>614.04181696988519</v>
      </c>
      <c r="F99" s="11">
        <f>'Speed Calc'!B$5*E99</f>
        <v>552.63763527289666</v>
      </c>
      <c r="G99" s="15">
        <f>'Speed Calc'!G$3+'Speed Calc'!G$5*A99^2</f>
        <v>20</v>
      </c>
      <c r="H99" s="7">
        <f>(F99-G99)/'Speed Calc'!G$2*9.806</f>
        <v>3.8689219640637216</v>
      </c>
      <c r="I99" s="4">
        <f t="shared" si="4"/>
        <v>1.75</v>
      </c>
    </row>
    <row r="100" spans="1:9" x14ac:dyDescent="0.2">
      <c r="A100" s="11">
        <v>6.4</v>
      </c>
      <c r="B100" s="15">
        <v>3.133</v>
      </c>
      <c r="C100" s="11">
        <f t="shared" si="5"/>
        <v>829.37560445134159</v>
      </c>
      <c r="D100" s="11">
        <f t="shared" si="2"/>
        <v>14.658001198675475</v>
      </c>
      <c r="E100" s="11">
        <f t="shared" si="3"/>
        <v>618.3844255691215</v>
      </c>
      <c r="F100" s="11">
        <f>'Speed Calc'!B$5*E100</f>
        <v>556.54598301220938</v>
      </c>
      <c r="G100" s="15">
        <f>'Speed Calc'!G$3+'Speed Calc'!G$5*A100^2</f>
        <v>20</v>
      </c>
      <c r="H100" s="7">
        <f>(F100-G100)/'Speed Calc'!G$2*9.806</f>
        <v>3.8973110440131293</v>
      </c>
      <c r="I100" s="4">
        <f t="shared" si="4"/>
        <v>1.7777777777777779</v>
      </c>
    </row>
    <row r="101" spans="1:9" x14ac:dyDescent="0.2">
      <c r="A101" s="11">
        <v>6.5</v>
      </c>
      <c r="B101" s="15">
        <v>3.133</v>
      </c>
      <c r="C101" s="11">
        <f t="shared" si="5"/>
        <v>842.33459827089382</v>
      </c>
      <c r="D101" s="11">
        <f t="shared" ref="D101:D164" si="6">-4.687*10^(-17)*C101^5+9.129*10^(-13)*C101^4-6.175*10^(-9)*C101^3+1.799*10^(-5)*C101^2+6.502*10^(-3)*C101</f>
        <v>14.990417631722121</v>
      </c>
      <c r="E101" s="11">
        <f t="shared" si="3"/>
        <v>622.678886240765</v>
      </c>
      <c r="F101" s="11">
        <f>'Speed Calc'!B$5*E101</f>
        <v>560.41099761668852</v>
      </c>
      <c r="G101" s="15">
        <f>'Speed Calc'!G$3+'Speed Calc'!G$5*A101^2</f>
        <v>20</v>
      </c>
      <c r="H101" s="7">
        <f>(F101-G101)/'Speed Calc'!G$2*9.806</f>
        <v>3.9253853649105537</v>
      </c>
      <c r="I101" s="4">
        <f t="shared" si="4"/>
        <v>1.8055555555555556</v>
      </c>
    </row>
    <row r="102" spans="1:9" x14ac:dyDescent="0.2">
      <c r="A102" s="11">
        <v>6.6</v>
      </c>
      <c r="B102" s="15">
        <v>3.133</v>
      </c>
      <c r="C102" s="11">
        <f t="shared" si="5"/>
        <v>855.29359209044583</v>
      </c>
      <c r="D102" s="11">
        <f t="shared" si="6"/>
        <v>15.324846642675412</v>
      </c>
      <c r="E102" s="11">
        <f t="shared" ref="E102:E165" si="7">D102*75*B102*B$31*B$32/B$23/C102/2/PI()*60</f>
        <v>626.92554447308498</v>
      </c>
      <c r="F102" s="11">
        <f>'Speed Calc'!B$5*E102</f>
        <v>564.23299002577653</v>
      </c>
      <c r="G102" s="15">
        <f>'Speed Calc'!G$3+'Speed Calc'!G$5*A102^2</f>
        <v>20</v>
      </c>
      <c r="H102" s="7">
        <f>(F102-G102)/'Speed Calc'!G$2*9.806</f>
        <v>3.9531471853279738</v>
      </c>
      <c r="I102" s="4">
        <f t="shared" ref="I102:I165" si="8">A102/3.6</f>
        <v>1.8333333333333333</v>
      </c>
    </row>
    <row r="103" spans="1:9" x14ac:dyDescent="0.2">
      <c r="A103" s="11">
        <v>6.7</v>
      </c>
      <c r="B103" s="15">
        <v>3.133</v>
      </c>
      <c r="C103" s="11">
        <f t="shared" si="5"/>
        <v>868.25258590999829</v>
      </c>
      <c r="D103" s="11">
        <f t="shared" si="6"/>
        <v>15.661243663396686</v>
      </c>
      <c r="E103" s="11">
        <f t="shared" si="7"/>
        <v>631.12474464434399</v>
      </c>
      <c r="F103" s="11">
        <f>'Speed Calc'!B$5*E103</f>
        <v>568.01227017990959</v>
      </c>
      <c r="G103" s="15">
        <f>'Speed Calc'!G$3+'Speed Calc'!G$5*A103^2</f>
        <v>20</v>
      </c>
      <c r="H103" s="7">
        <f>(F103-G103)/'Speed Calc'!G$2*9.806</f>
        <v>3.9805987565808834</v>
      </c>
      <c r="I103" s="4">
        <f t="shared" si="8"/>
        <v>1.8611111111111112</v>
      </c>
    </row>
    <row r="104" spans="1:9" x14ac:dyDescent="0.2">
      <c r="A104" s="11">
        <v>6.8</v>
      </c>
      <c r="B104" s="15">
        <v>3.133</v>
      </c>
      <c r="C104" s="11">
        <f t="shared" si="5"/>
        <v>881.21157972955018</v>
      </c>
      <c r="D104" s="11">
        <f t="shared" si="6"/>
        <v>15.999564607981471</v>
      </c>
      <c r="E104" s="11">
        <f t="shared" si="7"/>
        <v>635.27683002279389</v>
      </c>
      <c r="F104" s="11">
        <f>'Speed Calc'!B$5*E104</f>
        <v>571.74914702051456</v>
      </c>
      <c r="G104" s="15">
        <f>'Speed Calc'!G$3+'Speed Calc'!G$5*A104^2</f>
        <v>20</v>
      </c>
      <c r="H104" s="7">
        <f>(F104-G104)/'Speed Calc'!G$2*9.806</f>
        <v>4.0077423227282702</v>
      </c>
      <c r="I104" s="4">
        <f t="shared" si="8"/>
        <v>1.8888888888888888</v>
      </c>
    </row>
    <row r="105" spans="1:9" x14ac:dyDescent="0.2">
      <c r="A105" s="11">
        <v>6.9</v>
      </c>
      <c r="B105" s="15">
        <v>3.133</v>
      </c>
      <c r="C105" s="11">
        <f t="shared" si="5"/>
        <v>894.17057354910276</v>
      </c>
      <c r="D105" s="11">
        <f t="shared" si="6"/>
        <v>16.339765870704021</v>
      </c>
      <c r="E105" s="11">
        <f t="shared" si="7"/>
        <v>639.38214276667884</v>
      </c>
      <c r="F105" s="11">
        <f>'Speed Calc'!B$5*E105</f>
        <v>575.44392849001099</v>
      </c>
      <c r="G105" s="15">
        <f>'Speed Calc'!G$3+'Speed Calc'!G$5*A105^2</f>
        <v>20</v>
      </c>
      <c r="H105" s="7">
        <f>(F105-G105)/'Speed Calc'!G$2*9.806</f>
        <v>4.0345801205726275</v>
      </c>
      <c r="I105" s="4">
        <f t="shared" si="8"/>
        <v>1.9166666666666667</v>
      </c>
    </row>
    <row r="106" spans="1:9" x14ac:dyDescent="0.2">
      <c r="A106" s="11">
        <v>7</v>
      </c>
      <c r="B106" s="15">
        <v>3.133</v>
      </c>
      <c r="C106" s="11">
        <f t="shared" si="5"/>
        <v>907.12956736865476</v>
      </c>
      <c r="D106" s="11">
        <f t="shared" si="6"/>
        <v>16.681804323961636</v>
      </c>
      <c r="E106" s="11">
        <f t="shared" si="7"/>
        <v>643.44102392423451</v>
      </c>
      <c r="F106" s="11">
        <f>'Speed Calc'!B$5*E106</f>
        <v>579.09692153181106</v>
      </c>
      <c r="G106" s="15">
        <f>'Speed Calc'!G$3+'Speed Calc'!G$5*A106^2</f>
        <v>20</v>
      </c>
      <c r="H106" s="7">
        <f>(F106-G106)/'Speed Calc'!G$2*9.806</f>
        <v>4.0611143796599549</v>
      </c>
      <c r="I106" s="4">
        <f t="shared" si="8"/>
        <v>1.9444444444444444</v>
      </c>
    </row>
    <row r="107" spans="1:9" x14ac:dyDescent="0.2">
      <c r="A107" s="11">
        <v>7.1</v>
      </c>
      <c r="B107" s="15">
        <v>3.133</v>
      </c>
      <c r="C107" s="11">
        <f t="shared" ref="C107:C170" si="9">A107/3.6/B$23/2/PI()*B$32*B$31*B107*60</f>
        <v>920.08856118820677</v>
      </c>
      <c r="D107" s="11">
        <f t="shared" si="6"/>
        <v>17.025637316219189</v>
      </c>
      <c r="E107" s="11">
        <f t="shared" si="7"/>
        <v>647.45381343368763</v>
      </c>
      <c r="F107" s="11">
        <f>'Speed Calc'!B$5*E107</f>
        <v>582.70843209031887</v>
      </c>
      <c r="G107" s="15">
        <f>'Speed Calc'!G$3+'Speed Calc'!G$5*A107^2</f>
        <v>20</v>
      </c>
      <c r="H107" s="7">
        <f>(F107-G107)/'Speed Calc'!G$2*9.806</f>
        <v>4.0873473222797525</v>
      </c>
      <c r="I107" s="4">
        <f t="shared" si="8"/>
        <v>1.9722222222222221</v>
      </c>
    </row>
    <row r="108" spans="1:9" x14ac:dyDescent="0.2">
      <c r="A108" s="11">
        <v>7.2</v>
      </c>
      <c r="B108" s="15">
        <v>3.133</v>
      </c>
      <c r="C108" s="11">
        <f t="shared" si="9"/>
        <v>933.04755500775912</v>
      </c>
      <c r="D108" s="11">
        <f t="shared" si="6"/>
        <v>17.371222669953493</v>
      </c>
      <c r="E108" s="11">
        <f t="shared" si="7"/>
        <v>651.42085012325617</v>
      </c>
      <c r="F108" s="11">
        <f>'Speed Calc'!B$5*E108</f>
        <v>586.27876511093052</v>
      </c>
      <c r="G108" s="15">
        <f>'Speed Calc'!G$3+'Speed Calc'!G$5*A108^2</f>
        <v>20</v>
      </c>
      <c r="H108" s="7">
        <f>(F108-G108)/'Speed Calc'!G$2*9.806</f>
        <v>4.1132811634650253</v>
      </c>
      <c r="I108" s="4">
        <f t="shared" si="8"/>
        <v>2</v>
      </c>
    </row>
    <row r="109" spans="1:9" x14ac:dyDescent="0.2">
      <c r="A109" s="11">
        <v>7.3</v>
      </c>
      <c r="B109" s="15">
        <v>3.133</v>
      </c>
      <c r="C109" s="11">
        <f t="shared" si="9"/>
        <v>946.00654882731124</v>
      </c>
      <c r="D109" s="11">
        <f t="shared" si="6"/>
        <v>17.718518679597736</v>
      </c>
      <c r="E109" s="11">
        <f t="shared" si="7"/>
        <v>655.34247171114919</v>
      </c>
      <c r="F109" s="11">
        <f>'Speed Calc'!B$5*E109</f>
        <v>589.8082245400343</v>
      </c>
      <c r="G109" s="15">
        <f>'Speed Calc'!G$3+'Speed Calc'!G$5*A109^2</f>
        <v>20</v>
      </c>
      <c r="H109" s="7">
        <f>(F109-G109)/'Speed Calc'!G$2*9.806</f>
        <v>4.1389181109922788</v>
      </c>
      <c r="I109" s="4">
        <f t="shared" si="8"/>
        <v>2.0277777777777777</v>
      </c>
    </row>
    <row r="110" spans="1:9" x14ac:dyDescent="0.2">
      <c r="A110" s="11">
        <v>7.4</v>
      </c>
      <c r="B110" s="15">
        <v>3.133</v>
      </c>
      <c r="C110" s="11">
        <f t="shared" si="9"/>
        <v>958.96554264686381</v>
      </c>
      <c r="D110" s="11">
        <f t="shared" si="6"/>
        <v>18.067484109485939</v>
      </c>
      <c r="E110" s="11">
        <f t="shared" si="7"/>
        <v>659.21901480556812</v>
      </c>
      <c r="F110" s="11">
        <f>'Speed Calc'!B$5*E110</f>
        <v>593.29711332501131</v>
      </c>
      <c r="G110" s="15">
        <f>'Speed Calc'!G$3+'Speed Calc'!G$5*A110^2</f>
        <v>20</v>
      </c>
      <c r="H110" s="7">
        <f>(F110-G110)/'Speed Calc'!G$2*9.806</f>
        <v>4.1642603653815264</v>
      </c>
      <c r="I110" s="4">
        <f t="shared" si="8"/>
        <v>2.0555555555555558</v>
      </c>
    </row>
    <row r="111" spans="1:9" x14ac:dyDescent="0.2">
      <c r="A111" s="11">
        <v>7.5</v>
      </c>
      <c r="B111" s="15">
        <v>3.133</v>
      </c>
      <c r="C111" s="11">
        <f t="shared" si="9"/>
        <v>971.92453646641604</v>
      </c>
      <c r="D111" s="11">
        <f t="shared" si="6"/>
        <v>18.418078191797338</v>
      </c>
      <c r="E111" s="11">
        <f t="shared" si="7"/>
        <v>663.050814904704</v>
      </c>
      <c r="F111" s="11">
        <f>'Speed Calc'!B$5*E111</f>
        <v>596.74573341423365</v>
      </c>
      <c r="G111" s="15">
        <f>'Speed Calc'!G$3+'Speed Calc'!G$5*A111^2</f>
        <v>20</v>
      </c>
      <c r="H111" s="7">
        <f>(F111-G111)/'Speed Calc'!G$2*9.806</f>
        <v>4.1893101198962777</v>
      </c>
      <c r="I111" s="4">
        <f t="shared" si="8"/>
        <v>2.0833333333333335</v>
      </c>
    </row>
    <row r="112" spans="1:9" x14ac:dyDescent="0.2">
      <c r="A112" s="11">
        <v>7.6</v>
      </c>
      <c r="B112" s="15">
        <v>3.133</v>
      </c>
      <c r="C112" s="11">
        <f t="shared" si="9"/>
        <v>984.88353028596794</v>
      </c>
      <c r="D112" s="11">
        <f t="shared" si="6"/>
        <v>18.770260624500853</v>
      </c>
      <c r="E112" s="11">
        <f t="shared" si="7"/>
        <v>666.8382063967407</v>
      </c>
      <c r="F112" s="11">
        <f>'Speed Calc'!B$5*E112</f>
        <v>600.15438575706662</v>
      </c>
      <c r="G112" s="15">
        <f>'Speed Calc'!G$3+'Speed Calc'!G$5*A112^2</f>
        <v>20</v>
      </c>
      <c r="H112" s="7">
        <f>(F112-G112)/'Speed Calc'!G$2*9.806</f>
        <v>4.2140695605435514</v>
      </c>
      <c r="I112" s="4">
        <f t="shared" si="8"/>
        <v>2.1111111111111112</v>
      </c>
    </row>
    <row r="113" spans="1:9" x14ac:dyDescent="0.2">
      <c r="A113" s="11">
        <v>7.7</v>
      </c>
      <c r="B113" s="15">
        <v>3.133</v>
      </c>
      <c r="C113" s="11">
        <f t="shared" si="9"/>
        <v>997.8425241055204</v>
      </c>
      <c r="D113" s="11">
        <f t="shared" si="6"/>
        <v>19.123991569299527</v>
      </c>
      <c r="E113" s="11">
        <f t="shared" si="7"/>
        <v>670.5815225598534</v>
      </c>
      <c r="F113" s="11">
        <f>'Speed Calc'!B$5*E113</f>
        <v>603.52337030386809</v>
      </c>
      <c r="G113" s="15">
        <f>'Speed Calc'!G$3+'Speed Calc'!G$5*A113^2</f>
        <v>20</v>
      </c>
      <c r="H113" s="7">
        <f>(F113-G113)/'Speed Calc'!G$2*9.806</f>
        <v>4.2385408660738744</v>
      </c>
      <c r="I113" s="4">
        <f t="shared" si="8"/>
        <v>2.1388888888888888</v>
      </c>
    </row>
    <row r="114" spans="1:9" x14ac:dyDescent="0.2">
      <c r="A114" s="11">
        <v>7.8</v>
      </c>
      <c r="B114" s="15">
        <v>3.133</v>
      </c>
      <c r="C114" s="11">
        <f t="shared" si="9"/>
        <v>1010.8015179250723</v>
      </c>
      <c r="D114" s="11">
        <f t="shared" si="6"/>
        <v>19.479231649574871</v>
      </c>
      <c r="E114" s="11">
        <f t="shared" si="7"/>
        <v>674.28109556220716</v>
      </c>
      <c r="F114" s="11">
        <f>'Speed Calc'!B$5*E114</f>
        <v>606.85298600598651</v>
      </c>
      <c r="G114" s="15">
        <f>'Speed Calc'!G$3+'Speed Calc'!G$5*A114^2</f>
        <v>20</v>
      </c>
      <c r="H114" s="7">
        <f>(F114-G114)/'Speed Calc'!G$2*9.806</f>
        <v>4.2627262079812613</v>
      </c>
      <c r="I114" s="4">
        <f t="shared" si="8"/>
        <v>2.1666666666666665</v>
      </c>
    </row>
    <row r="115" spans="1:9" x14ac:dyDescent="0.2">
      <c r="A115" s="11">
        <v>7.9</v>
      </c>
      <c r="B115" s="15">
        <v>3.133</v>
      </c>
      <c r="C115" s="11">
        <f t="shared" si="9"/>
        <v>1023.7605117446246</v>
      </c>
      <c r="D115" s="11">
        <f t="shared" si="6"/>
        <v>19.835941948331424</v>
      </c>
      <c r="E115" s="11">
        <f t="shared" si="7"/>
        <v>677.93725646196003</v>
      </c>
      <c r="F115" s="11">
        <f>'Speed Calc'!B$5*E115</f>
        <v>610.14353081576405</v>
      </c>
      <c r="G115" s="15">
        <f>'Speed Calc'!G$3+'Speed Calc'!G$5*A115^2</f>
        <v>20</v>
      </c>
      <c r="H115" s="7">
        <f>(F115-G115)/'Speed Calc'!G$2*9.806</f>
        <v>4.2866277505032464</v>
      </c>
      <c r="I115" s="4">
        <f t="shared" si="8"/>
        <v>2.1944444444444446</v>
      </c>
    </row>
    <row r="116" spans="1:9" x14ac:dyDescent="0.2">
      <c r="A116" s="11">
        <v>8</v>
      </c>
      <c r="B116" s="15">
        <v>3.133</v>
      </c>
      <c r="C116" s="11">
        <f t="shared" si="9"/>
        <v>1036.7195055641771</v>
      </c>
      <c r="D116" s="11">
        <f t="shared" si="6"/>
        <v>20.194084006141047</v>
      </c>
      <c r="E116" s="11">
        <f t="shared" si="7"/>
        <v>681.55033520726022</v>
      </c>
      <c r="F116" s="11">
        <f>'Speed Calc'!B$5*E116</f>
        <v>613.39530168653425</v>
      </c>
      <c r="G116" s="15">
        <f>'Speed Calc'!G$3+'Speed Calc'!G$5*A116^2</f>
        <v>20</v>
      </c>
      <c r="H116" s="7">
        <f>(F116-G116)/'Speed Calc'!G$2*9.806</f>
        <v>4.3102476506208554</v>
      </c>
      <c r="I116" s="4">
        <f t="shared" si="8"/>
        <v>2.2222222222222223</v>
      </c>
    </row>
    <row r="117" spans="1:9" x14ac:dyDescent="0.2">
      <c r="A117" s="11">
        <v>8.1</v>
      </c>
      <c r="B117" s="15">
        <v>3.133</v>
      </c>
      <c r="C117" s="11">
        <f t="shared" si="9"/>
        <v>1049.6784993837291</v>
      </c>
      <c r="D117" s="11">
        <f t="shared" si="6"/>
        <v>20.55361981908743</v>
      </c>
      <c r="E117" s="11">
        <f t="shared" si="7"/>
        <v>685.12066063624764</v>
      </c>
      <c r="F117" s="11">
        <f>'Speed Calc'!B$5*E117</f>
        <v>616.60859457262291</v>
      </c>
      <c r="G117" s="15">
        <f>'Speed Calc'!G$3+'Speed Calc'!G$5*A117^2</f>
        <v>20</v>
      </c>
      <c r="H117" s="7">
        <f>(F117-G117)/'Speed Calc'!G$2*9.806</f>
        <v>4.3335880580586226</v>
      </c>
      <c r="I117" s="4">
        <f t="shared" si="8"/>
        <v>2.25</v>
      </c>
    </row>
    <row r="118" spans="1:9" x14ac:dyDescent="0.2">
      <c r="A118" s="11">
        <v>8.1999999999999993</v>
      </c>
      <c r="B118" s="15">
        <v>3.133</v>
      </c>
      <c r="C118" s="11">
        <f t="shared" si="9"/>
        <v>1062.6374932032811</v>
      </c>
      <c r="D118" s="11">
        <f t="shared" si="6"/>
        <v>20.914511836710524</v>
      </c>
      <c r="E118" s="11">
        <f t="shared" si="7"/>
        <v>688.64856047705393</v>
      </c>
      <c r="F118" s="11">
        <f>'Speed Calc'!B$5*E118</f>
        <v>619.78370442934852</v>
      </c>
      <c r="G118" s="15">
        <f>'Speed Calc'!G$3+'Speed Calc'!G$5*A118^2</f>
        <v>20</v>
      </c>
      <c r="H118" s="7">
        <f>(F118-G118)/'Speed Calc'!G$2*9.806</f>
        <v>4.3566511152845857</v>
      </c>
      <c r="I118" s="4">
        <f t="shared" si="8"/>
        <v>2.2777777777777777</v>
      </c>
    </row>
    <row r="119" spans="1:9" x14ac:dyDescent="0.2">
      <c r="A119" s="11">
        <v>8.3000000000000007</v>
      </c>
      <c r="B119" s="15">
        <v>3.133</v>
      </c>
      <c r="C119" s="11">
        <f t="shared" si="9"/>
        <v>1075.5964870228336</v>
      </c>
      <c r="D119" s="11">
        <f t="shared" si="6"/>
        <v>21.276722959950938</v>
      </c>
      <c r="E119" s="11">
        <f t="shared" si="7"/>
        <v>692.1343613478017</v>
      </c>
      <c r="F119" s="11">
        <f>'Speed Calc'!B$5*E119</f>
        <v>622.92092521302152</v>
      </c>
      <c r="G119" s="15">
        <f>'Speed Calc'!G$3+'Speed Calc'!G$5*A119^2</f>
        <v>20</v>
      </c>
      <c r="H119" s="7">
        <f>(F119-G119)/'Speed Calc'!G$2*9.806</f>
        <v>4.3794389575102874</v>
      </c>
      <c r="I119" s="4">
        <f t="shared" si="8"/>
        <v>2.3055555555555558</v>
      </c>
    </row>
    <row r="120" spans="1:9" x14ac:dyDescent="0.2">
      <c r="A120" s="11">
        <v>8.4</v>
      </c>
      <c r="B120" s="15">
        <v>3.133</v>
      </c>
      <c r="C120" s="11">
        <f t="shared" si="9"/>
        <v>1088.5554808423858</v>
      </c>
      <c r="D120" s="11">
        <f t="shared" si="6"/>
        <v>21.640216539094361</v>
      </c>
      <c r="E120" s="11">
        <f t="shared" si="7"/>
        <v>695.57838875660434</v>
      </c>
      <c r="F120" s="11">
        <f>'Speed Calc'!B$5*E120</f>
        <v>626.02054988094392</v>
      </c>
      <c r="G120" s="15">
        <f>'Speed Calc'!G$3+'Speed Calc'!G$5*A120^2</f>
        <v>20</v>
      </c>
      <c r="H120" s="7">
        <f>(F120-G120)/'Speed Calc'!G$2*9.806</f>
        <v>4.4019537126907675</v>
      </c>
      <c r="I120" s="4">
        <f t="shared" si="8"/>
        <v>2.3333333333333335</v>
      </c>
    </row>
    <row r="121" spans="1:9" x14ac:dyDescent="0.2">
      <c r="A121" s="11">
        <v>8.5</v>
      </c>
      <c r="B121" s="15">
        <v>3.133</v>
      </c>
      <c r="C121" s="11">
        <f t="shared" si="9"/>
        <v>1101.514474661938</v>
      </c>
      <c r="D121" s="11">
        <f t="shared" si="6"/>
        <v>22.004956371716027</v>
      </c>
      <c r="E121" s="11">
        <f t="shared" si="7"/>
        <v>698.98096710156778</v>
      </c>
      <c r="F121" s="11">
        <f>'Speed Calc'!B$5*E121</f>
        <v>629.08287039141101</v>
      </c>
      <c r="G121" s="15">
        <f>'Speed Calc'!G$3+'Speed Calc'!G$5*A121^2</f>
        <v>20</v>
      </c>
      <c r="H121" s="7">
        <f>(F121-G121)/'Speed Calc'!G$2*9.806</f>
        <v>4.4241975015245742</v>
      </c>
      <c r="I121" s="4">
        <f t="shared" si="8"/>
        <v>2.3611111111111112</v>
      </c>
    </row>
    <row r="122" spans="1:9" x14ac:dyDescent="0.2">
      <c r="A122" s="11">
        <v>8.6</v>
      </c>
      <c r="B122" s="15">
        <v>3.133</v>
      </c>
      <c r="C122" s="11">
        <f t="shared" si="9"/>
        <v>1114.47346848149</v>
      </c>
      <c r="D122" s="11">
        <f t="shared" si="6"/>
        <v>22.370906700625103</v>
      </c>
      <c r="E122" s="11">
        <f t="shared" si="7"/>
        <v>702.34241967078822</v>
      </c>
      <c r="F122" s="11">
        <f>'Speed Calc'!B$5*E122</f>
        <v>632.10817770370943</v>
      </c>
      <c r="G122" s="15">
        <f>'Speed Calc'!G$3+'Speed Calc'!G$5*A122^2</f>
        <v>20</v>
      </c>
      <c r="H122" s="7">
        <f>(F122-G122)/'Speed Calc'!G$2*9.806</f>
        <v>4.4461724374537583</v>
      </c>
      <c r="I122" s="4">
        <f t="shared" si="8"/>
        <v>2.3888888888888888</v>
      </c>
    </row>
    <row r="123" spans="1:9" x14ac:dyDescent="0.2">
      <c r="A123" s="11">
        <v>8.6999999999999993</v>
      </c>
      <c r="B123" s="15">
        <v>3.133</v>
      </c>
      <c r="C123" s="11">
        <f t="shared" si="9"/>
        <v>1127.4324623010423</v>
      </c>
      <c r="D123" s="11">
        <f t="shared" si="6"/>
        <v>22.73803221180917</v>
      </c>
      <c r="E123" s="11">
        <f t="shared" si="7"/>
        <v>705.66306864235366</v>
      </c>
      <c r="F123" s="11">
        <f>'Speed Calc'!B$5*E123</f>
        <v>635.09676177811832</v>
      </c>
      <c r="G123" s="15">
        <f>'Speed Calc'!G$3+'Speed Calc'!G$5*A123^2</f>
        <v>20</v>
      </c>
      <c r="H123" s="7">
        <f>(F123-G123)/'Speed Calc'!G$2*9.806</f>
        <v>4.4678806266638729</v>
      </c>
      <c r="I123" s="4">
        <f t="shared" si="8"/>
        <v>2.4166666666666665</v>
      </c>
    </row>
    <row r="124" spans="1:9" x14ac:dyDescent="0.2">
      <c r="A124" s="11">
        <v>8.8000000000000007</v>
      </c>
      <c r="B124" s="15">
        <v>3.133</v>
      </c>
      <c r="C124" s="11">
        <f t="shared" si="9"/>
        <v>1140.391456120595</v>
      </c>
      <c r="D124" s="11">
        <f t="shared" si="6"/>
        <v>23.106298032378611</v>
      </c>
      <c r="E124" s="11">
        <f t="shared" si="7"/>
        <v>708.94323508434354</v>
      </c>
      <c r="F124" s="11">
        <f>'Speed Calc'!B$5*E124</f>
        <v>638.04891157590919</v>
      </c>
      <c r="G124" s="15">
        <f>'Speed Calc'!G$3+'Speed Calc'!G$5*A124^2</f>
        <v>20</v>
      </c>
      <c r="H124" s="7">
        <f>(F124-G124)/'Speed Calc'!G$2*9.806</f>
        <v>4.4893241680839742</v>
      </c>
      <c r="I124" s="4">
        <f t="shared" si="8"/>
        <v>2.4444444444444446</v>
      </c>
    </row>
    <row r="125" spans="1:9" x14ac:dyDescent="0.2">
      <c r="A125" s="11">
        <v>8.9</v>
      </c>
      <c r="B125" s="15">
        <v>3.133</v>
      </c>
      <c r="C125" s="11">
        <f t="shared" si="9"/>
        <v>1153.3504499401465</v>
      </c>
      <c r="D125" s="11">
        <f t="shared" si="6"/>
        <v>23.475669728510994</v>
      </c>
      <c r="E125" s="11">
        <f t="shared" si="7"/>
        <v>712.18323895482797</v>
      </c>
      <c r="F125" s="11">
        <f>'Speed Calc'!B$5*E125</f>
        <v>640.96491505934523</v>
      </c>
      <c r="G125" s="15">
        <f>'Speed Calc'!G$3+'Speed Calc'!G$5*A125^2</f>
        <v>20</v>
      </c>
      <c r="H125" s="7">
        <f>(F125-G125)/'Speed Calc'!G$2*9.806</f>
        <v>4.5105051533866209</v>
      </c>
      <c r="I125" s="4">
        <f t="shared" si="8"/>
        <v>2.4722222222222223</v>
      </c>
    </row>
    <row r="126" spans="1:9" x14ac:dyDescent="0.2">
      <c r="A126" s="11">
        <v>9</v>
      </c>
      <c r="B126" s="15">
        <v>3.133</v>
      </c>
      <c r="C126" s="11">
        <f t="shared" si="9"/>
        <v>1166.309443759699</v>
      </c>
      <c r="D126" s="11">
        <f t="shared" si="6"/>
        <v>23.846113303395654</v>
      </c>
      <c r="E126" s="11">
        <f t="shared" si="7"/>
        <v>715.3833991018696</v>
      </c>
      <c r="F126" s="11">
        <f>'Speed Calc'!B$5*E126</f>
        <v>643.84505919168271</v>
      </c>
      <c r="G126" s="15">
        <f>'Speed Calc'!G$3+'Speed Calc'!G$5*A126^2</f>
        <v>20</v>
      </c>
      <c r="H126" s="7">
        <f>(F126-G126)/'Speed Calc'!G$2*9.806</f>
        <v>4.5314256669878814</v>
      </c>
      <c r="I126" s="4">
        <f t="shared" si="8"/>
        <v>2.5</v>
      </c>
    </row>
    <row r="127" spans="1:9" x14ac:dyDescent="0.2">
      <c r="A127" s="11">
        <v>9.1</v>
      </c>
      <c r="B127" s="15">
        <v>3.133</v>
      </c>
      <c r="C127" s="11">
        <f t="shared" si="9"/>
        <v>1179.2684375792512</v>
      </c>
      <c r="D127" s="11">
        <f t="shared" si="6"/>
        <v>24.217595195177921</v>
      </c>
      <c r="E127" s="11">
        <f t="shared" si="7"/>
        <v>718.54403326352076</v>
      </c>
      <c r="F127" s="11">
        <f>'Speed Calc'!B$5*E127</f>
        <v>646.68962993716866</v>
      </c>
      <c r="G127" s="15">
        <f>'Speed Calc'!G$3+'Speed Calc'!G$5*A127^2</f>
        <v>20</v>
      </c>
      <c r="H127" s="7">
        <f>(F127-G127)/'Speed Calc'!G$2*9.806</f>
        <v>4.5520877860473146</v>
      </c>
      <c r="I127" s="4">
        <f t="shared" si="8"/>
        <v>2.5277777777777777</v>
      </c>
    </row>
    <row r="128" spans="1:9" x14ac:dyDescent="0.2">
      <c r="A128" s="11">
        <v>9.1999999999999993</v>
      </c>
      <c r="B128" s="15">
        <v>3.133</v>
      </c>
      <c r="C128" s="11">
        <f t="shared" si="9"/>
        <v>1192.2274313988032</v>
      </c>
      <c r="D128" s="11">
        <f t="shared" si="6"/>
        <v>24.590082274903715</v>
      </c>
      <c r="E128" s="11">
        <f t="shared" si="7"/>
        <v>721.66545806782665</v>
      </c>
      <c r="F128" s="11">
        <f>'Speed Calc'!B$5*E128</f>
        <v>649.49891226104398</v>
      </c>
      <c r="G128" s="15">
        <f>'Speed Calc'!G$3+'Speed Calc'!G$5*A128^2</f>
        <v>20</v>
      </c>
      <c r="H128" s="7">
        <f>(F128-G128)/'Speed Calc'!G$2*9.806</f>
        <v>4.5724935804679969</v>
      </c>
      <c r="I128" s="4">
        <f t="shared" si="8"/>
        <v>2.5555555555555554</v>
      </c>
    </row>
    <row r="129" spans="1:9" x14ac:dyDescent="0.2">
      <c r="A129" s="11">
        <v>9.3000000000000007</v>
      </c>
      <c r="B129" s="15">
        <v>3.133</v>
      </c>
      <c r="C129" s="11">
        <f t="shared" si="9"/>
        <v>1205.1864252183557</v>
      </c>
      <c r="D129" s="11">
        <f t="shared" si="6"/>
        <v>24.96354184446389</v>
      </c>
      <c r="E129" s="11">
        <f t="shared" si="7"/>
        <v>724.7479890328226</v>
      </c>
      <c r="F129" s="11">
        <f>'Speed Calc'!B$5*E129</f>
        <v>652.27319012954035</v>
      </c>
      <c r="G129" s="15">
        <f>'Speed Calc'!G$3+'Speed Calc'!G$5*A129^2</f>
        <v>20</v>
      </c>
      <c r="H129" s="7">
        <f>(F129-G129)/'Speed Calc'!G$2*9.806</f>
        <v>4.5926451128964985</v>
      </c>
      <c r="I129" s="4">
        <f t="shared" si="8"/>
        <v>2.5833333333333335</v>
      </c>
    </row>
    <row r="130" spans="1:9" x14ac:dyDescent="0.2">
      <c r="A130" s="11">
        <v>9.4</v>
      </c>
      <c r="B130" s="15">
        <v>3.133</v>
      </c>
      <c r="C130" s="11">
        <f t="shared" si="9"/>
        <v>1218.1454190379079</v>
      </c>
      <c r="D130" s="11">
        <f t="shared" si="6"/>
        <v>25.337941634538669</v>
      </c>
      <c r="E130" s="11">
        <f t="shared" si="7"/>
        <v>727.79194056653625</v>
      </c>
      <c r="F130" s="11">
        <f>'Speed Calc'!B$5*E130</f>
        <v>655.01274650988262</v>
      </c>
      <c r="G130" s="15">
        <f>'Speed Calc'!G$3+'Speed Calc'!G$5*A130^2</f>
        <v>20</v>
      </c>
      <c r="H130" s="7">
        <f>(F130-G130)/'Speed Calc'!G$2*9.806</f>
        <v>4.6125444387228951</v>
      </c>
      <c r="I130" s="4">
        <f t="shared" si="8"/>
        <v>2.6111111111111112</v>
      </c>
    </row>
    <row r="131" spans="1:9" x14ac:dyDescent="0.2">
      <c r="A131" s="11">
        <v>9.5</v>
      </c>
      <c r="B131" s="15">
        <v>3.133</v>
      </c>
      <c r="C131" s="11">
        <f t="shared" si="9"/>
        <v>1231.1044128574599</v>
      </c>
      <c r="D131" s="11">
        <f t="shared" si="6"/>
        <v>25.713249802542094</v>
      </c>
      <c r="E131" s="11">
        <f t="shared" si="7"/>
        <v>730.79762596698595</v>
      </c>
      <c r="F131" s="11">
        <f>'Speed Calc'!B$5*E131</f>
        <v>657.71786337028732</v>
      </c>
      <c r="G131" s="15">
        <f>'Speed Calc'!G$3+'Speed Calc'!G$5*A131^2</f>
        <v>20</v>
      </c>
      <c r="H131" s="7">
        <f>(F131-G131)/'Speed Calc'!G$2*9.806</f>
        <v>4.6321936060807678</v>
      </c>
      <c r="I131" s="4">
        <f t="shared" si="8"/>
        <v>2.6388888888888888</v>
      </c>
    </row>
    <row r="132" spans="1:9" x14ac:dyDescent="0.2">
      <c r="A132" s="11">
        <v>9.6</v>
      </c>
      <c r="B132" s="15">
        <v>3.133</v>
      </c>
      <c r="C132" s="11">
        <f t="shared" si="9"/>
        <v>1244.0634066770122</v>
      </c>
      <c r="D132" s="11">
        <f t="shared" si="6"/>
        <v>26.089434930566448</v>
      </c>
      <c r="E132" s="11">
        <f t="shared" si="7"/>
        <v>733.76535742218141</v>
      </c>
      <c r="F132" s="11">
        <f>'Speed Calc'!B$5*E132</f>
        <v>660.38882167996326</v>
      </c>
      <c r="G132" s="15">
        <f>'Speed Calc'!G$3+'Speed Calc'!G$5*A132^2</f>
        <v>20</v>
      </c>
      <c r="H132" s="7">
        <f>(F132-G132)/'Speed Calc'!G$2*9.806</f>
        <v>4.651594655847199</v>
      </c>
      <c r="I132" s="4">
        <f t="shared" si="8"/>
        <v>2.6666666666666665</v>
      </c>
    </row>
    <row r="133" spans="1:9" x14ac:dyDescent="0.2">
      <c r="A133" s="11">
        <v>9.6999999999999993</v>
      </c>
      <c r="B133" s="15">
        <v>3.133</v>
      </c>
      <c r="C133" s="11">
        <f t="shared" si="9"/>
        <v>1257.0224004965644</v>
      </c>
      <c r="D133" s="11">
        <f t="shared" si="6"/>
        <v>26.466466023326674</v>
      </c>
      <c r="E133" s="11">
        <f t="shared" si="7"/>
        <v>736.69544601012399</v>
      </c>
      <c r="F133" s="11">
        <f>'Speed Calc'!B$5*E133</f>
        <v>663.02590140911161</v>
      </c>
      <c r="G133" s="15">
        <f>'Speed Calc'!G$3+'Speed Calc'!G$5*A133^2</f>
        <v>20</v>
      </c>
      <c r="H133" s="7">
        <f>(F133-G133)/'Speed Calc'!G$2*9.806</f>
        <v>4.6707496216427762</v>
      </c>
      <c r="I133" s="4">
        <f t="shared" si="8"/>
        <v>2.6944444444444442</v>
      </c>
    </row>
    <row r="134" spans="1:9" x14ac:dyDescent="0.2">
      <c r="A134" s="11">
        <v>9.8000000000000007</v>
      </c>
      <c r="B134" s="15">
        <v>3.133</v>
      </c>
      <c r="C134" s="11">
        <f t="shared" si="9"/>
        <v>1269.9813943161166</v>
      </c>
      <c r="D134" s="11">
        <f t="shared" si="6"/>
        <v>26.844312506104814</v>
      </c>
      <c r="E134" s="11">
        <f t="shared" si="7"/>
        <v>739.58820169880619</v>
      </c>
      <c r="F134" s="11">
        <f>'Speed Calc'!B$5*E134</f>
        <v>665.62938152892559</v>
      </c>
      <c r="G134" s="15">
        <f>'Speed Calc'!G$3+'Speed Calc'!G$5*A134^2</f>
        <v>20</v>
      </c>
      <c r="H134" s="7">
        <f>(F134-G134)/'Speed Calc'!G$2*9.806</f>
        <v>4.6896605298315874</v>
      </c>
      <c r="I134" s="4">
        <f t="shared" si="8"/>
        <v>2.7222222222222223</v>
      </c>
    </row>
    <row r="135" spans="1:9" x14ac:dyDescent="0.2">
      <c r="A135" s="11">
        <v>9.9</v>
      </c>
      <c r="B135" s="15">
        <v>3.133</v>
      </c>
      <c r="C135" s="11">
        <f t="shared" si="9"/>
        <v>1282.9403881356689</v>
      </c>
      <c r="D135" s="11">
        <f t="shared" si="6"/>
        <v>27.222944222694419</v>
      </c>
      <c r="E135" s="11">
        <f t="shared" si="7"/>
        <v>742.44393334621157</v>
      </c>
      <c r="F135" s="11">
        <f>'Speed Calc'!B$5*E135</f>
        <v>668.19954001159044</v>
      </c>
      <c r="G135" s="15">
        <f>'Speed Calc'!G$3+'Speed Calc'!G$5*A135^2</f>
        <v>20</v>
      </c>
      <c r="H135" s="7">
        <f>(F135-G135)/'Speed Calc'!G$2*9.806</f>
        <v>4.7083293995212268</v>
      </c>
      <c r="I135" s="4">
        <f t="shared" si="8"/>
        <v>2.75</v>
      </c>
    </row>
    <row r="136" spans="1:9" x14ac:dyDescent="0.2">
      <c r="A136" s="11">
        <v>10</v>
      </c>
      <c r="B136" s="15">
        <v>3.133</v>
      </c>
      <c r="C136" s="11">
        <f t="shared" si="9"/>
        <v>1295.8993819552211</v>
      </c>
      <c r="D136" s="11">
        <f t="shared" si="6"/>
        <v>27.602331433345007</v>
      </c>
      <c r="E136" s="11">
        <f t="shared" si="7"/>
        <v>745.26294870031518</v>
      </c>
      <c r="F136" s="11">
        <f>'Speed Calc'!B$5*E136</f>
        <v>670.73665383028367</v>
      </c>
      <c r="G136" s="15">
        <f>'Speed Calc'!G$3+'Speed Calc'!G$5*A136^2</f>
        <v>20</v>
      </c>
      <c r="H136" s="7">
        <f>(F136-G136)/'Speed Calc'!G$2*9.806</f>
        <v>4.7267582425627861</v>
      </c>
      <c r="I136" s="4">
        <f t="shared" si="8"/>
        <v>2.7777777777777777</v>
      </c>
    </row>
    <row r="137" spans="1:9" x14ac:dyDescent="0.2">
      <c r="A137" s="11">
        <v>10.1</v>
      </c>
      <c r="B137" s="15">
        <v>3.133</v>
      </c>
      <c r="C137" s="11">
        <f t="shared" si="9"/>
        <v>1308.8583757747731</v>
      </c>
      <c r="D137" s="11">
        <f t="shared" si="6"/>
        <v>27.982444812706476</v>
      </c>
      <c r="E137" s="11">
        <f t="shared" si="7"/>
        <v>748.04555439908427</v>
      </c>
      <c r="F137" s="11">
        <f>'Speed Calc'!B$5*E137</f>
        <v>673.24099895917584</v>
      </c>
      <c r="G137" s="15">
        <f>'Speed Calc'!G$3+'Speed Calc'!G$5*A137^2</f>
        <v>20</v>
      </c>
      <c r="H137" s="7">
        <f>(F137-G137)/'Speed Calc'!G$2*9.806</f>
        <v>4.7449490635508722</v>
      </c>
      <c r="I137" s="4">
        <f t="shared" si="8"/>
        <v>2.8055555555555554</v>
      </c>
    </row>
    <row r="138" spans="1:9" x14ac:dyDescent="0.2">
      <c r="A138" s="11">
        <v>10.199999999999999</v>
      </c>
      <c r="B138" s="15">
        <v>3.133</v>
      </c>
      <c r="C138" s="11">
        <f t="shared" si="9"/>
        <v>1321.8173695943253</v>
      </c>
      <c r="D138" s="11">
        <f t="shared" si="6"/>
        <v>28.363255447773515</v>
      </c>
      <c r="E138" s="11">
        <f t="shared" si="7"/>
        <v>750.79205597047553</v>
      </c>
      <c r="F138" s="11">
        <f>'Speed Calc'!B$5*E138</f>
        <v>675.71285037342795</v>
      </c>
      <c r="G138" s="15">
        <f>'Speed Calc'!G$3+'Speed Calc'!G$5*A138^2</f>
        <v>20</v>
      </c>
      <c r="H138" s="7">
        <f>(F138-G138)/'Speed Calc'!G$2*9.806</f>
        <v>4.7629038598235809</v>
      </c>
      <c r="I138" s="4">
        <f t="shared" si="8"/>
        <v>2.833333333333333</v>
      </c>
    </row>
    <row r="139" spans="1:9" x14ac:dyDescent="0.2">
      <c r="A139" s="11">
        <v>10.3</v>
      </c>
      <c r="B139" s="15">
        <v>3.133</v>
      </c>
      <c r="C139" s="11">
        <f t="shared" si="9"/>
        <v>1334.7763634138776</v>
      </c>
      <c r="D139" s="11">
        <f t="shared" si="6"/>
        <v>28.744734835830076</v>
      </c>
      <c r="E139" s="11">
        <f t="shared" si="7"/>
        <v>753.50275783243899</v>
      </c>
      <c r="F139" s="11">
        <f>'Speed Calc'!B$5*E139</f>
        <v>678.1524820491951</v>
      </c>
      <c r="G139" s="15">
        <f>'Speed Calc'!G$3+'Speed Calc'!G$5*A139^2</f>
        <v>20</v>
      </c>
      <c r="H139" s="7">
        <f>(F139-G139)/'Speed Calc'!G$2*9.806</f>
        <v>4.7806246214625236</v>
      </c>
      <c r="I139" s="4">
        <f t="shared" si="8"/>
        <v>2.8611111111111112</v>
      </c>
    </row>
    <row r="140" spans="1:9" x14ac:dyDescent="0.2">
      <c r="A140" s="11">
        <v>10.4</v>
      </c>
      <c r="B140" s="15">
        <v>3.133</v>
      </c>
      <c r="C140" s="11">
        <f t="shared" si="9"/>
        <v>1347.7353572334298</v>
      </c>
      <c r="D140" s="11">
        <f t="shared" si="6"/>
        <v>29.126854882393744</v>
      </c>
      <c r="E140" s="11">
        <f t="shared" si="7"/>
        <v>756.17796329291457</v>
      </c>
      <c r="F140" s="11">
        <f>'Speed Calc'!B$5*E140</f>
        <v>680.56016696362315</v>
      </c>
      <c r="G140" s="15">
        <f>'Speed Calc'!G$3+'Speed Calc'!G$5*A140^2</f>
        <v>20</v>
      </c>
      <c r="H140" s="7">
        <f>(F140-G140)/'Speed Calc'!G$2*9.806</f>
        <v>4.7981133312928055</v>
      </c>
      <c r="I140" s="4">
        <f t="shared" si="8"/>
        <v>2.8888888888888888</v>
      </c>
    </row>
    <row r="141" spans="1:9" x14ac:dyDescent="0.2">
      <c r="A141" s="11">
        <v>10.5</v>
      </c>
      <c r="B141" s="15">
        <v>3.133</v>
      </c>
      <c r="C141" s="11">
        <f t="shared" si="9"/>
        <v>1360.6943510529823</v>
      </c>
      <c r="D141" s="11">
        <f t="shared" si="6"/>
        <v>29.509587899160216</v>
      </c>
      <c r="E141" s="11">
        <f t="shared" si="7"/>
        <v>758.81797454983405</v>
      </c>
      <c r="F141" s="11">
        <f>'Speed Calc'!B$5*E141</f>
        <v>682.93617709485068</v>
      </c>
      <c r="G141" s="15">
        <f>'Speed Calc'!G$3+'Speed Calc'!G$5*A141^2</f>
        <v>20</v>
      </c>
      <c r="H141" s="7">
        <f>(F141-G141)/'Speed Calc'!G$2*9.806</f>
        <v>4.8153719648830409</v>
      </c>
      <c r="I141" s="4">
        <f t="shared" si="8"/>
        <v>2.9166666666666665</v>
      </c>
    </row>
    <row r="142" spans="1:9" x14ac:dyDescent="0.2">
      <c r="A142" s="11">
        <v>10.6</v>
      </c>
      <c r="B142" s="15">
        <v>3.133</v>
      </c>
      <c r="C142" s="11">
        <f t="shared" si="9"/>
        <v>1373.653344872534</v>
      </c>
      <c r="D142" s="11">
        <f t="shared" si="6"/>
        <v>29.892906601947693</v>
      </c>
      <c r="E142" s="11">
        <f t="shared" si="7"/>
        <v>761.4230926911207</v>
      </c>
      <c r="F142" s="11">
        <f>'Speed Calc'!B$5*E142</f>
        <v>685.28078342200865</v>
      </c>
      <c r="G142" s="15">
        <f>'Speed Calc'!G$3+'Speed Calc'!G$5*A142^2</f>
        <v>20</v>
      </c>
      <c r="H142" s="7">
        <f>(F142-G142)/'Speed Calc'!G$2*9.806</f>
        <v>4.8324024905453449</v>
      </c>
      <c r="I142" s="4">
        <f t="shared" si="8"/>
        <v>2.9444444444444442</v>
      </c>
    </row>
    <row r="143" spans="1:9" x14ac:dyDescent="0.2">
      <c r="A143" s="11">
        <v>10.7</v>
      </c>
      <c r="B143" s="15">
        <v>3.133</v>
      </c>
      <c r="C143" s="11">
        <f t="shared" si="9"/>
        <v>1386.6123386920865</v>
      </c>
      <c r="D143" s="11">
        <f t="shared" si="6"/>
        <v>30.276784108641372</v>
      </c>
      <c r="E143" s="11">
        <f t="shared" si="7"/>
        <v>763.99361769468896</v>
      </c>
      <c r="F143" s="11">
        <f>'Speed Calc'!B$5*E143</f>
        <v>687.59425592522007</v>
      </c>
      <c r="G143" s="15">
        <f>'Speed Calc'!G$3+'Speed Calc'!G$5*A143^2</f>
        <v>20</v>
      </c>
      <c r="H143" s="7">
        <f>(F143-G143)/'Speed Calc'!G$2*9.806</f>
        <v>4.8492068693353385</v>
      </c>
      <c r="I143" s="4">
        <f t="shared" si="8"/>
        <v>2.9722222222222219</v>
      </c>
    </row>
    <row r="144" spans="1:9" x14ac:dyDescent="0.2">
      <c r="A144" s="11">
        <v>10.8</v>
      </c>
      <c r="B144" s="15">
        <v>3.133</v>
      </c>
      <c r="C144" s="11">
        <f t="shared" si="9"/>
        <v>1399.571332511639</v>
      </c>
      <c r="D144" s="11">
        <f t="shared" si="6"/>
        <v>30.661193937137778</v>
      </c>
      <c r="E144" s="11">
        <f t="shared" si="7"/>
        <v>766.52984842844421</v>
      </c>
      <c r="F144" s="11">
        <f>'Speed Calc'!B$5*E144</f>
        <v>689.87686358559984</v>
      </c>
      <c r="G144" s="15">
        <f>'Speed Calc'!G$3+'Speed Calc'!G$5*A144^2</f>
        <v>20</v>
      </c>
      <c r="H144" s="7">
        <f>(F144-G144)/'Speed Calc'!G$2*9.806</f>
        <v>4.8657870550521416</v>
      </c>
      <c r="I144" s="4">
        <f t="shared" si="8"/>
        <v>3</v>
      </c>
    </row>
    <row r="145" spans="1:9" x14ac:dyDescent="0.2">
      <c r="A145" s="11">
        <v>10.9</v>
      </c>
      <c r="B145" s="15">
        <v>3.133</v>
      </c>
      <c r="C145" s="11">
        <f t="shared" si="9"/>
        <v>1412.530326331191</v>
      </c>
      <c r="D145" s="11">
        <f t="shared" si="6"/>
        <v>31.046110003289243</v>
      </c>
      <c r="E145" s="11">
        <f t="shared" si="7"/>
        <v>769.032082650284</v>
      </c>
      <c r="F145" s="11">
        <f>'Speed Calc'!B$5*E145</f>
        <v>692.12887438525559</v>
      </c>
      <c r="G145" s="15">
        <f>'Speed Calc'!G$3+'Speed Calc'!G$5*A145^2</f>
        <v>20</v>
      </c>
      <c r="H145" s="7">
        <f>(F145-G145)/'Speed Calc'!G$2*9.806</f>
        <v>4.8821449942383817</v>
      </c>
      <c r="I145" s="4">
        <f t="shared" si="8"/>
        <v>3.0277777777777777</v>
      </c>
    </row>
    <row r="146" spans="1:9" x14ac:dyDescent="0.2">
      <c r="A146" s="11">
        <v>11</v>
      </c>
      <c r="B146" s="15">
        <v>3.133</v>
      </c>
      <c r="C146" s="11">
        <f t="shared" si="9"/>
        <v>1425.4893201507432</v>
      </c>
      <c r="D146" s="11">
        <f t="shared" si="6"/>
        <v>31.431506618848367</v>
      </c>
      <c r="E146" s="11">
        <f t="shared" si="7"/>
        <v>771.50061700809636</v>
      </c>
      <c r="F146" s="11">
        <f>'Speed Calc'!B$5*E146</f>
        <v>694.35055530728675</v>
      </c>
      <c r="G146" s="15">
        <f>'Speed Calc'!G$3+'Speed Calc'!G$5*A146^2</f>
        <v>20</v>
      </c>
      <c r="H146" s="7">
        <f>(F146-G146)/'Speed Calc'!G$2*9.806</f>
        <v>4.8982826261801877</v>
      </c>
      <c r="I146" s="4">
        <f t="shared" si="8"/>
        <v>3.0555555555555554</v>
      </c>
    </row>
    <row r="147" spans="1:9" x14ac:dyDescent="0.2">
      <c r="A147" s="11">
        <v>11.1</v>
      </c>
      <c r="B147" s="15">
        <v>3.133</v>
      </c>
      <c r="C147" s="11">
        <f t="shared" si="9"/>
        <v>1438.4483139702952</v>
      </c>
      <c r="D147" s="11">
        <f t="shared" si="6"/>
        <v>31.817358489412392</v>
      </c>
      <c r="E147" s="11">
        <f t="shared" si="7"/>
        <v>773.93574703976105</v>
      </c>
      <c r="F147" s="11">
        <f>'Speed Calc'!B$5*E147</f>
        <v>696.54217233578493</v>
      </c>
      <c r="G147" s="15">
        <f>'Speed Calc'!G$3+'Speed Calc'!G$5*A147^2</f>
        <v>20</v>
      </c>
      <c r="H147" s="7">
        <f>(F147-G147)/'Speed Calc'!G$2*9.806</f>
        <v>4.9142018829071894</v>
      </c>
      <c r="I147" s="4">
        <f t="shared" si="8"/>
        <v>3.083333333333333</v>
      </c>
    </row>
    <row r="148" spans="1:9" x14ac:dyDescent="0.2">
      <c r="A148" s="11">
        <v>11.2</v>
      </c>
      <c r="B148" s="15">
        <v>3.133</v>
      </c>
      <c r="C148" s="11">
        <f t="shared" si="9"/>
        <v>1451.4073077898474</v>
      </c>
      <c r="D148" s="11">
        <f t="shared" si="6"/>
        <v>32.203640712367658</v>
      </c>
      <c r="E148" s="11">
        <f t="shared" si="7"/>
        <v>776.33776717314902</v>
      </c>
      <c r="F148" s="11">
        <f>'Speed Calc'!B$5*E148</f>
        <v>698.70399045583417</v>
      </c>
      <c r="G148" s="15">
        <f>'Speed Calc'!G$3+'Speed Calc'!G$5*A148^2</f>
        <v>20</v>
      </c>
      <c r="H148" s="7">
        <f>(F148-G148)/'Speed Calc'!G$2*9.806</f>
        <v>4.9299046891925258</v>
      </c>
      <c r="I148" s="4">
        <f t="shared" si="8"/>
        <v>3.1111111111111107</v>
      </c>
    </row>
    <row r="149" spans="1:9" x14ac:dyDescent="0.2">
      <c r="A149" s="11">
        <v>11.3</v>
      </c>
      <c r="B149" s="15">
        <v>3.133</v>
      </c>
      <c r="C149" s="11">
        <f t="shared" si="9"/>
        <v>1464.3663016093999</v>
      </c>
      <c r="D149" s="11">
        <f t="shared" si="6"/>
        <v>32.590328774834035</v>
      </c>
      <c r="E149" s="11">
        <f t="shared" si="7"/>
        <v>778.70697072612279</v>
      </c>
      <c r="F149" s="11">
        <f>'Speed Calc'!B$5*E149</f>
        <v>700.83627365351049</v>
      </c>
      <c r="G149" s="15">
        <f>'Speed Calc'!G$3+'Speed Calc'!G$5*A149^2</f>
        <v>20</v>
      </c>
      <c r="H149" s="7">
        <f>(F149-G149)/'Speed Calc'!G$2*9.806</f>
        <v>4.9453929625528321</v>
      </c>
      <c r="I149" s="4">
        <f t="shared" si="8"/>
        <v>3.1388888888888888</v>
      </c>
    </row>
    <row r="150" spans="1:9" x14ac:dyDescent="0.2">
      <c r="A150" s="11">
        <v>11.4</v>
      </c>
      <c r="B150" s="15">
        <v>3.133</v>
      </c>
      <c r="C150" s="11">
        <f t="shared" si="9"/>
        <v>1477.3252954289519</v>
      </c>
      <c r="D150" s="11">
        <f t="shared" si="6"/>
        <v>32.977398551609298</v>
      </c>
      <c r="E150" s="11">
        <f t="shared" si="7"/>
        <v>781.0436499065363</v>
      </c>
      <c r="F150" s="11">
        <f>'Speed Calc'!B$5*E150</f>
        <v>702.93928491588269</v>
      </c>
      <c r="G150" s="15">
        <f>'Speed Calc'!G$3+'Speed Calc'!G$5*A150^2</f>
        <v>20</v>
      </c>
      <c r="H150" s="7">
        <f>(F150-G150)/'Speed Calc'!G$2*9.806</f>
        <v>4.9606686132482558</v>
      </c>
      <c r="I150" s="4">
        <f t="shared" si="8"/>
        <v>3.1666666666666665</v>
      </c>
    </row>
    <row r="151" spans="1:9" x14ac:dyDescent="0.2">
      <c r="A151" s="11">
        <v>11.5</v>
      </c>
      <c r="B151" s="15">
        <v>3.133</v>
      </c>
      <c r="C151" s="11">
        <f t="shared" si="9"/>
        <v>1490.2842892485041</v>
      </c>
      <c r="D151" s="11">
        <f t="shared" si="6"/>
        <v>33.364826303113659</v>
      </c>
      <c r="E151" s="11">
        <f t="shared" si="7"/>
        <v>783.34809581223374</v>
      </c>
      <c r="F151" s="11">
        <f>'Speed Calc'!B$5*E151</f>
        <v>705.0132862310104</v>
      </c>
      <c r="G151" s="15">
        <f>'Speed Calc'!G$3+'Speed Calc'!G$5*A151^2</f>
        <v>20</v>
      </c>
      <c r="H151" s="7">
        <f>(F151-G151)/'Speed Calc'!G$2*9.806</f>
        <v>4.9757335442824351</v>
      </c>
      <c r="I151" s="4">
        <f t="shared" si="8"/>
        <v>3.1944444444444442</v>
      </c>
    </row>
    <row r="152" spans="1:9" x14ac:dyDescent="0.2">
      <c r="A152" s="11">
        <v>11.6</v>
      </c>
      <c r="B152" s="15">
        <v>3.133</v>
      </c>
      <c r="C152" s="11">
        <f t="shared" si="9"/>
        <v>1503.2432830680564</v>
      </c>
      <c r="D152" s="11">
        <f t="shared" si="6"/>
        <v>33.752588673334103</v>
      </c>
      <c r="E152" s="11">
        <f t="shared" si="7"/>
        <v>785.62059843105249</v>
      </c>
      <c r="F152" s="11">
        <f>'Speed Calc'!B$5*E152</f>
        <v>707.05853858794728</v>
      </c>
      <c r="G152" s="15">
        <f>'Speed Calc'!G$3+'Speed Calc'!G$5*A152^2</f>
        <v>20</v>
      </c>
      <c r="H152" s="7">
        <f>(F152-G152)/'Speed Calc'!G$2*9.806</f>
        <v>4.9905896514025265</v>
      </c>
      <c r="I152" s="4">
        <f t="shared" si="8"/>
        <v>3.2222222222222219</v>
      </c>
    </row>
    <row r="153" spans="1:9" x14ac:dyDescent="0.2">
      <c r="A153" s="11">
        <v>11.7</v>
      </c>
      <c r="B153" s="15">
        <v>3.133</v>
      </c>
      <c r="C153" s="11">
        <f t="shared" si="9"/>
        <v>1516.2022768876086</v>
      </c>
      <c r="D153" s="11">
        <f t="shared" si="6"/>
        <v>34.140662687768817</v>
      </c>
      <c r="E153" s="11">
        <f t="shared" si="7"/>
        <v>787.86144664081894</v>
      </c>
      <c r="F153" s="11">
        <f>'Speed Calc'!B$5*E153</f>
        <v>709.07530197673702</v>
      </c>
      <c r="G153" s="15">
        <f>'Speed Calc'!G$3+'Speed Calc'!G$5*A153^2</f>
        <v>20</v>
      </c>
      <c r="H153" s="7">
        <f>(F153-G153)/'Speed Calc'!G$2*9.806</f>
        <v>5.0052388230991731</v>
      </c>
      <c r="I153" s="4">
        <f t="shared" si="8"/>
        <v>3.2499999999999996</v>
      </c>
    </row>
    <row r="154" spans="1:9" x14ac:dyDescent="0.2">
      <c r="A154" s="11">
        <v>11.8</v>
      </c>
      <c r="B154" s="15">
        <v>3.133</v>
      </c>
      <c r="C154" s="11">
        <f t="shared" si="9"/>
        <v>1529.1612707071608</v>
      </c>
      <c r="D154" s="11">
        <f t="shared" si="6"/>
        <v>34.529025751371741</v>
      </c>
      <c r="E154" s="11">
        <f t="shared" si="7"/>
        <v>790.0709282093535</v>
      </c>
      <c r="F154" s="11">
        <f>'Speed Calc'!B$5*E154</f>
        <v>711.06383538841817</v>
      </c>
      <c r="G154" s="15">
        <f>'Speed Calc'!G$3+'Speed Calc'!G$5*A154^2</f>
        <v>20</v>
      </c>
      <c r="H154" s="7">
        <f>(F154-G154)/'Speed Calc'!G$2*9.806</f>
        <v>5.0196829406065397</v>
      </c>
      <c r="I154" s="4">
        <f t="shared" si="8"/>
        <v>3.2777777777777777</v>
      </c>
    </row>
    <row r="155" spans="1:9" x14ac:dyDescent="0.2">
      <c r="A155" s="11">
        <v>11.9</v>
      </c>
      <c r="B155" s="15">
        <v>3.133</v>
      </c>
      <c r="C155" s="11">
        <f t="shared" si="9"/>
        <v>1542.1202645267131</v>
      </c>
      <c r="D155" s="11">
        <f t="shared" si="6"/>
        <v>34.917655646496797</v>
      </c>
      <c r="E155" s="11">
        <f t="shared" si="7"/>
        <v>792.24932979446498</v>
      </c>
      <c r="F155" s="11">
        <f>'Speed Calc'!B$5*E155</f>
        <v>713.02439681501846</v>
      </c>
      <c r="G155" s="15">
        <f>'Speed Calc'!G$3+'Speed Calc'!G$5*A155^2</f>
        <v>20</v>
      </c>
      <c r="H155" s="7">
        <f>(F155-G155)/'Speed Calc'!G$2*9.806</f>
        <v>5.0339238779022741</v>
      </c>
      <c r="I155" s="4">
        <f t="shared" si="8"/>
        <v>3.3055555555555554</v>
      </c>
    </row>
    <row r="156" spans="1:9" x14ac:dyDescent="0.2">
      <c r="A156" s="11">
        <v>12</v>
      </c>
      <c r="B156" s="15">
        <v>3.133</v>
      </c>
      <c r="C156" s="11">
        <f t="shared" si="9"/>
        <v>1555.0792583462655</v>
      </c>
      <c r="D156" s="11">
        <f t="shared" si="6"/>
        <v>35.306530530842515</v>
      </c>
      <c r="E156" s="11">
        <f t="shared" si="7"/>
        <v>794.39693694395646</v>
      </c>
      <c r="F156" s="11">
        <f>'Speed Calc'!B$5*E156</f>
        <v>714.95724324956086</v>
      </c>
      <c r="G156" s="15">
        <f>'Speed Calc'!G$3+'Speed Calc'!G$5*A156^2</f>
        <v>20</v>
      </c>
      <c r="H156" s="7">
        <f>(F156-G156)/'Speed Calc'!G$2*9.806</f>
        <v>5.0479635017075504</v>
      </c>
      <c r="I156" s="4">
        <f t="shared" si="8"/>
        <v>3.333333333333333</v>
      </c>
    </row>
    <row r="157" spans="1:9" x14ac:dyDescent="0.2">
      <c r="A157" s="11">
        <v>12.1</v>
      </c>
      <c r="B157" s="15">
        <v>3.133</v>
      </c>
      <c r="C157" s="11">
        <f t="shared" si="9"/>
        <v>1568.0382521658171</v>
      </c>
      <c r="D157" s="11">
        <f t="shared" si="6"/>
        <v>35.695628935396286</v>
      </c>
      <c r="E157" s="11">
        <f t="shared" si="7"/>
        <v>796.51403409561976</v>
      </c>
      <c r="F157" s="11">
        <f>'Speed Calc'!B$5*E157</f>
        <v>716.86263068605786</v>
      </c>
      <c r="G157" s="15">
        <f>'Speed Calc'!G$3+'Speed Calc'!G$5*A157^2</f>
        <v>20</v>
      </c>
      <c r="H157" s="7">
        <f>(F157-G157)/'Speed Calc'!G$2*9.806</f>
        <v>5.0618036714870236</v>
      </c>
      <c r="I157" s="4">
        <f t="shared" si="8"/>
        <v>3.3611111111111107</v>
      </c>
    </row>
    <row r="158" spans="1:9" x14ac:dyDescent="0.2">
      <c r="A158" s="11">
        <v>12.2</v>
      </c>
      <c r="B158" s="15">
        <v>3.133</v>
      </c>
      <c r="C158" s="11">
        <f t="shared" si="9"/>
        <v>1580.9972459853693</v>
      </c>
      <c r="D158" s="11">
        <f t="shared" si="6"/>
        <v>36.084929762378977</v>
      </c>
      <c r="E158" s="11">
        <f t="shared" si="7"/>
        <v>798.60090457724004</v>
      </c>
      <c r="F158" s="11">
        <f>'Speed Calc'!B$5*E158</f>
        <v>718.74081411951602</v>
      </c>
      <c r="G158" s="15">
        <f>'Speed Calc'!G$3+'Speed Calc'!G$5*A158^2</f>
        <v>20</v>
      </c>
      <c r="H158" s="7">
        <f>(F158-G158)/'Speed Calc'!G$2*9.806</f>
        <v>5.0754462394488691</v>
      </c>
      <c r="I158" s="4">
        <f t="shared" si="8"/>
        <v>3.3888888888888884</v>
      </c>
    </row>
    <row r="159" spans="1:9" x14ac:dyDescent="0.2">
      <c r="A159" s="11">
        <v>12.3</v>
      </c>
      <c r="B159" s="15">
        <v>3.133</v>
      </c>
      <c r="C159" s="11">
        <f t="shared" si="9"/>
        <v>1593.9562398049222</v>
      </c>
      <c r="D159" s="11">
        <f t="shared" si="6"/>
        <v>36.474412283189203</v>
      </c>
      <c r="E159" s="11">
        <f t="shared" si="7"/>
        <v>800.65783060659203</v>
      </c>
      <c r="F159" s="11">
        <f>'Speed Calc'!B$5*E159</f>
        <v>720.59204754593281</v>
      </c>
      <c r="G159" s="15">
        <f>'Speed Calc'!G$3+'Speed Calc'!G$5*A159^2</f>
        <v>20</v>
      </c>
      <c r="H159" s="7">
        <f>(F159-G159)/'Speed Calc'!G$2*9.806</f>
        <v>5.0888930505447529</v>
      </c>
      <c r="I159" s="4">
        <f t="shared" si="8"/>
        <v>3.416666666666667</v>
      </c>
    </row>
    <row r="160" spans="1:9" x14ac:dyDescent="0.2">
      <c r="A160" s="11">
        <v>12.4</v>
      </c>
      <c r="B160" s="15">
        <v>3.133</v>
      </c>
      <c r="C160" s="11">
        <f t="shared" si="9"/>
        <v>1606.9152336244742</v>
      </c>
      <c r="D160" s="11">
        <f t="shared" si="6"/>
        <v>36.86405613634777</v>
      </c>
      <c r="E160" s="11">
        <f t="shared" si="7"/>
        <v>802.6850932914432</v>
      </c>
      <c r="F160" s="11">
        <f>'Speed Calc'!B$5*E160</f>
        <v>722.41658396229889</v>
      </c>
      <c r="G160" s="15">
        <f>'Speed Calc'!G$3+'Speed Calc'!G$5*A160^2</f>
        <v>20</v>
      </c>
      <c r="H160" s="7">
        <f>(F160-G160)/'Speed Calc'!G$2*9.806</f>
        <v>5.1021459424698534</v>
      </c>
      <c r="I160" s="4">
        <f t="shared" si="8"/>
        <v>3.4444444444444446</v>
      </c>
    </row>
    <row r="161" spans="1:9" x14ac:dyDescent="0.2">
      <c r="A161" s="11">
        <v>12.5</v>
      </c>
      <c r="B161" s="15">
        <v>3.133</v>
      </c>
      <c r="C161" s="11">
        <f t="shared" si="9"/>
        <v>1619.8742274440267</v>
      </c>
      <c r="D161" s="11">
        <f t="shared" si="6"/>
        <v>37.253841325442224</v>
      </c>
      <c r="E161" s="11">
        <f t="shared" si="7"/>
        <v>804.68297262955184</v>
      </c>
      <c r="F161" s="11">
        <f>'Speed Calc'!B$5*E161</f>
        <v>724.21467536659668</v>
      </c>
      <c r="G161" s="15">
        <f>'Speed Calc'!G$3+'Speed Calc'!G$5*A161^2</f>
        <v>20</v>
      </c>
      <c r="H161" s="7">
        <f>(F161-G161)/'Speed Calc'!G$2*9.806</f>
        <v>5.1152067456628485</v>
      </c>
      <c r="I161" s="4">
        <f t="shared" si="8"/>
        <v>3.4722222222222223</v>
      </c>
    </row>
    <row r="162" spans="1:9" x14ac:dyDescent="0.2">
      <c r="A162" s="11">
        <v>12.6</v>
      </c>
      <c r="B162" s="15">
        <v>3.133</v>
      </c>
      <c r="C162" s="11">
        <f t="shared" si="9"/>
        <v>1632.8332212635785</v>
      </c>
      <c r="D162" s="11">
        <f t="shared" si="6"/>
        <v>37.643748217071142</v>
      </c>
      <c r="E162" s="11">
        <f t="shared" si="7"/>
        <v>806.6517475086672</v>
      </c>
      <c r="F162" s="11">
        <f>'Speed Calc'!B$5*E162</f>
        <v>725.98657275780045</v>
      </c>
      <c r="G162" s="15">
        <f>'Speed Calc'!G$3+'Speed Calc'!G$5*A162^2</f>
        <v>20</v>
      </c>
      <c r="H162" s="7">
        <f>(F162-G162)/'Speed Calc'!G$2*9.806</f>
        <v>5.1280772833059194</v>
      </c>
      <c r="I162" s="4">
        <f t="shared" si="8"/>
        <v>3.5</v>
      </c>
    </row>
    <row r="163" spans="1:9" x14ac:dyDescent="0.2">
      <c r="A163" s="11">
        <v>12.7</v>
      </c>
      <c r="B163" s="15">
        <v>3.133</v>
      </c>
      <c r="C163" s="11">
        <f t="shared" si="9"/>
        <v>1645.7922150831309</v>
      </c>
      <c r="D163" s="11">
        <f t="shared" si="6"/>
        <v>38.033757538788663</v>
      </c>
      <c r="E163" s="11">
        <f t="shared" si="7"/>
        <v>808.59169570653057</v>
      </c>
      <c r="F163" s="11">
        <f>'Speed Calc'!B$5*E163</f>
        <v>727.73252613587749</v>
      </c>
      <c r="G163" s="15">
        <f>'Speed Calc'!G$3+'Speed Calc'!G$5*A163^2</f>
        <v>20</v>
      </c>
      <c r="H163" s="7">
        <f>(F163-G163)/'Speed Calc'!G$2*9.806</f>
        <v>5.1407593713247506</v>
      </c>
      <c r="I163" s="4">
        <f t="shared" si="8"/>
        <v>3.5277777777777777</v>
      </c>
    </row>
    <row r="164" spans="1:9" x14ac:dyDescent="0.2">
      <c r="A164" s="11">
        <v>12.8</v>
      </c>
      <c r="B164" s="15">
        <v>3.133</v>
      </c>
      <c r="C164" s="11">
        <f t="shared" si="9"/>
        <v>1658.7512089026832</v>
      </c>
      <c r="D164" s="11">
        <f t="shared" si="6"/>
        <v>38.423850377048829</v>
      </c>
      <c r="E164" s="11">
        <f t="shared" si="7"/>
        <v>810.50309389087386</v>
      </c>
      <c r="F164" s="11">
        <f>'Speed Calc'!B$5*E164</f>
        <v>729.45278450178648</v>
      </c>
      <c r="G164" s="15">
        <f>'Speed Calc'!G$3+'Speed Calc'!G$5*A164^2</f>
        <v>20</v>
      </c>
      <c r="H164" s="7">
        <f>(F164-G164)/'Speed Calc'!G$2*9.806</f>
        <v>5.1532548183885307</v>
      </c>
      <c r="I164" s="4">
        <f t="shared" si="8"/>
        <v>3.5555555555555558</v>
      </c>
    </row>
    <row r="165" spans="1:9" x14ac:dyDescent="0.2">
      <c r="A165" s="11">
        <v>12.9</v>
      </c>
      <c r="B165" s="15">
        <v>3.133</v>
      </c>
      <c r="C165" s="11">
        <f t="shared" si="9"/>
        <v>1671.7102027222352</v>
      </c>
      <c r="D165" s="11">
        <f t="shared" ref="D165:D228" si="10">-4.687*10^(-17)*C165^5+9.129*10^(-13)*C165^4-6.175*10^(-9)*C165^3+1.799*10^(-5)*C165^2+6.502*10^(-3)*C165</f>
        <v>38.814008175150093</v>
      </c>
      <c r="E165" s="11">
        <f t="shared" si="7"/>
        <v>812.38621761942079</v>
      </c>
      <c r="F165" s="11">
        <f>'Speed Calc'!B$5*E165</f>
        <v>731.14759585747868</v>
      </c>
      <c r="G165" s="15">
        <f>'Speed Calc'!G$3+'Speed Calc'!G$5*A165^2</f>
        <v>20</v>
      </c>
      <c r="H165" s="7">
        <f>(F165-G165)/'Speed Calc'!G$2*9.806</f>
        <v>5.1655654259099526</v>
      </c>
      <c r="I165" s="4">
        <f t="shared" si="8"/>
        <v>3.5833333333333335</v>
      </c>
    </row>
    <row r="166" spans="1:9" x14ac:dyDescent="0.2">
      <c r="A166" s="11">
        <v>13</v>
      </c>
      <c r="B166" s="15">
        <v>3.133</v>
      </c>
      <c r="C166" s="11">
        <f t="shared" si="9"/>
        <v>1684.6691965417876</v>
      </c>
      <c r="D166" s="11">
        <f t="shared" si="10"/>
        <v>39.204212731179688</v>
      </c>
      <c r="E166" s="11">
        <f t="shared" ref="E166:E229" si="11">D166*75*B166*B$31*B$32/B$23/C166/2/PI()*60</f>
        <v>814.24134133988571</v>
      </c>
      <c r="F166" s="11">
        <f>'Speed Calc'!B$5*E166</f>
        <v>732.81720720589715</v>
      </c>
      <c r="G166" s="15">
        <f>'Speed Calc'!G$3+'Speed Calc'!G$5*A166^2</f>
        <v>20</v>
      </c>
      <c r="H166" s="7">
        <f>(F166-G166)/'Speed Calc'!G$2*9.806</f>
        <v>5.1776929880452043</v>
      </c>
      <c r="I166" s="4">
        <f t="shared" ref="I166:I229" si="12">A166/3.6</f>
        <v>3.6111111111111112</v>
      </c>
    </row>
    <row r="167" spans="1:9" x14ac:dyDescent="0.2">
      <c r="A167" s="11">
        <v>13.1</v>
      </c>
      <c r="B167" s="15">
        <v>3.133</v>
      </c>
      <c r="C167" s="11">
        <f t="shared" si="9"/>
        <v>1697.6281903613399</v>
      </c>
      <c r="D167" s="11">
        <f t="shared" si="10"/>
        <v>39.594446195958078</v>
      </c>
      <c r="E167" s="11">
        <f t="shared" si="11"/>
        <v>816.06873838997558</v>
      </c>
      <c r="F167" s="11">
        <f>'Speed Calc'!B$5*E167</f>
        <v>734.46186455097802</v>
      </c>
      <c r="G167" s="15">
        <f>'Speed Calc'!G$3+'Speed Calc'!G$5*A167^2</f>
        <v>20</v>
      </c>
      <c r="H167" s="7">
        <f>(F167-G167)/'Speed Calc'!G$2*9.806</f>
        <v>5.1896392916939922</v>
      </c>
      <c r="I167" s="4">
        <f t="shared" si="12"/>
        <v>3.6388888888888888</v>
      </c>
    </row>
    <row r="168" spans="1:9" x14ac:dyDescent="0.2">
      <c r="A168" s="11">
        <v>13.2</v>
      </c>
      <c r="B168" s="15">
        <v>3.133</v>
      </c>
      <c r="C168" s="11">
        <f t="shared" si="9"/>
        <v>1710.5871841808917</v>
      </c>
      <c r="D168" s="11">
        <f t="shared" si="10"/>
        <v>39.984691070983374</v>
      </c>
      <c r="E168" s="11">
        <f t="shared" si="11"/>
        <v>817.86868099738729</v>
      </c>
      <c r="F168" s="11">
        <f>'Speed Calc'!B$5*E168</f>
        <v>736.08181289764855</v>
      </c>
      <c r="G168" s="15">
        <f>'Speed Calc'!G$3+'Speed Calc'!G$5*A168^2</f>
        <v>20</v>
      </c>
      <c r="H168" s="7">
        <f>(F168-G168)/'Speed Calc'!G$2*9.806</f>
        <v>5.2014061164995118</v>
      </c>
      <c r="I168" s="4">
        <f t="shared" si="12"/>
        <v>3.6666666666666665</v>
      </c>
    </row>
    <row r="169" spans="1:9" x14ac:dyDescent="0.2">
      <c r="A169" s="11">
        <v>13.3</v>
      </c>
      <c r="B169" s="15">
        <v>3.133</v>
      </c>
      <c r="C169" s="11">
        <f t="shared" si="9"/>
        <v>1723.5461780004443</v>
      </c>
      <c r="D169" s="11">
        <f t="shared" si="10"/>
        <v>40.374930206375858</v>
      </c>
      <c r="E169" s="11">
        <f t="shared" si="11"/>
        <v>819.64144027981058</v>
      </c>
      <c r="F169" s="11">
        <f>'Speed Calc'!B$5*E169</f>
        <v>737.67729625182949</v>
      </c>
      <c r="G169" s="15">
        <f>'Speed Calc'!G$3+'Speed Calc'!G$5*A169^2</f>
        <v>20</v>
      </c>
      <c r="H169" s="7">
        <f>(F169-G169)/'Speed Calc'!G$2*9.806</f>
        <v>5.2129952348484734</v>
      </c>
      <c r="I169" s="4">
        <f t="shared" si="12"/>
        <v>3.6944444444444446</v>
      </c>
    </row>
    <row r="170" spans="1:9" x14ac:dyDescent="0.2">
      <c r="A170" s="11">
        <v>13.4</v>
      </c>
      <c r="B170" s="15">
        <v>3.133</v>
      </c>
      <c r="C170" s="11">
        <f t="shared" si="9"/>
        <v>1736.5051718199966</v>
      </c>
      <c r="D170" s="11">
        <f t="shared" si="10"/>
        <v>40.765146798822173</v>
      </c>
      <c r="E170" s="11">
        <f t="shared" si="11"/>
        <v>821.38728624492421</v>
      </c>
      <c r="F170" s="11">
        <f>'Speed Calc'!B$5*E170</f>
        <v>739.24855762043182</v>
      </c>
      <c r="G170" s="15">
        <f>'Speed Calc'!G$3+'Speed Calc'!G$5*A170^2</f>
        <v>20</v>
      </c>
      <c r="H170" s="7">
        <f>(F170-G170)/'Speed Calc'!G$2*9.806</f>
        <v>5.2244084118710763</v>
      </c>
      <c r="I170" s="4">
        <f t="shared" si="12"/>
        <v>3.7222222222222223</v>
      </c>
    </row>
    <row r="171" spans="1:9" x14ac:dyDescent="0.2">
      <c r="A171" s="11">
        <v>13.5</v>
      </c>
      <c r="B171" s="15">
        <v>3.133</v>
      </c>
      <c r="C171" s="11">
        <f t="shared" ref="C171:C234" si="13">A171/3.6/B$23/2/PI()*B$32*B$31*B171*60</f>
        <v>1749.4641656395488</v>
      </c>
      <c r="D171" s="11">
        <f t="shared" si="10"/>
        <v>41.155324389520068</v>
      </c>
      <c r="E171" s="11">
        <f t="shared" si="11"/>
        <v>823.10648779040127</v>
      </c>
      <c r="F171" s="11">
        <f>'Speed Calc'!B$5*E171</f>
        <v>740.79583901136118</v>
      </c>
      <c r="G171" s="15">
        <f>'Speed Calc'!G$3+'Speed Calc'!G$5*A171^2</f>
        <v>20</v>
      </c>
      <c r="H171" s="7">
        <f>(F171-G171)/'Speed Calc'!G$2*9.806</f>
        <v>5.2356474054410427</v>
      </c>
      <c r="I171" s="4">
        <f t="shared" si="12"/>
        <v>3.75</v>
      </c>
    </row>
    <row r="172" spans="1:9" x14ac:dyDescent="0.2">
      <c r="A172" s="11">
        <v>13.6</v>
      </c>
      <c r="B172" s="15">
        <v>3.133</v>
      </c>
      <c r="C172" s="11">
        <f t="shared" si="13"/>
        <v>1762.4231594591004</v>
      </c>
      <c r="D172" s="11">
        <f t="shared" si="10"/>
        <v>41.545446862122532</v>
      </c>
      <c r="E172" s="11">
        <f t="shared" si="11"/>
        <v>824.79931270390318</v>
      </c>
      <c r="F172" s="11">
        <f>'Speed Calc'!B$5*E172</f>
        <v>742.31938143351283</v>
      </c>
      <c r="G172" s="15">
        <f>'Speed Calc'!G$3+'Speed Calc'!G$5*A172^2</f>
        <v>20</v>
      </c>
      <c r="H172" s="7">
        <f>(F172-G172)/'Speed Calc'!G$2*9.806</f>
        <v>5.2467139661755748</v>
      </c>
      <c r="I172" s="4">
        <f t="shared" si="12"/>
        <v>3.7777777777777777</v>
      </c>
    </row>
    <row r="173" spans="1:9" x14ac:dyDescent="0.2">
      <c r="A173" s="11">
        <v>13.7</v>
      </c>
      <c r="B173" s="15">
        <v>3.133</v>
      </c>
      <c r="C173" s="11">
        <f t="shared" si="13"/>
        <v>1775.3821532786526</v>
      </c>
      <c r="D173" s="11">
        <f t="shared" si="10"/>
        <v>41.935498440682466</v>
      </c>
      <c r="E173" s="11">
        <f t="shared" si="11"/>
        <v>826.46602766308513</v>
      </c>
      <c r="F173" s="11">
        <f>'Speed Calc'!B$5*E173</f>
        <v>743.81942489677658</v>
      </c>
      <c r="G173" s="15">
        <f>'Speed Calc'!G$3+'Speed Calc'!G$5*A173^2</f>
        <v>20</v>
      </c>
      <c r="H173" s="7">
        <f>(F173-G173)/'Speed Calc'!G$2*9.806</f>
        <v>5.2576098374354006</v>
      </c>
      <c r="I173" s="4">
        <f t="shared" si="12"/>
        <v>3.8055555555555554</v>
      </c>
    </row>
    <row r="174" spans="1:9" x14ac:dyDescent="0.2">
      <c r="A174" s="11">
        <v>13.8</v>
      </c>
      <c r="B174" s="15">
        <v>3.133</v>
      </c>
      <c r="C174" s="11">
        <f t="shared" si="13"/>
        <v>1788.3411470982055</v>
      </c>
      <c r="D174" s="11">
        <f t="shared" si="10"/>
        <v>42.325463687596944</v>
      </c>
      <c r="E174" s="11">
        <f t="shared" si="11"/>
        <v>828.10689823559233</v>
      </c>
      <c r="F174" s="11">
        <f>'Speed Calc'!B$5*E174</f>
        <v>745.29620841203314</v>
      </c>
      <c r="G174" s="15">
        <f>'Speed Calc'!G$3+'Speed Calc'!G$5*A174^2</f>
        <v>20</v>
      </c>
      <c r="H174" s="7">
        <f>(F174-G174)/'Speed Calc'!G$2*9.806</f>
        <v>5.2683367553247384</v>
      </c>
      <c r="I174" s="4">
        <f t="shared" si="12"/>
        <v>3.8333333333333335</v>
      </c>
    </row>
    <row r="175" spans="1:9" x14ac:dyDescent="0.2">
      <c r="A175" s="11">
        <v>13.9</v>
      </c>
      <c r="B175" s="15">
        <v>3.133</v>
      </c>
      <c r="C175" s="11">
        <f t="shared" si="13"/>
        <v>1801.3001409177568</v>
      </c>
      <c r="D175" s="11">
        <f t="shared" si="10"/>
        <v>42.715327501551641</v>
      </c>
      <c r="E175" s="11">
        <f t="shared" si="11"/>
        <v>829.72218887906104</v>
      </c>
      <c r="F175" s="11">
        <f>'Speed Calc'!B$5*E175</f>
        <v>746.7499699911549</v>
      </c>
      <c r="G175" s="15">
        <f>'Speed Calc'!G$3+'Speed Calc'!G$5*A175^2</f>
        <v>20</v>
      </c>
      <c r="H175" s="7">
        <f>(F175-G175)/'Speed Calc'!G$2*9.806</f>
        <v>5.2788964486913068</v>
      </c>
      <c r="I175" s="4">
        <f t="shared" si="12"/>
        <v>3.8611111111111112</v>
      </c>
    </row>
    <row r="176" spans="1:9" x14ac:dyDescent="0.2">
      <c r="A176" s="11">
        <v>14</v>
      </c>
      <c r="B176" s="15">
        <v>3.133</v>
      </c>
      <c r="C176" s="11">
        <f t="shared" si="13"/>
        <v>1814.2591347373095</v>
      </c>
      <c r="D176" s="11">
        <f t="shared" si="10"/>
        <v>43.105075115465453</v>
      </c>
      <c r="E176" s="11">
        <f t="shared" si="11"/>
        <v>831.3121629411196</v>
      </c>
      <c r="F176" s="11">
        <f>'Speed Calc'!B$5*E176</f>
        <v>748.18094664700766</v>
      </c>
      <c r="G176" s="15">
        <f>'Speed Calc'!G$3+'Speed Calc'!G$5*A176^2</f>
        <v>20</v>
      </c>
      <c r="H176" s="7">
        <f>(F176-G176)/'Speed Calc'!G$2*9.806</f>
        <v>5.2892906391263379</v>
      </c>
      <c r="I176" s="4">
        <f t="shared" si="12"/>
        <v>3.8888888888888888</v>
      </c>
    </row>
    <row r="177" spans="1:9" x14ac:dyDescent="0.2">
      <c r="A177" s="11">
        <v>14.1</v>
      </c>
      <c r="B177" s="15">
        <v>3.133</v>
      </c>
      <c r="C177" s="11">
        <f t="shared" si="13"/>
        <v>1827.2181285568615</v>
      </c>
      <c r="D177" s="11">
        <f t="shared" si="10"/>
        <v>43.494692094434697</v>
      </c>
      <c r="E177" s="11">
        <f t="shared" si="11"/>
        <v>832.87708265938795</v>
      </c>
      <c r="F177" s="11">
        <f>'Speed Calc'!B$5*E177</f>
        <v>749.58937439344913</v>
      </c>
      <c r="G177" s="15">
        <f>'Speed Calc'!G$3+'Speed Calc'!G$5*A177^2</f>
        <v>20</v>
      </c>
      <c r="H177" s="7">
        <f>(F177-G177)/'Speed Calc'!G$2*9.806</f>
        <v>5.2995210409645646</v>
      </c>
      <c r="I177" s="4">
        <f t="shared" si="12"/>
        <v>3.9166666666666665</v>
      </c>
    </row>
    <row r="178" spans="1:9" x14ac:dyDescent="0.2">
      <c r="A178" s="11">
        <v>14.2</v>
      </c>
      <c r="B178" s="15">
        <v>3.133</v>
      </c>
      <c r="C178" s="11">
        <f t="shared" si="13"/>
        <v>1840.1771223764135</v>
      </c>
      <c r="D178" s="11">
        <f t="shared" si="10"/>
        <v>43.884164333677631</v>
      </c>
      <c r="E178" s="11">
        <f t="shared" si="11"/>
        <v>834.41720916147619</v>
      </c>
      <c r="F178" s="11">
        <f>'Speed Calc'!B$5*E178</f>
        <v>750.97548824532862</v>
      </c>
      <c r="G178" s="15">
        <f>'Speed Calc'!G$3+'Speed Calc'!G$5*A178^2</f>
        <v>20</v>
      </c>
      <c r="H178" s="7">
        <f>(F178-G178)/'Speed Calc'!G$2*9.806</f>
        <v>5.3095893612842158</v>
      </c>
      <c r="I178" s="4">
        <f t="shared" si="12"/>
        <v>3.9444444444444442</v>
      </c>
    </row>
    <row r="179" spans="1:9" x14ac:dyDescent="0.2">
      <c r="A179" s="11">
        <v>14.3</v>
      </c>
      <c r="B179" s="15">
        <v>3.133</v>
      </c>
      <c r="C179" s="11">
        <f t="shared" si="13"/>
        <v>1853.1361161959662</v>
      </c>
      <c r="D179" s="11">
        <f t="shared" si="10"/>
        <v>44.273478056478936</v>
      </c>
      <c r="E179" s="11">
        <f t="shared" si="11"/>
        <v>835.93280246498705</v>
      </c>
      <c r="F179" s="11">
        <f>'Speed Calc'!B$5*E179</f>
        <v>752.33952221848836</v>
      </c>
      <c r="G179" s="15">
        <f>'Speed Calc'!G$3+'Speed Calc'!G$5*A179^2</f>
        <v>20</v>
      </c>
      <c r="H179" s="7">
        <f>(F179-G179)/'Speed Calc'!G$2*9.806</f>
        <v>5.3194972999070345</v>
      </c>
      <c r="I179" s="4">
        <f t="shared" si="12"/>
        <v>3.9722222222222223</v>
      </c>
    </row>
    <row r="180" spans="1:9" x14ac:dyDescent="0.2">
      <c r="A180" s="11">
        <v>14.4</v>
      </c>
      <c r="B180" s="15">
        <v>3.133</v>
      </c>
      <c r="C180" s="11">
        <f t="shared" si="13"/>
        <v>1866.0951100155182</v>
      </c>
      <c r="D180" s="11">
        <f t="shared" si="10"/>
        <v>44.662619812134032</v>
      </c>
      <c r="E180" s="11">
        <f t="shared" si="11"/>
        <v>837.42412147751315</v>
      </c>
      <c r="F180" s="11">
        <f>'Speed Calc'!B$5*E180</f>
        <v>753.68170932976182</v>
      </c>
      <c r="G180" s="15">
        <f>'Speed Calc'!G$3+'Speed Calc'!G$5*A180^2</f>
        <v>20</v>
      </c>
      <c r="H180" s="7">
        <f>(F180-G180)/'Speed Calc'!G$2*9.806</f>
        <v>5.3292465493982544</v>
      </c>
      <c r="I180" s="4">
        <f t="shared" si="12"/>
        <v>4</v>
      </c>
    </row>
    <row r="181" spans="1:9" x14ac:dyDescent="0.2">
      <c r="A181" s="11">
        <v>14.5</v>
      </c>
      <c r="B181" s="15">
        <v>3.133</v>
      </c>
      <c r="C181" s="11">
        <f t="shared" si="13"/>
        <v>1879.0541038350702</v>
      </c>
      <c r="D181" s="11">
        <f t="shared" si="10"/>
        <v>45.051576473893618</v>
      </c>
      <c r="E181" s="11">
        <f t="shared" si="11"/>
        <v>838.89142399664001</v>
      </c>
      <c r="F181" s="11">
        <f>'Speed Calc'!B$5*E181</f>
        <v>755.00228159697599</v>
      </c>
      <c r="G181" s="15">
        <f>'Speed Calc'!G$3+'Speed Calc'!G$5*A181^2</f>
        <v>20</v>
      </c>
      <c r="H181" s="7">
        <f>(F181-G181)/'Speed Calc'!G$2*9.806</f>
        <v>5.3388387950666267</v>
      </c>
      <c r="I181" s="4">
        <f t="shared" si="12"/>
        <v>4.0277777777777777</v>
      </c>
    </row>
    <row r="182" spans="1:9" x14ac:dyDescent="0.2">
      <c r="A182" s="11">
        <v>14.6</v>
      </c>
      <c r="B182" s="15">
        <v>3.133</v>
      </c>
      <c r="C182" s="11">
        <f t="shared" si="13"/>
        <v>1892.0130976546225</v>
      </c>
      <c r="D182" s="11">
        <f t="shared" si="10"/>
        <v>45.440335236908048</v>
      </c>
      <c r="E182" s="11">
        <f t="shared" si="11"/>
        <v>840.33496670994361</v>
      </c>
      <c r="F182" s="11">
        <f>'Speed Calc'!B$5*E182</f>
        <v>756.30147003894922</v>
      </c>
      <c r="G182" s="15">
        <f>'Speed Calc'!G$3+'Speed Calc'!G$5*A182^2</f>
        <v>20</v>
      </c>
      <c r="H182" s="7">
        <f>(F182-G182)/'Speed Calc'!G$2*9.806</f>
        <v>5.3482757149643962</v>
      </c>
      <c r="I182" s="4">
        <f t="shared" si="12"/>
        <v>4.0555555555555554</v>
      </c>
    </row>
    <row r="183" spans="1:9" x14ac:dyDescent="0.2">
      <c r="A183" s="11">
        <v>14.7</v>
      </c>
      <c r="B183" s="15">
        <v>3.133</v>
      </c>
      <c r="C183" s="11">
        <f t="shared" si="13"/>
        <v>1904.9720914741749</v>
      </c>
      <c r="D183" s="11">
        <f t="shared" si="10"/>
        <v>45.828883616171709</v>
      </c>
      <c r="E183" s="11">
        <f t="shared" si="11"/>
        <v>841.75500519499053</v>
      </c>
      <c r="F183" s="11">
        <f>'Speed Calc'!B$5*E183</f>
        <v>757.57950467549153</v>
      </c>
      <c r="G183" s="15">
        <f>'Speed Calc'!G$3+'Speed Calc'!G$5*A183^2</f>
        <v>20</v>
      </c>
      <c r="H183" s="7">
        <f>(F183-G183)/'Speed Calc'!G$2*9.806</f>
        <v>5.3575589798873109</v>
      </c>
      <c r="I183" s="4">
        <f t="shared" si="12"/>
        <v>4.083333333333333</v>
      </c>
    </row>
    <row r="184" spans="1:9" x14ac:dyDescent="0.2">
      <c r="A184" s="11">
        <v>14.8</v>
      </c>
      <c r="B184" s="15">
        <v>3.133</v>
      </c>
      <c r="C184" s="11">
        <f t="shared" si="13"/>
        <v>1917.9310852937276</v>
      </c>
      <c r="D184" s="11">
        <f t="shared" si="10"/>
        <v>46.217209444467564</v>
      </c>
      <c r="E184" s="11">
        <f t="shared" si="11"/>
        <v>843.15179391934043</v>
      </c>
      <c r="F184" s="11">
        <f>'Speed Calc'!B$5*E184</f>
        <v>758.83661452740637</v>
      </c>
      <c r="G184" s="15">
        <f>'Speed Calc'!G$3+'Speed Calc'!G$5*A184^2</f>
        <v>20</v>
      </c>
      <c r="H184" s="7">
        <f>(F184-G184)/'Speed Calc'!G$2*9.806</f>
        <v>5.3666902533746272</v>
      </c>
      <c r="I184" s="4">
        <f t="shared" si="12"/>
        <v>4.1111111111111116</v>
      </c>
    </row>
    <row r="185" spans="1:9" x14ac:dyDescent="0.2">
      <c r="A185" s="11">
        <v>14.9</v>
      </c>
      <c r="B185" s="15">
        <v>3.133</v>
      </c>
      <c r="C185" s="11">
        <f t="shared" si="13"/>
        <v>1930.8900791132792</v>
      </c>
      <c r="D185" s="11">
        <f t="shared" si="10"/>
        <v>46.605300870311446</v>
      </c>
      <c r="E185" s="11">
        <f t="shared" si="11"/>
        <v>844.52558624054313</v>
      </c>
      <c r="F185" s="11">
        <f>'Speed Calc'!B$5*E185</f>
        <v>760.07302761648884</v>
      </c>
      <c r="G185" s="15">
        <f>'Speed Calc'!G$3+'Speed Calc'!G$5*A185^2</f>
        <v>20</v>
      </c>
      <c r="H185" s="7">
        <f>(F185-G185)/'Speed Calc'!G$2*9.806</f>
        <v>5.3756711917091033</v>
      </c>
      <c r="I185" s="4">
        <f t="shared" si="12"/>
        <v>4.1388888888888893</v>
      </c>
    </row>
    <row r="186" spans="1:9" x14ac:dyDescent="0.2">
      <c r="A186" s="11">
        <v>15</v>
      </c>
      <c r="B186" s="15">
        <v>3.133</v>
      </c>
      <c r="C186" s="11">
        <f t="shared" si="13"/>
        <v>1943.8490729328321</v>
      </c>
      <c r="D186" s="11">
        <f t="shared" si="10"/>
        <v>46.993146355896641</v>
      </c>
      <c r="E186" s="11">
        <f t="shared" si="11"/>
        <v>845.87663440613915</v>
      </c>
      <c r="F186" s="11">
        <f>'Speed Calc'!B$5*E186</f>
        <v>761.28897096552521</v>
      </c>
      <c r="G186" s="15">
        <f>'Speed Calc'!G$3+'Speed Calc'!G$5*A186^2</f>
        <v>20</v>
      </c>
      <c r="H186" s="7">
        <f>(F186-G186)/'Speed Calc'!G$2*9.806</f>
        <v>5.3845034439169925</v>
      </c>
      <c r="I186" s="4">
        <f t="shared" si="12"/>
        <v>4.166666666666667</v>
      </c>
    </row>
    <row r="187" spans="1:9" x14ac:dyDescent="0.2">
      <c r="A187" s="11">
        <v>15.1</v>
      </c>
      <c r="B187" s="15">
        <v>3.133</v>
      </c>
      <c r="C187" s="11">
        <f t="shared" si="13"/>
        <v>1956.8080667523836</v>
      </c>
      <c r="D187" s="11">
        <f t="shared" si="10"/>
        <v>47.380734675038163</v>
      </c>
      <c r="E187" s="11">
        <f t="shared" si="11"/>
        <v>847.20518955366265</v>
      </c>
      <c r="F187" s="11">
        <f>'Speed Calc'!B$5*E187</f>
        <v>762.48467059829636</v>
      </c>
      <c r="G187" s="15">
        <f>'Speed Calc'!G$3+'Speed Calc'!G$5*A187^2</f>
        <v>20</v>
      </c>
      <c r="H187" s="7">
        <f>(F187-G187)/'Speed Calc'!G$2*9.806</f>
        <v>5.3931886517680692</v>
      </c>
      <c r="I187" s="4">
        <f t="shared" si="12"/>
        <v>4.1944444444444446</v>
      </c>
    </row>
    <row r="188" spans="1:9" x14ac:dyDescent="0.2">
      <c r="A188" s="11">
        <v>15.2</v>
      </c>
      <c r="B188" s="15">
        <v>3.133</v>
      </c>
      <c r="C188" s="11">
        <f t="shared" si="13"/>
        <v>1969.7670605719359</v>
      </c>
      <c r="D188" s="11">
        <f t="shared" si="10"/>
        <v>47.768054911117318</v>
      </c>
      <c r="E188" s="11">
        <f t="shared" si="11"/>
        <v>848.51150171063659</v>
      </c>
      <c r="F188" s="11">
        <f>'Speed Calc'!B$5*E188</f>
        <v>763.66035153957296</v>
      </c>
      <c r="G188" s="15">
        <f>'Speed Calc'!G$3+'Speed Calc'!G$5*A188^2</f>
        <v>20</v>
      </c>
      <c r="H188" s="7">
        <f>(F188-G188)/'Speed Calc'!G$2*9.806</f>
        <v>5.401728449775594</v>
      </c>
      <c r="I188" s="4">
        <f t="shared" si="12"/>
        <v>4.2222222222222223</v>
      </c>
    </row>
    <row r="189" spans="1:9" x14ac:dyDescent="0.2">
      <c r="A189" s="11">
        <v>15.3</v>
      </c>
      <c r="B189" s="15">
        <v>3.133</v>
      </c>
      <c r="C189" s="11">
        <f t="shared" si="13"/>
        <v>1982.7260543914888</v>
      </c>
      <c r="D189" s="11">
        <f t="shared" si="10"/>
        <v>48.155096455026033</v>
      </c>
      <c r="E189" s="11">
        <f t="shared" si="11"/>
        <v>849.79581979457691</v>
      </c>
      <c r="F189" s="11">
        <f>'Speed Calc'!B$5*E189</f>
        <v>764.81623781511928</v>
      </c>
      <c r="G189" s="15">
        <f>'Speed Calc'!G$3+'Speed Calc'!G$5*A189^2</f>
        <v>20</v>
      </c>
      <c r="H189" s="7">
        <f>(F189-G189)/'Speed Calc'!G$2*9.806</f>
        <v>5.4101244651963398</v>
      </c>
      <c r="I189" s="4">
        <f t="shared" si="12"/>
        <v>4.25</v>
      </c>
    </row>
    <row r="190" spans="1:9" x14ac:dyDescent="0.2">
      <c r="A190" s="11">
        <v>15.4</v>
      </c>
      <c r="B190" s="15">
        <v>3.133</v>
      </c>
      <c r="C190" s="11">
        <f t="shared" si="13"/>
        <v>1995.6850482110408</v>
      </c>
      <c r="D190" s="11">
        <f t="shared" si="10"/>
        <v>48.541849003111253</v>
      </c>
      <c r="E190" s="11">
        <f t="shared" si="11"/>
        <v>851.05839161298934</v>
      </c>
      <c r="F190" s="11">
        <f>'Speed Calc'!B$5*E190</f>
        <v>765.95255245169039</v>
      </c>
      <c r="G190" s="15">
        <f>'Speed Calc'!G$3+'Speed Calc'!G$5*A190^2</f>
        <v>20</v>
      </c>
      <c r="H190" s="7">
        <f>(F190-G190)/'Speed Calc'!G$2*9.806</f>
        <v>5.418378318030574</v>
      </c>
      <c r="I190" s="4">
        <f t="shared" si="12"/>
        <v>4.2777777777777777</v>
      </c>
    </row>
    <row r="191" spans="1:9" x14ac:dyDescent="0.2">
      <c r="A191" s="11">
        <v>15.5</v>
      </c>
      <c r="B191" s="15">
        <v>3.133</v>
      </c>
      <c r="C191" s="11">
        <f t="shared" si="13"/>
        <v>2008.6440420305926</v>
      </c>
      <c r="D191" s="11">
        <f t="shared" si="10"/>
        <v>48.928302555119544</v>
      </c>
      <c r="E191" s="11">
        <f t="shared" si="11"/>
        <v>852.29946386337269</v>
      </c>
      <c r="F191" s="11">
        <f>'Speed Calc'!B$5*E191</f>
        <v>767.06951747703545</v>
      </c>
      <c r="G191" s="15">
        <f>'Speed Calc'!G$3+'Speed Calc'!G$5*A191^2</f>
        <v>20</v>
      </c>
      <c r="H191" s="7">
        <f>(F191-G191)/'Speed Calc'!G$2*9.806</f>
        <v>5.4264916210220813</v>
      </c>
      <c r="I191" s="4">
        <f t="shared" si="12"/>
        <v>4.3055555555555554</v>
      </c>
    </row>
    <row r="192" spans="1:9" x14ac:dyDescent="0.2">
      <c r="A192" s="11">
        <v>15.6</v>
      </c>
      <c r="B192" s="15">
        <v>3.133</v>
      </c>
      <c r="C192" s="11">
        <f t="shared" si="13"/>
        <v>2021.6030358501446</v>
      </c>
      <c r="D192" s="11">
        <f t="shared" si="10"/>
        <v>49.314447412141362</v>
      </c>
      <c r="E192" s="11">
        <f t="shared" si="11"/>
        <v>853.51928213321617</v>
      </c>
      <c r="F192" s="11">
        <f>'Speed Calc'!B$5*E192</f>
        <v>768.16735391989459</v>
      </c>
      <c r="G192" s="15">
        <f>'Speed Calc'!G$3+'Speed Calc'!G$5*A192^2</f>
        <v>20</v>
      </c>
      <c r="H192" s="7">
        <f>(F192-G192)/'Speed Calc'!G$2*9.806</f>
        <v>5.4344659796581372</v>
      </c>
      <c r="I192" s="4">
        <f t="shared" si="12"/>
        <v>4.333333333333333</v>
      </c>
    </row>
    <row r="193" spans="1:9" x14ac:dyDescent="0.2">
      <c r="A193" s="11">
        <v>15.7</v>
      </c>
      <c r="B193" s="15">
        <v>3.133</v>
      </c>
      <c r="C193" s="11">
        <f t="shared" si="13"/>
        <v>2034.5620296696966</v>
      </c>
      <c r="D193" s="11">
        <f t="shared" si="10"/>
        <v>49.700274174555538</v>
      </c>
      <c r="E193" s="11">
        <f t="shared" si="11"/>
        <v>854.71809089999999</v>
      </c>
      <c r="F193" s="11">
        <f>'Speed Calc'!B$5*E193</f>
        <v>769.24628181000003</v>
      </c>
      <c r="G193" s="15">
        <f>'Speed Calc'!G$3+'Speed Calc'!G$5*A193^2</f>
        <v>20</v>
      </c>
      <c r="H193" s="7">
        <f>(F193-G193)/'Speed Calc'!G$2*9.806</f>
        <v>5.442302992169525</v>
      </c>
      <c r="I193" s="4">
        <f t="shared" si="12"/>
        <v>4.3611111111111107</v>
      </c>
    </row>
    <row r="194" spans="1:9" x14ac:dyDescent="0.2">
      <c r="A194" s="11">
        <v>15.8</v>
      </c>
      <c r="B194" s="15">
        <v>3.133</v>
      </c>
      <c r="C194" s="11">
        <f t="shared" si="13"/>
        <v>2047.5210234892493</v>
      </c>
      <c r="D194" s="11">
        <f t="shared" si="10"/>
        <v>50.085773739973739</v>
      </c>
      <c r="E194" s="11">
        <f t="shared" si="11"/>
        <v>855.89613353119682</v>
      </c>
      <c r="F194" s="11">
        <f>'Speed Calc'!B$5*E194</f>
        <v>770.30652017807711</v>
      </c>
      <c r="G194" s="15">
        <f>'Speed Calc'!G$3+'Speed Calc'!G$5*A194^2</f>
        <v>20</v>
      </c>
      <c r="H194" s="7">
        <f>(F194-G194)/'Speed Calc'!G$2*9.806</f>
        <v>5.4500042495305365</v>
      </c>
      <c r="I194" s="4">
        <f t="shared" si="12"/>
        <v>4.3888888888888893</v>
      </c>
    </row>
    <row r="195" spans="1:9" x14ac:dyDescent="0.2">
      <c r="A195" s="11">
        <v>15.9</v>
      </c>
      <c r="B195" s="15">
        <v>3.133</v>
      </c>
      <c r="C195" s="11">
        <f t="shared" si="13"/>
        <v>2060.4800173088015</v>
      </c>
      <c r="D195" s="11">
        <f t="shared" si="10"/>
        <v>50.470937301184733</v>
      </c>
      <c r="E195" s="11">
        <f t="shared" si="11"/>
        <v>857.05365228426911</v>
      </c>
      <c r="F195" s="11">
        <f>'Speed Calc'!B$5*E195</f>
        <v>771.34828705584221</v>
      </c>
      <c r="G195" s="15">
        <f>'Speed Calc'!G$3+'Speed Calc'!G$5*A195^2</f>
        <v>20</v>
      </c>
      <c r="H195" s="7">
        <f>(F195-G195)/'Speed Calc'!G$2*9.806</f>
        <v>5.4575713354589546</v>
      </c>
      <c r="I195" s="4">
        <f t="shared" si="12"/>
        <v>4.416666666666667</v>
      </c>
    </row>
    <row r="196" spans="1:9" x14ac:dyDescent="0.2">
      <c r="A196" s="11">
        <v>16</v>
      </c>
      <c r="B196" s="15">
        <v>3.133</v>
      </c>
      <c r="C196" s="11">
        <f t="shared" si="13"/>
        <v>2073.4390111283542</v>
      </c>
      <c r="D196" s="11">
        <f t="shared" si="10"/>
        <v>50.855756344099106</v>
      </c>
      <c r="E196" s="11">
        <f t="shared" si="11"/>
        <v>858.19088830667226</v>
      </c>
      <c r="F196" s="11">
        <f>'Speed Calc'!B$5*E196</f>
        <v>772.37179947600509</v>
      </c>
      <c r="G196" s="15">
        <f>'Speed Calc'!G$3+'Speed Calc'!G$5*A196^2</f>
        <v>20</v>
      </c>
      <c r="H196" s="7">
        <f>(F196-G196)/'Speed Calc'!G$2*9.806</f>
        <v>5.4650058264160783</v>
      </c>
      <c r="I196" s="4">
        <f t="shared" si="12"/>
        <v>4.4444444444444446</v>
      </c>
    </row>
    <row r="197" spans="1:9" x14ac:dyDescent="0.2">
      <c r="A197" s="11">
        <v>16.100000000000001</v>
      </c>
      <c r="B197" s="15">
        <v>3.133</v>
      </c>
      <c r="C197" s="11">
        <f t="shared" si="13"/>
        <v>2086.398004947906</v>
      </c>
      <c r="D197" s="11">
        <f t="shared" si="10"/>
        <v>51.240222645693379</v>
      </c>
      <c r="E197" s="11">
        <f t="shared" si="11"/>
        <v>859.30808163585164</v>
      </c>
      <c r="F197" s="11">
        <f>'Speed Calc'!B$5*E197</f>
        <v>773.37727347226644</v>
      </c>
      <c r="G197" s="15">
        <f>'Speed Calc'!G$3+'Speed Calc'!G$5*A197^2</f>
        <v>20</v>
      </c>
      <c r="H197" s="7">
        <f>(F197-G197)/'Speed Calc'!G$2*9.806</f>
        <v>5.4723092916066998</v>
      </c>
      <c r="I197" s="4">
        <f t="shared" si="12"/>
        <v>4.4722222222222223</v>
      </c>
    </row>
    <row r="198" spans="1:9" x14ac:dyDescent="0.2">
      <c r="A198" s="11">
        <v>16.2</v>
      </c>
      <c r="B198" s="15">
        <v>3.133</v>
      </c>
      <c r="C198" s="11">
        <f t="shared" si="13"/>
        <v>2099.3569987674582</v>
      </c>
      <c r="D198" s="11">
        <f t="shared" si="10"/>
        <v>51.624328271954688</v>
      </c>
      <c r="E198" s="11">
        <f t="shared" si="11"/>
        <v>860.40547119924463</v>
      </c>
      <c r="F198" s="11">
        <f>'Speed Calc'!B$5*E198</f>
        <v>774.36492407932019</v>
      </c>
      <c r="G198" s="15">
        <f>'Speed Calc'!G$3+'Speed Calc'!G$5*A198^2</f>
        <v>20</v>
      </c>
      <c r="H198" s="7">
        <f>(F198-G198)/'Speed Calc'!G$2*9.806</f>
        <v>5.4794832929791211</v>
      </c>
      <c r="I198" s="4">
        <f t="shared" si="12"/>
        <v>4.5</v>
      </c>
    </row>
    <row r="199" spans="1:9" x14ac:dyDescent="0.2">
      <c r="A199" s="11">
        <v>16.3</v>
      </c>
      <c r="B199" s="15">
        <v>3.133</v>
      </c>
      <c r="C199" s="11">
        <f t="shared" si="13"/>
        <v>2112.3159925870104</v>
      </c>
      <c r="D199" s="11">
        <f t="shared" si="10"/>
        <v>52.008065575825071</v>
      </c>
      <c r="E199" s="11">
        <f t="shared" si="11"/>
        <v>861.48329481428027</v>
      </c>
      <c r="F199" s="11">
        <f>'Speed Calc'!B$5*E199</f>
        <v>775.33496533285222</v>
      </c>
      <c r="G199" s="15">
        <f>'Speed Calc'!G$3+'Speed Calc'!G$5*A199^2</f>
        <v>20</v>
      </c>
      <c r="H199" s="7">
        <f>(F199-G199)/'Speed Calc'!G$2*9.806</f>
        <v>5.4865293852251469</v>
      </c>
      <c r="I199" s="4">
        <f t="shared" si="12"/>
        <v>4.5277777777777777</v>
      </c>
    </row>
    <row r="200" spans="1:9" x14ac:dyDescent="0.2">
      <c r="A200" s="11">
        <v>16.399999999999999</v>
      </c>
      <c r="B200" s="15">
        <v>3.133</v>
      </c>
      <c r="C200" s="11">
        <f t="shared" si="13"/>
        <v>2125.2749864065622</v>
      </c>
      <c r="D200" s="11">
        <f t="shared" si="10"/>
        <v>52.391427195145916</v>
      </c>
      <c r="E200" s="11">
        <f t="shared" si="11"/>
        <v>862.54178918837783</v>
      </c>
      <c r="F200" s="11">
        <f>'Speed Calc'!B$5*E200</f>
        <v>776.2876102695401</v>
      </c>
      <c r="G200" s="15">
        <f>'Speed Calc'!G$3+'Speed Calc'!G$5*A200^2</f>
        <v>20</v>
      </c>
      <c r="H200" s="7">
        <f>(F200-G200)/'Speed Calc'!G$2*9.806</f>
        <v>5.4934491157800815</v>
      </c>
      <c r="I200" s="4">
        <f t="shared" si="12"/>
        <v>4.5555555555555554</v>
      </c>
    </row>
    <row r="201" spans="1:9" x14ac:dyDescent="0.2">
      <c r="A201" s="11">
        <v>16.5</v>
      </c>
      <c r="B201" s="15">
        <v>3.133</v>
      </c>
      <c r="C201" s="11">
        <f t="shared" si="13"/>
        <v>2138.2339802261145</v>
      </c>
      <c r="D201" s="11">
        <f t="shared" si="10"/>
        <v>52.774406050602408</v>
      </c>
      <c r="E201" s="11">
        <f t="shared" si="11"/>
        <v>863.58118991894867</v>
      </c>
      <c r="F201" s="11">
        <f>'Speed Calc'!B$5*E201</f>
        <v>777.22307092705387</v>
      </c>
      <c r="G201" s="15">
        <f>'Speed Calc'!G$3+'Speed Calc'!G$5*A201^2</f>
        <v>20</v>
      </c>
      <c r="H201" s="7">
        <f>(F201-G201)/'Speed Calc'!G$2*9.806</f>
        <v>5.5002440248227327</v>
      </c>
      <c r="I201" s="4">
        <f t="shared" si="12"/>
        <v>4.583333333333333</v>
      </c>
    </row>
    <row r="202" spans="1:9" x14ac:dyDescent="0.2">
      <c r="A202" s="11">
        <v>16.600000000000001</v>
      </c>
      <c r="B202" s="15">
        <v>3.133</v>
      </c>
      <c r="C202" s="11">
        <f t="shared" si="13"/>
        <v>2151.1929740456671</v>
      </c>
      <c r="D202" s="11">
        <f t="shared" si="10"/>
        <v>53.156995343668036</v>
      </c>
      <c r="E202" s="11">
        <f t="shared" si="11"/>
        <v>864.60173149339573</v>
      </c>
      <c r="F202" s="11">
        <f>'Speed Calc'!B$5*E202</f>
        <v>778.14155834405619</v>
      </c>
      <c r="G202" s="15">
        <f>'Speed Calc'!G$3+'Speed Calc'!G$5*A202^2</f>
        <v>20</v>
      </c>
      <c r="H202" s="7">
        <f>(F202-G202)/'Speed Calc'!G$2*9.806</f>
        <v>5.5069156452754182</v>
      </c>
      <c r="I202" s="4">
        <f t="shared" si="12"/>
        <v>4.6111111111111116</v>
      </c>
    </row>
    <row r="203" spans="1:9" x14ac:dyDescent="0.2">
      <c r="A203" s="11">
        <v>16.7</v>
      </c>
      <c r="B203" s="15">
        <v>3.133</v>
      </c>
      <c r="C203" s="11">
        <f t="shared" si="13"/>
        <v>2164.1519678652189</v>
      </c>
      <c r="D203" s="11">
        <f t="shared" si="10"/>
        <v>53.539188554548815</v>
      </c>
      <c r="E203" s="11">
        <f t="shared" si="11"/>
        <v>865.60364728911259</v>
      </c>
      <c r="F203" s="11">
        <f>'Speed Calc'!B$5*E203</f>
        <v>779.04328256020131</v>
      </c>
      <c r="G203" s="15">
        <f>'Speed Calc'!G$3+'Speed Calc'!G$5*A203^2</f>
        <v>20</v>
      </c>
      <c r="H203" s="7">
        <f>(F203-G203)/'Speed Calc'!G$2*9.806</f>
        <v>5.5134655028039514</v>
      </c>
      <c r="I203" s="4">
        <f t="shared" si="12"/>
        <v>4.6388888888888884</v>
      </c>
    </row>
    <row r="204" spans="1:9" x14ac:dyDescent="0.2">
      <c r="A204" s="11">
        <v>16.8</v>
      </c>
      <c r="B204" s="15">
        <v>3.133</v>
      </c>
      <c r="C204" s="11">
        <f t="shared" si="13"/>
        <v>2177.1109616847716</v>
      </c>
      <c r="D204" s="11">
        <f t="shared" si="10"/>
        <v>53.920979440127937</v>
      </c>
      <c r="E204" s="11">
        <f t="shared" si="11"/>
        <v>866.58716957348474</v>
      </c>
      <c r="F204" s="11">
        <f>'Speed Calc'!B$5*E204</f>
        <v>779.92845261613627</v>
      </c>
      <c r="G204" s="15">
        <f>'Speed Calc'!G$3+'Speed Calc'!G$5*A204^2</f>
        <v>20</v>
      </c>
      <c r="H204" s="7">
        <f>(F204-G204)/'Speed Calc'!G$2*9.806</f>
        <v>5.5198951158176532</v>
      </c>
      <c r="I204" s="4">
        <f t="shared" si="12"/>
        <v>4.666666666666667</v>
      </c>
    </row>
    <row r="205" spans="1:9" x14ac:dyDescent="0.2">
      <c r="A205" s="11">
        <v>16.899999999999999</v>
      </c>
      <c r="B205" s="15">
        <v>3.133</v>
      </c>
      <c r="C205" s="11">
        <f t="shared" si="13"/>
        <v>2190.0699555043234</v>
      </c>
      <c r="D205" s="11">
        <f t="shared" si="10"/>
        <v>54.302362031910008</v>
      </c>
      <c r="E205" s="11">
        <f t="shared" si="11"/>
        <v>867.55252950388785</v>
      </c>
      <c r="F205" s="11">
        <f>'Speed Calc'!B$5*E205</f>
        <v>780.79727655349905</v>
      </c>
      <c r="G205" s="15">
        <f>'Speed Calc'!G$3+'Speed Calc'!G$5*A205^2</f>
        <v>20</v>
      </c>
      <c r="H205" s="7">
        <f>(F205-G205)/'Speed Calc'!G$2*9.806</f>
        <v>5.5262059954693417</v>
      </c>
      <c r="I205" s="4">
        <f t="shared" si="12"/>
        <v>4.6944444444444438</v>
      </c>
    </row>
    <row r="206" spans="1:9" x14ac:dyDescent="0.2">
      <c r="A206" s="11">
        <v>17</v>
      </c>
      <c r="B206" s="15">
        <v>3.133</v>
      </c>
      <c r="C206" s="11">
        <f t="shared" si="13"/>
        <v>2203.0289493238761</v>
      </c>
      <c r="D206" s="11">
        <f t="shared" si="10"/>
        <v>54.68333063396571</v>
      </c>
      <c r="E206" s="11">
        <f t="shared" si="11"/>
        <v>868.49995712769055</v>
      </c>
      <c r="F206" s="11">
        <f>'Speed Calc'!B$5*E206</f>
        <v>781.64996141492156</v>
      </c>
      <c r="G206" s="15">
        <f>'Speed Calc'!G$3+'Speed Calc'!G$5*A206^2</f>
        <v>20</v>
      </c>
      <c r="H206" s="7">
        <f>(F206-G206)/'Speed Calc'!G$2*9.806</f>
        <v>5.5323996456553486</v>
      </c>
      <c r="I206" s="4">
        <f t="shared" si="12"/>
        <v>4.7222222222222223</v>
      </c>
    </row>
    <row r="207" spans="1:9" x14ac:dyDescent="0.2">
      <c r="A207" s="11">
        <v>17.100000000000001</v>
      </c>
      <c r="B207" s="15">
        <v>3.133</v>
      </c>
      <c r="C207" s="11">
        <f t="shared" si="13"/>
        <v>2215.9879431434279</v>
      </c>
      <c r="D207" s="11">
        <f t="shared" si="10"/>
        <v>55.063879820875961</v>
      </c>
      <c r="E207" s="11">
        <f t="shared" si="11"/>
        <v>869.42968138225217</v>
      </c>
      <c r="F207" s="11">
        <f>'Speed Calc'!B$5*E207</f>
        <v>782.48671324402699</v>
      </c>
      <c r="G207" s="15">
        <f>'Speed Calc'!G$3+'Speed Calc'!G$5*A207^2</f>
        <v>20</v>
      </c>
      <c r="H207" s="7">
        <f>(F207-G207)/'Speed Calc'!G$2*9.806</f>
        <v>5.5384775630155021</v>
      </c>
      <c r="I207" s="4">
        <f t="shared" si="12"/>
        <v>4.75</v>
      </c>
    </row>
    <row r="208" spans="1:9" x14ac:dyDescent="0.2">
      <c r="A208" s="11">
        <v>17.2</v>
      </c>
      <c r="B208" s="15">
        <v>3.133</v>
      </c>
      <c r="C208" s="11">
        <f t="shared" si="13"/>
        <v>2228.9469369629801</v>
      </c>
      <c r="D208" s="11">
        <f t="shared" si="10"/>
        <v>55.444004435676547</v>
      </c>
      <c r="E208" s="11">
        <f t="shared" si="11"/>
        <v>870.34193009492265</v>
      </c>
      <c r="F208" s="11">
        <f>'Speed Calc'!B$5*E208</f>
        <v>783.3077370854304</v>
      </c>
      <c r="G208" s="15">
        <f>'Speed Calc'!G$3+'Speed Calc'!G$5*A208^2</f>
        <v>20</v>
      </c>
      <c r="H208" s="7">
        <f>(F208-G208)/'Speed Calc'!G$2*9.806</f>
        <v>5.5444412369331335</v>
      </c>
      <c r="I208" s="4">
        <f t="shared" si="12"/>
        <v>4.7777777777777777</v>
      </c>
    </row>
    <row r="209" spans="1:9" x14ac:dyDescent="0.2">
      <c r="A209" s="11">
        <v>17.3</v>
      </c>
      <c r="B209" s="15">
        <v>3.133</v>
      </c>
      <c r="C209" s="11">
        <f t="shared" si="13"/>
        <v>2241.9059307825323</v>
      </c>
      <c r="D209" s="11">
        <f t="shared" si="10"/>
        <v>55.823699587802459</v>
      </c>
      <c r="E209" s="11">
        <f t="shared" si="11"/>
        <v>871.23692998304432</v>
      </c>
      <c r="F209" s="11">
        <f>'Speed Calc'!B$5*E209</f>
        <v>784.11323698473996</v>
      </c>
      <c r="G209" s="15">
        <f>'Speed Calc'!G$3+'Speed Calc'!G$5*A209^2</f>
        <v>20</v>
      </c>
      <c r="H209" s="7">
        <f>(F209-G209)/'Speed Calc'!G$2*9.806</f>
        <v>5.550292149535081</v>
      </c>
      <c r="I209" s="4">
        <f t="shared" si="12"/>
        <v>4.8055555555555554</v>
      </c>
    </row>
    <row r="210" spans="1:9" x14ac:dyDescent="0.2">
      <c r="A210" s="11">
        <v>17.399999999999999</v>
      </c>
      <c r="B210" s="15">
        <v>3.133</v>
      </c>
      <c r="C210" s="11">
        <f t="shared" si="13"/>
        <v>2254.8649246020846</v>
      </c>
      <c r="D210" s="11">
        <f t="shared" si="10"/>
        <v>56.202960651032313</v>
      </c>
      <c r="E210" s="11">
        <f t="shared" si="11"/>
        <v>872.11490665394979</v>
      </c>
      <c r="F210" s="11">
        <f>'Speed Calc'!B$5*E210</f>
        <v>784.9034159885548</v>
      </c>
      <c r="G210" s="15">
        <f>'Speed Calc'!G$3+'Speed Calc'!G$5*A210^2</f>
        <v>20</v>
      </c>
      <c r="H210" s="7">
        <f>(F210-G210)/'Speed Calc'!G$2*9.806</f>
        <v>5.5560317756916797</v>
      </c>
      <c r="I210" s="4">
        <f t="shared" si="12"/>
        <v>4.833333333333333</v>
      </c>
    </row>
    <row r="211" spans="1:9" x14ac:dyDescent="0.2">
      <c r="A211" s="11">
        <v>17.5</v>
      </c>
      <c r="B211" s="15">
        <v>3.133</v>
      </c>
      <c r="C211" s="11">
        <f t="shared" si="13"/>
        <v>2267.8239184216363</v>
      </c>
      <c r="D211" s="11">
        <f t="shared" si="10"/>
        <v>56.581783261432847</v>
      </c>
      <c r="E211" s="11">
        <f t="shared" si="11"/>
        <v>872.97608460496406</v>
      </c>
      <c r="F211" s="11">
        <f>'Speed Calc'!B$5*E211</f>
        <v>785.67847614446771</v>
      </c>
      <c r="G211" s="15">
        <f>'Speed Calc'!G$3+'Speed Calc'!G$5*A211^2</f>
        <v>20</v>
      </c>
      <c r="H211" s="7">
        <f>(F211-G211)/'Speed Calc'!G$2*9.806</f>
        <v>5.561661583016777</v>
      </c>
      <c r="I211" s="4">
        <f t="shared" si="12"/>
        <v>4.8611111111111107</v>
      </c>
    </row>
    <row r="212" spans="1:9" x14ac:dyDescent="0.2">
      <c r="A212" s="11">
        <v>17.600000000000001</v>
      </c>
      <c r="B212" s="15">
        <v>3.133</v>
      </c>
      <c r="C212" s="11">
        <f t="shared" si="13"/>
        <v>2280.7829122411899</v>
      </c>
      <c r="D212" s="11">
        <f t="shared" si="10"/>
        <v>56.960163315303305</v>
      </c>
      <c r="E212" s="11">
        <f t="shared" si="11"/>
        <v>873.82068722340262</v>
      </c>
      <c r="F212" s="11">
        <f>'Speed Calc'!B$5*E212</f>
        <v>786.43861850106236</v>
      </c>
      <c r="G212" s="15">
        <f>'Speed Calc'!G$3+'Speed Calc'!G$5*A212^2</f>
        <v>20</v>
      </c>
      <c r="H212" s="7">
        <f>(F212-G212)/'Speed Calc'!G$2*9.806</f>
        <v>5.5671830318677165</v>
      </c>
      <c r="I212" s="4">
        <f t="shared" si="12"/>
        <v>4.8888888888888893</v>
      </c>
    </row>
    <row r="213" spans="1:9" x14ac:dyDescent="0.2">
      <c r="A213" s="11">
        <v>17.7</v>
      </c>
      <c r="B213" s="15">
        <v>3.133</v>
      </c>
      <c r="C213" s="11">
        <f t="shared" si="13"/>
        <v>2293.7419060607413</v>
      </c>
      <c r="D213" s="11">
        <f t="shared" si="10"/>
        <v>57.33809696711976</v>
      </c>
      <c r="E213" s="11">
        <f t="shared" si="11"/>
        <v>874.64893678657268</v>
      </c>
      <c r="F213" s="11">
        <f>'Speed Calc'!B$5*E213</f>
        <v>787.18404310791539</v>
      </c>
      <c r="G213" s="15">
        <f>'Speed Calc'!G$3+'Speed Calc'!G$5*A213^2</f>
        <v>20</v>
      </c>
      <c r="H213" s="7">
        <f>(F213-G213)/'Speed Calc'!G$2*9.806</f>
        <v>5.5725975753453456</v>
      </c>
      <c r="I213" s="4">
        <f t="shared" si="12"/>
        <v>4.9166666666666661</v>
      </c>
    </row>
    <row r="214" spans="1:9" x14ac:dyDescent="0.2">
      <c r="A214" s="11">
        <v>17.8</v>
      </c>
      <c r="B214" s="15">
        <v>3.133</v>
      </c>
      <c r="C214" s="11">
        <f t="shared" si="13"/>
        <v>2306.700899880293</v>
      </c>
      <c r="D214" s="11">
        <f t="shared" si="10"/>
        <v>57.71558062747981</v>
      </c>
      <c r="E214" s="11">
        <f t="shared" si="11"/>
        <v>875.46105446177273</v>
      </c>
      <c r="F214" s="11">
        <f>'Speed Calc'!B$5*E214</f>
        <v>787.91494901559543</v>
      </c>
      <c r="G214" s="15">
        <f>'Speed Calc'!G$3+'Speed Calc'!G$5*A214^2</f>
        <v>20</v>
      </c>
      <c r="H214" s="7">
        <f>(F214-G214)/'Speed Calc'!G$2*9.806</f>
        <v>5.5779066592940216</v>
      </c>
      <c r="I214" s="4">
        <f t="shared" si="12"/>
        <v>4.9444444444444446</v>
      </c>
    </row>
    <row r="215" spans="1:9" x14ac:dyDescent="0.2">
      <c r="A215" s="11">
        <v>17.899999999999999</v>
      </c>
      <c r="B215" s="15">
        <v>3.133</v>
      </c>
      <c r="C215" s="11">
        <f t="shared" si="13"/>
        <v>2319.6598936998453</v>
      </c>
      <c r="D215" s="11">
        <f t="shared" si="10"/>
        <v>58.092610961046802</v>
      </c>
      <c r="E215" s="11">
        <f t="shared" si="11"/>
        <v>876.25726030629278</v>
      </c>
      <c r="F215" s="11">
        <f>'Speed Calc'!B$5*E215</f>
        <v>788.63153427566351</v>
      </c>
      <c r="G215" s="15">
        <f>'Speed Calc'!G$3+'Speed Calc'!G$5*A215^2</f>
        <v>20</v>
      </c>
      <c r="H215" s="7">
        <f>(F215-G215)/'Speed Calc'!G$2*9.806</f>
        <v>5.583111722301596</v>
      </c>
      <c r="I215" s="4">
        <f t="shared" si="12"/>
        <v>4.9722222222222214</v>
      </c>
    </row>
    <row r="216" spans="1:9" x14ac:dyDescent="0.2">
      <c r="A216" s="11">
        <v>18</v>
      </c>
      <c r="B216" s="15">
        <v>3.133</v>
      </c>
      <c r="C216" s="11">
        <f t="shared" si="13"/>
        <v>2332.618887519398</v>
      </c>
      <c r="D216" s="11">
        <f t="shared" si="10"/>
        <v>58.469184884494226</v>
      </c>
      <c r="E216" s="11">
        <f t="shared" si="11"/>
        <v>877.03777326741363</v>
      </c>
      <c r="F216" s="11">
        <f>'Speed Calc'!B$5*E216</f>
        <v>789.33399594067225</v>
      </c>
      <c r="G216" s="15">
        <f>'Speed Calc'!G$3+'Speed Calc'!G$5*A216^2</f>
        <v>20</v>
      </c>
      <c r="H216" s="7">
        <f>(F216-G216)/'Speed Calc'!G$2*9.806</f>
        <v>5.5882141956994307</v>
      </c>
      <c r="I216" s="4">
        <f t="shared" si="12"/>
        <v>5</v>
      </c>
    </row>
    <row r="217" spans="1:9" x14ac:dyDescent="0.2">
      <c r="A217" s="11">
        <v>18.100000000000001</v>
      </c>
      <c r="B217" s="15">
        <v>3.133</v>
      </c>
      <c r="C217" s="11">
        <f t="shared" si="13"/>
        <v>2345.5778813389497</v>
      </c>
      <c r="D217" s="11">
        <f t="shared" si="10"/>
        <v>58.845299564450237</v>
      </c>
      <c r="E217" s="11">
        <f t="shared" si="11"/>
        <v>877.80281118240703</v>
      </c>
      <c r="F217" s="11">
        <f>'Speed Calc'!B$5*E217</f>
        <v>790.02253006416629</v>
      </c>
      <c r="G217" s="15">
        <f>'Speed Calc'!G$3+'Speed Calc'!G$5*A217^2</f>
        <v>20</v>
      </c>
      <c r="H217" s="7">
        <f>(F217-G217)/'Speed Calc'!G$2*9.806</f>
        <v>5.5932155035623801</v>
      </c>
      <c r="I217" s="4">
        <f t="shared" si="12"/>
        <v>5.0277777777777777</v>
      </c>
    </row>
    <row r="218" spans="1:9" x14ac:dyDescent="0.2">
      <c r="A218" s="11">
        <v>18.2</v>
      </c>
      <c r="B218" s="15">
        <v>3.133</v>
      </c>
      <c r="C218" s="11">
        <f t="shared" si="13"/>
        <v>2358.5368751585024</v>
      </c>
      <c r="D218" s="11">
        <f t="shared" si="10"/>
        <v>59.220952415442177</v>
      </c>
      <c r="E218" s="11">
        <f t="shared" si="11"/>
        <v>878.55259077853771</v>
      </c>
      <c r="F218" s="11">
        <f>'Speed Calc'!B$5*E218</f>
        <v>790.697331700684</v>
      </c>
      <c r="G218" s="15">
        <f>'Speed Calc'!G$3+'Speed Calc'!G$5*A218^2</f>
        <v>20</v>
      </c>
      <c r="H218" s="7">
        <f>(F218-G218)/'Speed Calc'!G$2*9.806</f>
        <v>5.5981170627088197</v>
      </c>
      <c r="I218" s="4">
        <f t="shared" si="12"/>
        <v>5.0555555555555554</v>
      </c>
    </row>
    <row r="219" spans="1:9" x14ac:dyDescent="0.2">
      <c r="A219" s="11">
        <v>18.3</v>
      </c>
      <c r="B219" s="15">
        <v>3.133</v>
      </c>
      <c r="C219" s="11">
        <f t="shared" si="13"/>
        <v>2371.4958689780547</v>
      </c>
      <c r="D219" s="11">
        <f t="shared" si="10"/>
        <v>59.596141097840786</v>
      </c>
      <c r="E219" s="11">
        <f t="shared" si="11"/>
        <v>879.28732767306087</v>
      </c>
      <c r="F219" s="11">
        <f>'Speed Calc'!B$5*E219</f>
        <v>791.35859490575479</v>
      </c>
      <c r="G219" s="15">
        <f>'Speed Calc'!G$3+'Speed Calc'!G$5*A219^2</f>
        <v>20</v>
      </c>
      <c r="H219" s="7">
        <f>(F219-G219)/'Speed Calc'!G$2*9.806</f>
        <v>5.6029202827006159</v>
      </c>
      <c r="I219" s="4">
        <f t="shared" si="12"/>
        <v>5.083333333333333</v>
      </c>
    </row>
    <row r="220" spans="1:9" x14ac:dyDescent="0.2">
      <c r="A220" s="11">
        <v>18.399999999999999</v>
      </c>
      <c r="B220" s="15">
        <v>3.133</v>
      </c>
      <c r="C220" s="11">
        <f t="shared" si="13"/>
        <v>2384.4548627976064</v>
      </c>
      <c r="D220" s="11">
        <f t="shared" si="10"/>
        <v>59.970863515804766</v>
      </c>
      <c r="E220" s="11">
        <f t="shared" si="11"/>
        <v>880.00723637322221</v>
      </c>
      <c r="F220" s="11">
        <f>'Speed Calc'!B$5*E220</f>
        <v>792.00651273590006</v>
      </c>
      <c r="G220" s="15">
        <f>'Speed Calc'!G$3+'Speed Calc'!G$5*A220^2</f>
        <v>20</v>
      </c>
      <c r="H220" s="7">
        <f>(F220-G220)/'Speed Calc'!G$2*9.806</f>
        <v>5.6076265658431375</v>
      </c>
      <c r="I220" s="4">
        <f t="shared" si="12"/>
        <v>5.1111111111111107</v>
      </c>
    </row>
    <row r="221" spans="1:9" x14ac:dyDescent="0.2">
      <c r="A221" s="11">
        <v>18.5</v>
      </c>
      <c r="B221" s="15">
        <v>3.133</v>
      </c>
      <c r="C221" s="11">
        <f t="shared" si="13"/>
        <v>2397.4138566171591</v>
      </c>
      <c r="D221" s="11">
        <f t="shared" si="10"/>
        <v>60.345117815225201</v>
      </c>
      <c r="E221" s="11">
        <f t="shared" si="11"/>
        <v>880.71253027625971</v>
      </c>
      <c r="F221" s="11">
        <f>'Speed Calc'!B$5*E221</f>
        <v>792.64127724863374</v>
      </c>
      <c r="G221" s="15">
        <f>'Speed Calc'!G$3+'Speed Calc'!G$5*A221^2</f>
        <v>20</v>
      </c>
      <c r="H221" s="7">
        <f>(F221-G221)/'Speed Calc'!G$2*9.806</f>
        <v>5.6122373071852598</v>
      </c>
      <c r="I221" s="4">
        <f t="shared" si="12"/>
        <v>5.1388888888888884</v>
      </c>
    </row>
    <row r="222" spans="1:9" x14ac:dyDescent="0.2">
      <c r="A222" s="11">
        <v>18.600000000000001</v>
      </c>
      <c r="B222" s="15">
        <v>3.133</v>
      </c>
      <c r="C222" s="11">
        <f t="shared" si="13"/>
        <v>2410.3728504367114</v>
      </c>
      <c r="D222" s="11">
        <f t="shared" si="10"/>
        <v>60.718902381669956</v>
      </c>
      <c r="E222" s="11">
        <f t="shared" si="11"/>
        <v>881.40342166940229</v>
      </c>
      <c r="F222" s="11">
        <f>'Speed Calc'!B$5*E222</f>
        <v>793.26307950246212</v>
      </c>
      <c r="G222" s="15">
        <f>'Speed Calc'!G$3+'Speed Calc'!G$5*A222^2</f>
        <v>20</v>
      </c>
      <c r="H222" s="7">
        <f>(F222-G222)/'Speed Calc'!G$2*9.806</f>
        <v>5.6167538945193645</v>
      </c>
      <c r="I222" s="4">
        <f t="shared" si="12"/>
        <v>5.166666666666667</v>
      </c>
    </row>
    <row r="223" spans="1:9" x14ac:dyDescent="0.2">
      <c r="A223" s="11">
        <v>18.7</v>
      </c>
      <c r="B223" s="15">
        <v>3.133</v>
      </c>
      <c r="C223" s="11">
        <f t="shared" si="13"/>
        <v>2423.3318442562627</v>
      </c>
      <c r="D223" s="11">
        <f t="shared" si="10"/>
        <v>61.092215838328102</v>
      </c>
      <c r="E223" s="11">
        <f t="shared" si="11"/>
        <v>882.08012172987117</v>
      </c>
      <c r="F223" s="11">
        <f>'Speed Calc'!B$5*E223</f>
        <v>793.87210955688408</v>
      </c>
      <c r="G223" s="15">
        <f>'Speed Calc'!G$3+'Speed Calc'!G$5*A223^2</f>
        <v>20</v>
      </c>
      <c r="H223" s="7">
        <f>(F223-G223)/'Speed Calc'!G$2*9.806</f>
        <v>5.6211777083813361</v>
      </c>
      <c r="I223" s="4">
        <f t="shared" si="12"/>
        <v>5.1944444444444438</v>
      </c>
    </row>
    <row r="224" spans="1:9" x14ac:dyDescent="0.2">
      <c r="A224" s="11">
        <v>18.8</v>
      </c>
      <c r="B224" s="15">
        <v>3.133</v>
      </c>
      <c r="C224" s="11">
        <f t="shared" si="13"/>
        <v>2436.2908380758158</v>
      </c>
      <c r="D224" s="11">
        <f t="shared" si="10"/>
        <v>61.465057043954381</v>
      </c>
      <c r="E224" s="11">
        <f t="shared" si="11"/>
        <v>882.74284052487678</v>
      </c>
      <c r="F224" s="11">
        <f>'Speed Calc'!B$5*E224</f>
        <v>794.46855647238908</v>
      </c>
      <c r="G224" s="15">
        <f>'Speed Calc'!G$3+'Speed Calc'!G$5*A224^2</f>
        <v>20</v>
      </c>
      <c r="H224" s="7">
        <f>(F224-G224)/'Speed Calc'!G$2*9.806</f>
        <v>5.625510122050553</v>
      </c>
      <c r="I224" s="4">
        <f t="shared" si="12"/>
        <v>5.2222222222222223</v>
      </c>
    </row>
    <row r="225" spans="1:9" x14ac:dyDescent="0.2">
      <c r="A225" s="11">
        <v>18.899999999999999</v>
      </c>
      <c r="B225" s="15">
        <v>3.133</v>
      </c>
      <c r="C225" s="11">
        <f t="shared" si="13"/>
        <v>2449.2498318953681</v>
      </c>
      <c r="D225" s="11">
        <f t="shared" si="10"/>
        <v>61.83742509081361</v>
      </c>
      <c r="E225" s="11">
        <f t="shared" si="11"/>
        <v>883.39178701162302</v>
      </c>
      <c r="F225" s="11">
        <f>'Speed Calc'!B$5*E225</f>
        <v>795.05260831046076</v>
      </c>
      <c r="G225" s="15">
        <f>'Speed Calc'!G$3+'Speed Calc'!G$5*A225^2</f>
        <v>20</v>
      </c>
      <c r="H225" s="7">
        <f>(F225-G225)/'Speed Calc'!G$2*9.806</f>
        <v>5.629752501549909</v>
      </c>
      <c r="I225" s="4">
        <f t="shared" si="12"/>
        <v>5.2499999999999991</v>
      </c>
    </row>
    <row r="226" spans="1:9" x14ac:dyDescent="0.2">
      <c r="A226" s="11">
        <v>19</v>
      </c>
      <c r="B226" s="15">
        <v>3.133</v>
      </c>
      <c r="C226" s="11">
        <f t="shared" si="13"/>
        <v>2462.2088257149198</v>
      </c>
      <c r="D226" s="11">
        <f t="shared" si="10"/>
        <v>62.209319302625062</v>
      </c>
      <c r="E226" s="11">
        <f t="shared" si="11"/>
        <v>884.02716903730357</v>
      </c>
      <c r="F226" s="11">
        <f>'Speed Calc'!B$5*E226</f>
        <v>795.62445213357319</v>
      </c>
      <c r="G226" s="15">
        <f>'Speed Calc'!G$3+'Speed Calc'!G$5*A226^2</f>
        <v>20</v>
      </c>
      <c r="H226" s="7">
        <f>(F226-G226)/'Speed Calc'!G$2*9.806</f>
        <v>5.6339062056457907</v>
      </c>
      <c r="I226" s="4">
        <f t="shared" si="12"/>
        <v>5.2777777777777777</v>
      </c>
    </row>
    <row r="227" spans="1:9" x14ac:dyDescent="0.2">
      <c r="A227" s="11">
        <v>19.100000000000001</v>
      </c>
      <c r="B227" s="15">
        <v>3.133</v>
      </c>
      <c r="C227" s="11">
        <f t="shared" si="13"/>
        <v>2475.167819534473</v>
      </c>
      <c r="D227" s="11">
        <f t="shared" si="10"/>
        <v>62.580739232507071</v>
      </c>
      <c r="E227" s="11">
        <f t="shared" si="11"/>
        <v>884.64919333910507</v>
      </c>
      <c r="F227" s="11">
        <f>'Speed Calc'!B$5*E227</f>
        <v>796.18427400519454</v>
      </c>
      <c r="G227" s="15">
        <f>'Speed Calc'!G$3+'Speed Calc'!G$5*A227^2</f>
        <v>20</v>
      </c>
      <c r="H227" s="7">
        <f>(F227-G227)/'Speed Calc'!G$2*9.806</f>
        <v>5.6379725858481011</v>
      </c>
      <c r="I227" s="4">
        <f t="shared" si="12"/>
        <v>5.3055555555555562</v>
      </c>
    </row>
    <row r="228" spans="1:9" x14ac:dyDescent="0.2">
      <c r="A228" s="11">
        <v>19.2</v>
      </c>
      <c r="B228" s="15">
        <v>3.133</v>
      </c>
      <c r="C228" s="11">
        <f t="shared" si="13"/>
        <v>2488.1268133540243</v>
      </c>
      <c r="D228" s="11">
        <f t="shared" si="10"/>
        <v>62.951684660921103</v>
      </c>
      <c r="E228" s="11">
        <f t="shared" si="11"/>
        <v>885.25806554420296</v>
      </c>
      <c r="F228" s="11">
        <f>'Speed Calc'!B$5*E228</f>
        <v>796.73225898978274</v>
      </c>
      <c r="G228" s="15">
        <f>'Speed Calc'!G$3+'Speed Calc'!G$5*A228^2</f>
        <v>20</v>
      </c>
      <c r="H228" s="7">
        <f>(F228-G228)/'Speed Calc'!G$2*9.806</f>
        <v>5.6419529864102289</v>
      </c>
      <c r="I228" s="4">
        <f t="shared" si="12"/>
        <v>5.333333333333333</v>
      </c>
    </row>
    <row r="229" spans="1:9" x14ac:dyDescent="0.2">
      <c r="A229" s="11">
        <v>19.3</v>
      </c>
      <c r="B229" s="15">
        <v>3.133</v>
      </c>
      <c r="C229" s="11">
        <f t="shared" si="13"/>
        <v>2501.0858071735765</v>
      </c>
      <c r="D229" s="11">
        <f t="shared" ref="D229:D292" si="14">-4.687*10^(-17)*C229^5+9.129*10^(-13)*C229^4-6.175*10^(-9)*C229^3+1.799*10^(-5)*C229^2+6.502*10^(-3)*C229</f>
        <v>63.322155593616714</v>
      </c>
      <c r="E229" s="11">
        <f t="shared" si="11"/>
        <v>885.85399016976771</v>
      </c>
      <c r="F229" s="11">
        <f>'Speed Calc'!B$5*E229</f>
        <v>797.26859115279092</v>
      </c>
      <c r="G229" s="15">
        <f>'Speed Calc'!G$3+'Speed Calc'!G$5*A229^2</f>
        <v>20</v>
      </c>
      <c r="H229" s="7">
        <f>(F229-G229)/'Speed Calc'!G$2*9.806</f>
        <v>5.6458487443290872</v>
      </c>
      <c r="I229" s="4">
        <f t="shared" si="12"/>
        <v>5.3611111111111116</v>
      </c>
    </row>
    <row r="230" spans="1:9" x14ac:dyDescent="0.2">
      <c r="A230" s="11">
        <v>19.399999999999999</v>
      </c>
      <c r="B230" s="15">
        <v>3.133</v>
      </c>
      <c r="C230" s="11">
        <f t="shared" si="13"/>
        <v>2514.0448009931288</v>
      </c>
      <c r="D230" s="11">
        <f t="shared" si="14"/>
        <v>63.692152259575415</v>
      </c>
      <c r="E230" s="11">
        <f t="shared" ref="E230:E293" si="15">D230*75*B230*B$31*B$32/B$23/C230/2/PI()*60</f>
        <v>886.43717062295696</v>
      </c>
      <c r="F230" s="11">
        <f>'Speed Calc'!B$5*E230</f>
        <v>797.79345356066131</v>
      </c>
      <c r="G230" s="15">
        <f>'Speed Calc'!G$3+'Speed Calc'!G$5*A230^2</f>
        <v>20</v>
      </c>
      <c r="H230" s="7">
        <f>(F230-G230)/'Speed Calc'!G$2*9.806</f>
        <v>5.6496611893450703</v>
      </c>
      <c r="I230" s="4">
        <f t="shared" ref="I230:I293" si="16">A230/3.6</f>
        <v>5.3888888888888884</v>
      </c>
    </row>
    <row r="231" spans="1:9" x14ac:dyDescent="0.2">
      <c r="A231" s="11">
        <v>19.5</v>
      </c>
      <c r="B231" s="15">
        <v>3.133</v>
      </c>
      <c r="C231" s="11">
        <f t="shared" si="13"/>
        <v>2527.0037948126815</v>
      </c>
      <c r="D231" s="11">
        <f t="shared" si="14"/>
        <v>64.061675108955541</v>
      </c>
      <c r="E231" s="11">
        <f t="shared" si="15"/>
        <v>887.00780920092279</v>
      </c>
      <c r="F231" s="11">
        <f>'Speed Calc'!B$5*E231</f>
        <v>798.30702828083054</v>
      </c>
      <c r="G231" s="15">
        <f>'Speed Calc'!G$3+'Speed Calc'!G$5*A231^2</f>
        <v>20</v>
      </c>
      <c r="H231" s="7">
        <f>(F231-G231)/'Speed Calc'!G$2*9.806</f>
        <v>5.6533916439420917</v>
      </c>
      <c r="I231" s="4">
        <f t="shared" si="16"/>
        <v>5.416666666666667</v>
      </c>
    </row>
    <row r="232" spans="1:9" x14ac:dyDescent="0.2">
      <c r="A232" s="11">
        <v>19.600000000000001</v>
      </c>
      <c r="B232" s="15">
        <v>3.133</v>
      </c>
      <c r="C232" s="11">
        <f t="shared" si="13"/>
        <v>2539.9627886322332</v>
      </c>
      <c r="D232" s="11">
        <f t="shared" si="14"/>
        <v>64.430724811036356</v>
      </c>
      <c r="E232" s="11">
        <f t="shared" si="15"/>
        <v>887.56610709080701</v>
      </c>
      <c r="F232" s="11">
        <f>'Speed Calc'!B$5*E232</f>
        <v>798.80949638172638</v>
      </c>
      <c r="G232" s="15">
        <f>'Speed Calc'!G$3+'Speed Calc'!G$5*A232^2</f>
        <v>20</v>
      </c>
      <c r="H232" s="7">
        <f>(F232-G232)/'Speed Calc'!G$2*9.806</f>
        <v>5.6570414233475619</v>
      </c>
      <c r="I232" s="4">
        <f t="shared" si="16"/>
        <v>5.4444444444444446</v>
      </c>
    </row>
    <row r="233" spans="1:9" x14ac:dyDescent="0.2">
      <c r="A233" s="11">
        <v>19.7</v>
      </c>
      <c r="B233" s="15">
        <v>3.133</v>
      </c>
      <c r="C233" s="11">
        <f t="shared" si="13"/>
        <v>2552.9217824517859</v>
      </c>
      <c r="D233" s="11">
        <f t="shared" si="14"/>
        <v>64.799302252162761</v>
      </c>
      <c r="E233" s="11">
        <f t="shared" si="15"/>
        <v>888.11226436974334</v>
      </c>
      <c r="F233" s="11">
        <f>'Speed Calc'!B$5*E233</f>
        <v>799.30103793276908</v>
      </c>
      <c r="G233" s="15">
        <f>'Speed Calc'!G$3+'Speed Calc'!G$5*A233^2</f>
        <v>20</v>
      </c>
      <c r="H233" s="7">
        <f>(F233-G233)/'Speed Calc'!G$2*9.806</f>
        <v>5.6606118355323947</v>
      </c>
      <c r="I233" s="4">
        <f t="shared" si="16"/>
        <v>5.4722222222222223</v>
      </c>
    </row>
    <row r="234" spans="1:9" x14ac:dyDescent="0.2">
      <c r="A234" s="11">
        <v>19.8</v>
      </c>
      <c r="B234" s="15">
        <v>3.133</v>
      </c>
      <c r="C234" s="11">
        <f t="shared" si="13"/>
        <v>2565.8807762713377</v>
      </c>
      <c r="D234" s="11">
        <f t="shared" si="14"/>
        <v>65.167408533689525</v>
      </c>
      <c r="E234" s="11">
        <f t="shared" si="15"/>
        <v>888.64648000485727</v>
      </c>
      <c r="F234" s="11">
        <f>'Speed Calc'!B$5*E234</f>
        <v>799.78183200437161</v>
      </c>
      <c r="G234" s="15">
        <f>'Speed Calc'!G$3+'Speed Calc'!G$5*A234^2</f>
        <v>20</v>
      </c>
      <c r="H234" s="7">
        <f>(F234-G234)/'Speed Calc'!G$2*9.806</f>
        <v>5.6641041812110124</v>
      </c>
      <c r="I234" s="4">
        <f t="shared" si="16"/>
        <v>5.5</v>
      </c>
    </row>
    <row r="235" spans="1:9" x14ac:dyDescent="0.2">
      <c r="A235" s="11">
        <v>19.899999999999999</v>
      </c>
      <c r="B235" s="15">
        <v>3.133</v>
      </c>
      <c r="C235" s="11">
        <f t="shared" ref="C235:C298" si="17">A235/3.6/B$23/2/PI()*B$32*B$31*B235*60</f>
        <v>2578.8397700908899</v>
      </c>
      <c r="D235" s="11">
        <f t="shared" si="14"/>
        <v>65.535044969925778</v>
      </c>
      <c r="E235" s="11">
        <f t="shared" si="15"/>
        <v>889.1689518532645</v>
      </c>
      <c r="F235" s="11">
        <f>'Speed Calc'!B$5*E235</f>
        <v>800.25205666793806</v>
      </c>
      <c r="G235" s="15">
        <f>'Speed Calc'!G$3+'Speed Calc'!G$5*A235^2</f>
        <v>20</v>
      </c>
      <c r="H235" s="7">
        <f>(F235-G235)/'Speed Calc'!G$2*9.806</f>
        <v>5.6675197538413338</v>
      </c>
      <c r="I235" s="4">
        <f t="shared" si="16"/>
        <v>5.5277777777777777</v>
      </c>
    </row>
    <row r="236" spans="1:9" x14ac:dyDescent="0.2">
      <c r="A236" s="11">
        <v>20</v>
      </c>
      <c r="B236" s="15">
        <v>3.133</v>
      </c>
      <c r="C236" s="11">
        <f t="shared" si="17"/>
        <v>2591.7987639104422</v>
      </c>
      <c r="D236" s="11">
        <f t="shared" si="14"/>
        <v>65.902213086079385</v>
      </c>
      <c r="E236" s="11">
        <f t="shared" si="15"/>
        <v>889.67987666207171</v>
      </c>
      <c r="F236" s="11">
        <f>'Speed Calc'!B$5*E236</f>
        <v>800.71188899586457</v>
      </c>
      <c r="G236" s="15">
        <f>'Speed Calc'!G$3+'Speed Calc'!G$5*A236^2</f>
        <v>20</v>
      </c>
      <c r="H236" s="7">
        <f>(F236-G236)/'Speed Calc'!G$2*9.806</f>
        <v>5.670859839624776</v>
      </c>
      <c r="I236" s="4">
        <f t="shared" si="16"/>
        <v>5.5555555555555554</v>
      </c>
    </row>
    <row r="237" spans="1:9" x14ac:dyDescent="0.2">
      <c r="A237" s="11">
        <v>20.100000000000001</v>
      </c>
      <c r="B237" s="15">
        <v>3.133</v>
      </c>
      <c r="C237" s="11">
        <f t="shared" si="17"/>
        <v>2604.7577577299949</v>
      </c>
      <c r="D237" s="11">
        <f t="shared" si="14"/>
        <v>66.268914616201613</v>
      </c>
      <c r="E237" s="11">
        <f t="shared" si="15"/>
        <v>890.17945006837965</v>
      </c>
      <c r="F237" s="11">
        <f>'Speed Calc'!B$5*E237</f>
        <v>801.16150506154167</v>
      </c>
      <c r="G237" s="15">
        <f>'Speed Calc'!G$3+'Speed Calc'!G$5*A237^2</f>
        <v>20</v>
      </c>
      <c r="H237" s="7">
        <f>(F237-G237)/'Speed Calc'!G$2*9.806</f>
        <v>5.6741257175062794</v>
      </c>
      <c r="I237" s="4">
        <f t="shared" si="16"/>
        <v>5.5833333333333339</v>
      </c>
    </row>
    <row r="238" spans="1:9" x14ac:dyDescent="0.2">
      <c r="A238" s="11">
        <v>20.2</v>
      </c>
      <c r="B238" s="15">
        <v>3.133</v>
      </c>
      <c r="C238" s="11">
        <f t="shared" si="17"/>
        <v>2617.7167515495462</v>
      </c>
      <c r="D238" s="11">
        <f t="shared" si="14"/>
        <v>66.635151501131162</v>
      </c>
      <c r="E238" s="11">
        <f t="shared" si="15"/>
        <v>890.66786659927811</v>
      </c>
      <c r="F238" s="11">
        <f>'Speed Calc'!B$5*E238</f>
        <v>801.60107993935037</v>
      </c>
      <c r="G238" s="15">
        <f>'Speed Calc'!G$3+'Speed Calc'!G$5*A238^2</f>
        <v>20</v>
      </c>
      <c r="H238" s="7">
        <f>(F238-G238)/'Speed Calc'!G$2*9.806</f>
        <v>5.677318659174273</v>
      </c>
      <c r="I238" s="4">
        <f t="shared" si="16"/>
        <v>5.6111111111111107</v>
      </c>
    </row>
    <row r="239" spans="1:9" x14ac:dyDescent="0.2">
      <c r="A239" s="11">
        <v>20.3</v>
      </c>
      <c r="B239" s="15">
        <v>3.133</v>
      </c>
      <c r="C239" s="11">
        <f t="shared" si="17"/>
        <v>2630.6757453690984</v>
      </c>
      <c r="D239" s="11">
        <f t="shared" si="14"/>
        <v>67.000925886438935</v>
      </c>
      <c r="E239" s="11">
        <f t="shared" si="15"/>
        <v>891.14531967184814</v>
      </c>
      <c r="F239" s="11">
        <f>'Speed Calc'!B$5*E239</f>
        <v>802.03078770466334</v>
      </c>
      <c r="G239" s="15">
        <f>'Speed Calc'!G$3+'Speed Calc'!G$5*A239^2</f>
        <v>20</v>
      </c>
      <c r="H239" s="7">
        <f>(F239-G239)/'Speed Calc'!G$2*9.806</f>
        <v>5.6804399290606877</v>
      </c>
      <c r="I239" s="4">
        <f t="shared" si="16"/>
        <v>5.6388888888888893</v>
      </c>
    </row>
    <row r="240" spans="1:9" x14ac:dyDescent="0.2">
      <c r="A240" s="11">
        <v>20.399999999999999</v>
      </c>
      <c r="B240" s="15">
        <v>3.133</v>
      </c>
      <c r="C240" s="11">
        <f t="shared" si="17"/>
        <v>2643.6347391886507</v>
      </c>
      <c r="D240" s="11">
        <f t="shared" si="14"/>
        <v>67.366240120372225</v>
      </c>
      <c r="E240" s="11">
        <f t="shared" si="15"/>
        <v>891.61200159316206</v>
      </c>
      <c r="F240" s="11">
        <f>'Speed Calc'!B$5*E240</f>
        <v>802.45080143384587</v>
      </c>
      <c r="G240" s="15">
        <f>'Speed Calc'!G$3+'Speed Calc'!G$5*A240^2</f>
        <v>20</v>
      </c>
      <c r="H240" s="7">
        <f>(F240-G240)/'Speed Calc'!G$2*9.806</f>
        <v>5.6834907843409574</v>
      </c>
      <c r="I240" s="4">
        <f t="shared" si="16"/>
        <v>5.6666666666666661</v>
      </c>
    </row>
    <row r="241" spans="1:9" x14ac:dyDescent="0.2">
      <c r="A241" s="11">
        <v>20.5</v>
      </c>
      <c r="B241" s="15">
        <v>3.133</v>
      </c>
      <c r="C241" s="11">
        <f t="shared" si="17"/>
        <v>2656.5937330082033</v>
      </c>
      <c r="D241" s="11">
        <f t="shared" si="14"/>
        <v>67.73109675179947</v>
      </c>
      <c r="E241" s="11">
        <f t="shared" si="15"/>
        <v>892.06810356028586</v>
      </c>
      <c r="F241" s="11">
        <f>'Speed Calc'!B$5*E241</f>
        <v>802.86129320425732</v>
      </c>
      <c r="G241" s="15">
        <f>'Speed Calc'!G$3+'Speed Calc'!G$5*A241^2</f>
        <v>20</v>
      </c>
      <c r="H241" s="7">
        <f>(F241-G241)/'Speed Calc'!G$2*9.806</f>
        <v>5.6864724749340345</v>
      </c>
      <c r="I241" s="4">
        <f t="shared" si="16"/>
        <v>5.6944444444444446</v>
      </c>
    </row>
    <row r="242" spans="1:9" x14ac:dyDescent="0.2">
      <c r="A242" s="11">
        <v>20.6</v>
      </c>
      <c r="B242" s="15">
        <v>3.133</v>
      </c>
      <c r="C242" s="11">
        <f t="shared" si="17"/>
        <v>2669.5527268277551</v>
      </c>
      <c r="D242" s="11">
        <f t="shared" si="14"/>
        <v>68.095498528154167</v>
      </c>
      <c r="E242" s="11">
        <f t="shared" si="15"/>
        <v>892.51381566027328</v>
      </c>
      <c r="F242" s="11">
        <f>'Speed Calc'!B$5*E242</f>
        <v>803.26243409424592</v>
      </c>
      <c r="G242" s="15">
        <f>'Speed Calc'!G$3+'Speed Calc'!G$5*A242^2</f>
        <v>20</v>
      </c>
      <c r="H242" s="7">
        <f>(F242-G242)/'Speed Calc'!G$2*9.806</f>
        <v>5.6893862435023514</v>
      </c>
      <c r="I242" s="4">
        <f t="shared" si="16"/>
        <v>5.7222222222222223</v>
      </c>
    </row>
    <row r="243" spans="1:9" x14ac:dyDescent="0.2">
      <c r="A243" s="11">
        <v>20.7</v>
      </c>
      <c r="B243" s="15">
        <v>3.133</v>
      </c>
      <c r="C243" s="11">
        <f t="shared" si="17"/>
        <v>2682.5117206473074</v>
      </c>
      <c r="D243" s="11">
        <f t="shared" si="14"/>
        <v>68.459448393379816</v>
      </c>
      <c r="E243" s="11">
        <f t="shared" si="15"/>
        <v>892.9493268701716</v>
      </c>
      <c r="F243" s="11">
        <f>'Speed Calc'!B$5*E243</f>
        <v>803.65439418315441</v>
      </c>
      <c r="G243" s="15">
        <f>'Speed Calc'!G$3+'Speed Calc'!G$5*A243^2</f>
        <v>20</v>
      </c>
      <c r="H243" s="7">
        <f>(F243-G243)/'Speed Calc'!G$2*9.806</f>
        <v>5.69223332545186</v>
      </c>
      <c r="I243" s="4">
        <f t="shared" si="16"/>
        <v>5.75</v>
      </c>
    </row>
    <row r="244" spans="1:9" x14ac:dyDescent="0.2">
      <c r="A244" s="11">
        <v>20.8</v>
      </c>
      <c r="B244" s="15">
        <v>3.133</v>
      </c>
      <c r="C244" s="11">
        <f t="shared" si="17"/>
        <v>2695.4707144668596</v>
      </c>
      <c r="D244" s="11">
        <f t="shared" si="14"/>
        <v>68.822949485874133</v>
      </c>
      <c r="E244" s="11">
        <f t="shared" si="15"/>
        <v>893.37482505702019</v>
      </c>
      <c r="F244" s="11">
        <f>'Speed Calc'!B$5*E244</f>
        <v>804.03734255131815</v>
      </c>
      <c r="G244" s="15">
        <f>'Speed Calc'!G$3+'Speed Calc'!G$5*A244^2</f>
        <v>20</v>
      </c>
      <c r="H244" s="7">
        <f>(F244-G244)/'Speed Calc'!G$2*9.806</f>
        <v>5.6950149489320188</v>
      </c>
      <c r="I244" s="4">
        <f t="shared" si="16"/>
        <v>5.7777777777777777</v>
      </c>
    </row>
    <row r="245" spans="1:9" x14ac:dyDescent="0.2">
      <c r="A245" s="11">
        <v>20.9</v>
      </c>
      <c r="B245" s="15">
        <v>3.133</v>
      </c>
      <c r="C245" s="11">
        <f t="shared" si="17"/>
        <v>2708.4297082864118</v>
      </c>
      <c r="D245" s="11">
        <f t="shared" si="14"/>
        <v>69.186005136433337</v>
      </c>
      <c r="E245" s="11">
        <f t="shared" si="15"/>
        <v>893.79049697784717</v>
      </c>
      <c r="F245" s="11">
        <f>'Speed Calc'!B$5*E245</f>
        <v>804.41144728006248</v>
      </c>
      <c r="G245" s="15">
        <f>'Speed Calc'!G$3+'Speed Calc'!G$5*A245^2</f>
        <v>20</v>
      </c>
      <c r="H245" s="7">
        <f>(F245-G245)/'Speed Calc'!G$2*9.806</f>
        <v>5.6977323348357727</v>
      </c>
      <c r="I245" s="4">
        <f t="shared" si="16"/>
        <v>5.8055555555555554</v>
      </c>
    </row>
    <row r="246" spans="1:9" x14ac:dyDescent="0.2">
      <c r="A246" s="11">
        <v>21</v>
      </c>
      <c r="B246" s="15">
        <v>3.133</v>
      </c>
      <c r="C246" s="11">
        <f t="shared" si="17"/>
        <v>2721.3887021059645</v>
      </c>
      <c r="D246" s="11">
        <f t="shared" si="14"/>
        <v>69.548618866196875</v>
      </c>
      <c r="E246" s="11">
        <f t="shared" si="15"/>
        <v>894.19652827967388</v>
      </c>
      <c r="F246" s="11">
        <f>'Speed Calc'!B$5*E246</f>
        <v>804.77687545170647</v>
      </c>
      <c r="G246" s="15">
        <f>'Speed Calc'!G$3+'Speed Calc'!G$5*A246^2</f>
        <v>20</v>
      </c>
      <c r="H246" s="7">
        <f>(F246-G246)/'Speed Calc'!G$2*9.806</f>
        <v>5.7003866967995798</v>
      </c>
      <c r="I246" s="4">
        <f t="shared" si="16"/>
        <v>5.833333333333333</v>
      </c>
    </row>
    <row r="247" spans="1:9" x14ac:dyDescent="0.2">
      <c r="A247" s="11">
        <v>21.1</v>
      </c>
      <c r="B247" s="15">
        <v>3.133</v>
      </c>
      <c r="C247" s="11">
        <f t="shared" si="17"/>
        <v>2734.3476959255167</v>
      </c>
      <c r="D247" s="11">
        <f t="shared" si="14"/>
        <v>69.910794384591568</v>
      </c>
      <c r="E247" s="11">
        <f t="shared" si="15"/>
        <v>894.59310349951306</v>
      </c>
      <c r="F247" s="11">
        <f>'Speed Calc'!B$5*E247</f>
        <v>805.13379314956182</v>
      </c>
      <c r="G247" s="15">
        <f>'Speed Calc'!G$3+'Speed Calc'!G$5*A247^2</f>
        <v>20</v>
      </c>
      <c r="H247" s="7">
        <f>(F247-G247)/'Speed Calc'!G$2*9.806</f>
        <v>5.7029792412034093</v>
      </c>
      <c r="I247" s="4">
        <f t="shared" si="16"/>
        <v>5.8611111111111116</v>
      </c>
    </row>
    <row r="248" spans="1:9" x14ac:dyDescent="0.2">
      <c r="A248" s="11">
        <v>21.2</v>
      </c>
      <c r="B248" s="15">
        <v>3.133</v>
      </c>
      <c r="C248" s="11">
        <f t="shared" si="17"/>
        <v>2747.3066897450681</v>
      </c>
      <c r="D248" s="11">
        <f t="shared" si="14"/>
        <v>70.272535587276181</v>
      </c>
      <c r="E248" s="11">
        <f t="shared" si="15"/>
        <v>894.98040606436678</v>
      </c>
      <c r="F248" s="11">
        <f>'Speed Calc'!B$5*E248</f>
        <v>805.48236545793009</v>
      </c>
      <c r="G248" s="15">
        <f>'Speed Calc'!G$3+'Speed Calc'!G$5*A248^2</f>
        <v>20</v>
      </c>
      <c r="H248" s="7">
        <f>(F248-G248)/'Speed Calc'!G$2*9.806</f>
        <v>5.7055111671707124</v>
      </c>
      <c r="I248" s="4">
        <f t="shared" si="16"/>
        <v>5.8888888888888884</v>
      </c>
    </row>
    <row r="249" spans="1:9" x14ac:dyDescent="0.2">
      <c r="A249" s="11">
        <v>21.3</v>
      </c>
      <c r="B249" s="15">
        <v>3.133</v>
      </c>
      <c r="C249" s="11">
        <f t="shared" si="17"/>
        <v>2760.2656835646212</v>
      </c>
      <c r="D249" s="11">
        <f t="shared" si="14"/>
        <v>70.633846554086006</v>
      </c>
      <c r="E249" s="11">
        <f t="shared" si="15"/>
        <v>895.35861829123087</v>
      </c>
      <c r="F249" s="11">
        <f>'Speed Calc'!B$5*E249</f>
        <v>805.8227564621078</v>
      </c>
      <c r="G249" s="15">
        <f>'Speed Calc'!G$3+'Speed Calc'!G$5*A249^2</f>
        <v>20</v>
      </c>
      <c r="H249" s="7">
        <f>(F249-G249)/'Speed Calc'!G$2*9.806</f>
        <v>5.7079836665684658</v>
      </c>
      <c r="I249" s="4">
        <f t="shared" si="16"/>
        <v>5.916666666666667</v>
      </c>
    </row>
    <row r="250" spans="1:9" x14ac:dyDescent="0.2">
      <c r="A250" s="11">
        <v>21.4</v>
      </c>
      <c r="B250" s="15">
        <v>3.133</v>
      </c>
      <c r="C250" s="11">
        <f t="shared" si="17"/>
        <v>2773.224677384173</v>
      </c>
      <c r="D250" s="11">
        <f t="shared" si="14"/>
        <v>70.994731546976936</v>
      </c>
      <c r="E250" s="11">
        <f t="shared" si="15"/>
        <v>895.72792138709224</v>
      </c>
      <c r="F250" s="11">
        <f>'Speed Calc'!B$5*E250</f>
        <v>806.15512924838299</v>
      </c>
      <c r="G250" s="15">
        <f>'Speed Calc'!G$3+'Speed Calc'!G$5*A250^2</f>
        <v>20</v>
      </c>
      <c r="H250" s="7">
        <f>(F250-G250)/'Speed Calc'!G$2*9.806</f>
        <v>5.7103979240071423</v>
      </c>
      <c r="I250" s="4">
        <f t="shared" si="16"/>
        <v>5.9444444444444438</v>
      </c>
    </row>
    <row r="251" spans="1:9" x14ac:dyDescent="0.2">
      <c r="A251" s="11">
        <v>21.5</v>
      </c>
      <c r="B251" s="15">
        <v>3.133</v>
      </c>
      <c r="C251" s="11">
        <f t="shared" si="17"/>
        <v>2786.1836712037257</v>
      </c>
      <c r="D251" s="11">
        <f t="shared" si="14"/>
        <v>71.355195007970082</v>
      </c>
      <c r="E251" s="11">
        <f t="shared" si="15"/>
        <v>896.08849544892644</v>
      </c>
      <c r="F251" s="11">
        <f>'Speed Calc'!B$5*E251</f>
        <v>806.47964590403376</v>
      </c>
      <c r="G251" s="15">
        <f>'Speed Calc'!G$3+'Speed Calc'!G$5*A251^2</f>
        <v>20</v>
      </c>
      <c r="H251" s="7">
        <f>(F251-G251)/'Speed Calc'!G$2*9.806</f>
        <v>5.7127551168407074</v>
      </c>
      <c r="I251" s="4">
        <f t="shared" si="16"/>
        <v>5.9722222222222223</v>
      </c>
    </row>
    <row r="252" spans="1:9" x14ac:dyDescent="0.2">
      <c r="A252" s="11">
        <v>21.6</v>
      </c>
      <c r="B252" s="15">
        <v>3.133</v>
      </c>
      <c r="C252" s="11">
        <f t="shared" si="17"/>
        <v>2799.1426650232779</v>
      </c>
      <c r="D252" s="11">
        <f t="shared" si="14"/>
        <v>71.715241557096306</v>
      </c>
      <c r="E252" s="11">
        <f t="shared" si="15"/>
        <v>896.44051946370382</v>
      </c>
      <c r="F252" s="11">
        <f>'Speed Calc'!B$5*E252</f>
        <v>806.79646751733344</v>
      </c>
      <c r="G252" s="15">
        <f>'Speed Calc'!G$3+'Speed Calc'!G$5*A252^2</f>
        <v>20</v>
      </c>
      <c r="H252" s="7">
        <f>(F252-G252)/'Speed Calc'!G$2*9.806</f>
        <v>5.7150564151666448</v>
      </c>
      <c r="I252" s="4">
        <f t="shared" si="16"/>
        <v>6</v>
      </c>
    </row>
    <row r="253" spans="1:9" x14ac:dyDescent="0.2">
      <c r="A253" s="11">
        <v>21.7</v>
      </c>
      <c r="B253" s="15">
        <v>3.133</v>
      </c>
      <c r="C253" s="11">
        <f t="shared" si="17"/>
        <v>2812.1016588428297</v>
      </c>
      <c r="D253" s="11">
        <f t="shared" si="14"/>
        <v>72.074875990340445</v>
      </c>
      <c r="E253" s="11">
        <f t="shared" si="15"/>
        <v>896.78417130838352</v>
      </c>
      <c r="F253" s="11">
        <f>'Speed Calc'!B$5*E253</f>
        <v>807.10575417754524</v>
      </c>
      <c r="G253" s="15">
        <f>'Speed Calc'!G$3+'Speed Calc'!G$5*A253^2</f>
        <v>20</v>
      </c>
      <c r="H253" s="7">
        <f>(F253-G253)/'Speed Calc'!G$2*9.806</f>
        <v>5.7173029818259318</v>
      </c>
      <c r="I253" s="4">
        <f t="shared" si="16"/>
        <v>6.0277777777777777</v>
      </c>
    </row>
    <row r="254" spans="1:9" x14ac:dyDescent="0.2">
      <c r="A254" s="11">
        <v>21.8</v>
      </c>
      <c r="B254" s="15">
        <v>3.133</v>
      </c>
      <c r="C254" s="11">
        <f t="shared" si="17"/>
        <v>2825.0606526623819</v>
      </c>
      <c r="D254" s="11">
        <f t="shared" si="14"/>
        <v>72.434103277585947</v>
      </c>
      <c r="E254" s="11">
        <f t="shared" si="15"/>
        <v>897.11962774991787</v>
      </c>
      <c r="F254" s="11">
        <f>'Speed Calc'!B$5*E254</f>
        <v>807.40766497492609</v>
      </c>
      <c r="G254" s="15">
        <f>'Speed Calc'!G$3+'Speed Calc'!G$5*A254^2</f>
        <v>20</v>
      </c>
      <c r="H254" s="7">
        <f>(F254-G254)/'Speed Calc'!G$2*9.806</f>
        <v>5.7194959724030561</v>
      </c>
      <c r="I254" s="4">
        <f t="shared" si="16"/>
        <v>6.0555555555555554</v>
      </c>
    </row>
    <row r="255" spans="1:9" x14ac:dyDescent="0.2">
      <c r="A255" s="11">
        <v>21.9</v>
      </c>
      <c r="B255" s="15">
        <v>3.133</v>
      </c>
      <c r="C255" s="11">
        <f t="shared" si="17"/>
        <v>2838.0196464819342</v>
      </c>
      <c r="D255" s="11">
        <f t="shared" si="14"/>
        <v>72.792928560559048</v>
      </c>
      <c r="E255" s="11">
        <f t="shared" si="15"/>
        <v>897.44706444524854</v>
      </c>
      <c r="F255" s="11">
        <f>'Speed Calc'!B$5*E255</f>
        <v>807.70235800072373</v>
      </c>
      <c r="G255" s="15">
        <f>'Speed Calc'!G$3+'Speed Calc'!G$5*A255^2</f>
        <v>20</v>
      </c>
      <c r="H255" s="7">
        <f>(F255-G255)/'Speed Calc'!G$2*9.806</f>
        <v>5.721636535225997</v>
      </c>
      <c r="I255" s="4">
        <f t="shared" si="16"/>
        <v>6.083333333333333</v>
      </c>
    </row>
    <row r="256" spans="1:9" x14ac:dyDescent="0.2">
      <c r="A256" s="11">
        <v>22</v>
      </c>
      <c r="B256" s="15">
        <v>3.133</v>
      </c>
      <c r="C256" s="11">
        <f t="shared" si="17"/>
        <v>2850.9786403014864</v>
      </c>
      <c r="D256" s="11">
        <f t="shared" si="14"/>
        <v>73.151357150773435</v>
      </c>
      <c r="E256" s="11">
        <f t="shared" si="15"/>
        <v>897.7666559413102</v>
      </c>
      <c r="F256" s="11">
        <f>'Speed Calc'!B$5*E256</f>
        <v>807.98999034717917</v>
      </c>
      <c r="G256" s="15">
        <f>'Speed Calc'!G$3+'Speed Calc'!G$5*A256^2</f>
        <v>20</v>
      </c>
      <c r="H256" s="7">
        <f>(F256-G256)/'Speed Calc'!G$2*9.806</f>
        <v>5.7237258113662506</v>
      </c>
      <c r="I256" s="4">
        <f t="shared" si="16"/>
        <v>6.1111111111111107</v>
      </c>
    </row>
    <row r="257" spans="1:9" x14ac:dyDescent="0.2">
      <c r="A257" s="11">
        <v>22.1</v>
      </c>
      <c r="B257" s="15">
        <v>3.133</v>
      </c>
      <c r="C257" s="11">
        <f t="shared" si="17"/>
        <v>2863.9376341210391</v>
      </c>
      <c r="D257" s="11">
        <f t="shared" si="14"/>
        <v>73.509394527474569</v>
      </c>
      <c r="E257" s="11">
        <f t="shared" si="15"/>
        <v>898.07857567502845</v>
      </c>
      <c r="F257" s="11">
        <f>'Speed Calc'!B$5*E257</f>
        <v>808.27071810752557</v>
      </c>
      <c r="G257" s="15">
        <f>'Speed Calc'!G$3+'Speed Calc'!G$5*A257^2</f>
        <v>20</v>
      </c>
      <c r="H257" s="7">
        <f>(F257-G257)/'Speed Calc'!G$2*9.806</f>
        <v>5.7257649346388106</v>
      </c>
      <c r="I257" s="4">
        <f t="shared" si="16"/>
        <v>6.1388888888888893</v>
      </c>
    </row>
    <row r="258" spans="1:9" x14ac:dyDescent="0.2">
      <c r="A258" s="11">
        <v>22.2</v>
      </c>
      <c r="B258" s="15">
        <v>3.133</v>
      </c>
      <c r="C258" s="11">
        <f t="shared" si="17"/>
        <v>2876.8966279405904</v>
      </c>
      <c r="D258" s="11">
        <f t="shared" si="14"/>
        <v>73.867046335584092</v>
      </c>
      <c r="E258" s="11">
        <f t="shared" si="15"/>
        <v>898.38299597332025</v>
      </c>
      <c r="F258" s="11">
        <f>'Speed Calc'!B$5*E258</f>
        <v>808.54469637598822</v>
      </c>
      <c r="G258" s="15">
        <f>'Speed Calc'!G$3+'Speed Calc'!G$5*A258^2</f>
        <v>20</v>
      </c>
      <c r="H258" s="7">
        <f>(F258-G258)/'Speed Calc'!G$2*9.806</f>
        <v>5.7277550316021779</v>
      </c>
      <c r="I258" s="4">
        <f t="shared" si="16"/>
        <v>6.1666666666666661</v>
      </c>
    </row>
    <row r="259" spans="1:9" x14ac:dyDescent="0.2">
      <c r="A259" s="11">
        <v>22.3</v>
      </c>
      <c r="B259" s="15">
        <v>3.133</v>
      </c>
      <c r="C259" s="11">
        <f t="shared" si="17"/>
        <v>2889.8556217601431</v>
      </c>
      <c r="D259" s="11">
        <f t="shared" si="14"/>
        <v>74.224318383644288</v>
      </c>
      <c r="E259" s="11">
        <f t="shared" si="15"/>
        <v>898.68008805309228</v>
      </c>
      <c r="F259" s="11">
        <f>'Speed Calc'!B$5*E259</f>
        <v>808.81207924778312</v>
      </c>
      <c r="G259" s="15">
        <f>'Speed Calc'!G$3+'Speed Calc'!G$5*A259^2</f>
        <v>20</v>
      </c>
      <c r="H259" s="7">
        <f>(F259-G259)/'Speed Calc'!G$2*9.806</f>
        <v>5.7296972215583413</v>
      </c>
      <c r="I259" s="4">
        <f t="shared" si="16"/>
        <v>6.1944444444444446</v>
      </c>
    </row>
    <row r="260" spans="1:9" x14ac:dyDescent="0.2">
      <c r="A260" s="11">
        <v>22.4</v>
      </c>
      <c r="B260" s="15">
        <v>3.133</v>
      </c>
      <c r="C260" s="11">
        <f t="shared" si="17"/>
        <v>2902.8146155796949</v>
      </c>
      <c r="D260" s="11">
        <f t="shared" si="14"/>
        <v>74.581216641762595</v>
      </c>
      <c r="E260" s="11">
        <f t="shared" si="15"/>
        <v>898.97002202124565</v>
      </c>
      <c r="F260" s="11">
        <f>'Speed Calc'!B$5*E260</f>
        <v>809.0730198191211</v>
      </c>
      <c r="G260" s="15">
        <f>'Speed Calc'!G$3+'Speed Calc'!G$5*A260^2</f>
        <v>20</v>
      </c>
      <c r="H260" s="7">
        <f>(F260-G260)/'Speed Calc'!G$2*9.806</f>
        <v>5.7315926165528159</v>
      </c>
      <c r="I260" s="4">
        <f t="shared" si="16"/>
        <v>6.2222222222222214</v>
      </c>
    </row>
    <row r="261" spans="1:9" x14ac:dyDescent="0.2">
      <c r="A261" s="11">
        <v>22.5</v>
      </c>
      <c r="B261" s="15">
        <v>3.133</v>
      </c>
      <c r="C261" s="11">
        <f t="shared" si="17"/>
        <v>2915.7736093992476</v>
      </c>
      <c r="D261" s="11">
        <f t="shared" si="14"/>
        <v>74.937747239555804</v>
      </c>
      <c r="E261" s="11">
        <f t="shared" si="15"/>
        <v>899.25296687466937</v>
      </c>
      <c r="F261" s="11">
        <f>'Speed Calc'!B$5*E261</f>
        <v>809.32767018720244</v>
      </c>
      <c r="G261" s="15">
        <f>'Speed Calc'!G$3+'Speed Calc'!G$5*A261^2</f>
        <v>20</v>
      </c>
      <c r="H261" s="7">
        <f>(F261-G261)/'Speed Calc'!G$2*9.806</f>
        <v>5.7334423213745982</v>
      </c>
      <c r="I261" s="4">
        <f t="shared" si="16"/>
        <v>6.25</v>
      </c>
    </row>
    <row r="262" spans="1:9" x14ac:dyDescent="0.2">
      <c r="A262" s="11">
        <v>22.6</v>
      </c>
      <c r="B262" s="15">
        <v>3.133</v>
      </c>
      <c r="C262" s="11">
        <f t="shared" si="17"/>
        <v>2928.7326032187998</v>
      </c>
      <c r="D262" s="11">
        <f t="shared" si="14"/>
        <v>75.293916464094792</v>
      </c>
      <c r="E262" s="11">
        <f t="shared" si="15"/>
        <v>899.52909050024755</v>
      </c>
      <c r="F262" s="11">
        <f>'Speed Calc'!B$5*E262</f>
        <v>809.57618145022286</v>
      </c>
      <c r="G262" s="15">
        <f>'Speed Calc'!G$3+'Speed Calc'!G$5*A262^2</f>
        <v>20</v>
      </c>
      <c r="H262" s="7">
        <f>(F262-G262)/'Speed Calc'!G$2*9.806</f>
        <v>5.7352474335562116</v>
      </c>
      <c r="I262" s="4">
        <f t="shared" si="16"/>
        <v>6.2777777777777777</v>
      </c>
    </row>
    <row r="263" spans="1:9" x14ac:dyDescent="0.2">
      <c r="A263" s="11">
        <v>22.7</v>
      </c>
      <c r="B263" s="15">
        <v>3.133</v>
      </c>
      <c r="C263" s="11">
        <f t="shared" si="17"/>
        <v>2941.6915970383516</v>
      </c>
      <c r="D263" s="11">
        <f t="shared" si="14"/>
        <v>75.649730757848658</v>
      </c>
      <c r="E263" s="11">
        <f t="shared" si="15"/>
        <v>899.79855967485184</v>
      </c>
      <c r="F263" s="11">
        <f>'Speed Calc'!B$5*E263</f>
        <v>809.81870370736669</v>
      </c>
      <c r="G263" s="15">
        <f>'Speed Calc'!G$3+'Speed Calc'!G$5*A263^2</f>
        <v>20</v>
      </c>
      <c r="H263" s="7">
        <f>(F263-G263)/'Speed Calc'!G$2*9.806</f>
        <v>5.7370090433736562</v>
      </c>
      <c r="I263" s="4">
        <f t="shared" si="16"/>
        <v>6.3055555555555554</v>
      </c>
    </row>
    <row r="264" spans="1:9" x14ac:dyDescent="0.2">
      <c r="A264" s="11">
        <v>22.8</v>
      </c>
      <c r="B264" s="15">
        <v>3.133</v>
      </c>
      <c r="C264" s="11">
        <f t="shared" si="17"/>
        <v>2954.6505908579038</v>
      </c>
      <c r="D264" s="11">
        <f t="shared" si="14"/>
        <v>76.005196716629314</v>
      </c>
      <c r="E264" s="11">
        <f t="shared" si="15"/>
        <v>900.06154006534712</v>
      </c>
      <c r="F264" s="11">
        <f>'Speed Calc'!B$5*E264</f>
        <v>810.05538605881247</v>
      </c>
      <c r="G264" s="15">
        <f>'Speed Calc'!G$3+'Speed Calc'!G$5*A264^2</f>
        <v>20</v>
      </c>
      <c r="H264" s="7">
        <f>(F264-G264)/'Speed Calc'!G$2*9.806</f>
        <v>5.7387282338464551</v>
      </c>
      <c r="I264" s="4">
        <f t="shared" si="16"/>
        <v>6.333333333333333</v>
      </c>
    </row>
    <row r="265" spans="1:9" x14ac:dyDescent="0.2">
      <c r="A265" s="11">
        <v>22.9</v>
      </c>
      <c r="B265" s="15">
        <v>3.133</v>
      </c>
      <c r="C265" s="11">
        <f t="shared" si="17"/>
        <v>2967.609584677456</v>
      </c>
      <c r="D265" s="11">
        <f t="shared" si="14"/>
        <v>76.360321087535993</v>
      </c>
      <c r="E265" s="11">
        <f t="shared" si="15"/>
        <v>900.31819622859041</v>
      </c>
      <c r="F265" s="11">
        <f>'Speed Calc'!B$5*E265</f>
        <v>810.28637660573133</v>
      </c>
      <c r="G265" s="15">
        <f>'Speed Calc'!G$3+'Speed Calc'!G$5*A265^2</f>
        <v>20</v>
      </c>
      <c r="H265" s="7">
        <f>(F265-G265)/'Speed Calc'!G$2*9.806</f>
        <v>5.74040608073763</v>
      </c>
      <c r="I265" s="4">
        <f t="shared" si="16"/>
        <v>6.3611111111111107</v>
      </c>
    </row>
    <row r="266" spans="1:9" x14ac:dyDescent="0.2">
      <c r="A266" s="11">
        <v>23</v>
      </c>
      <c r="B266" s="15">
        <v>3.133</v>
      </c>
      <c r="C266" s="11">
        <f t="shared" si="17"/>
        <v>2980.5685784970083</v>
      </c>
      <c r="D266" s="11">
        <f t="shared" si="14"/>
        <v>76.715110766899443</v>
      </c>
      <c r="E266" s="11">
        <f t="shared" si="15"/>
        <v>900.56869161142833</v>
      </c>
      <c r="F266" s="11">
        <f>'Speed Calc'!B$5*E266</f>
        <v>810.51182245028554</v>
      </c>
      <c r="G266" s="15">
        <f>'Speed Calc'!G$3+'Speed Calc'!G$5*A266^2</f>
        <v>20</v>
      </c>
      <c r="H266" s="7">
        <f>(F266-G266)/'Speed Calc'!G$2*9.806</f>
        <v>5.7420436525537033</v>
      </c>
      <c r="I266" s="4">
        <f t="shared" si="16"/>
        <v>6.3888888888888884</v>
      </c>
    </row>
    <row r="267" spans="1:9" x14ac:dyDescent="0.2">
      <c r="A267" s="11">
        <v>23.1</v>
      </c>
      <c r="B267" s="15">
        <v>3.133</v>
      </c>
      <c r="C267" s="11">
        <f t="shared" si="17"/>
        <v>2993.5275723165614</v>
      </c>
      <c r="D267" s="11">
        <f t="shared" si="14"/>
        <v>77.069572798226488</v>
      </c>
      <c r="E267" s="11">
        <f t="shared" si="15"/>
        <v>900.81318855069878</v>
      </c>
      <c r="F267" s="11">
        <f>'Speed Calc'!B$5*E267</f>
        <v>810.73186969562892</v>
      </c>
      <c r="G267" s="15">
        <f>'Speed Calc'!G$3+'Speed Calc'!G$5*A267^2</f>
        <v>20</v>
      </c>
      <c r="H267" s="7">
        <f>(F267-G267)/'Speed Calc'!G$2*9.806</f>
        <v>5.7436420105446935</v>
      </c>
      <c r="I267" s="4">
        <f t="shared" si="16"/>
        <v>6.416666666666667</v>
      </c>
    </row>
    <row r="268" spans="1:9" x14ac:dyDescent="0.2">
      <c r="A268" s="11">
        <v>23.2</v>
      </c>
      <c r="B268" s="15">
        <v>3.133</v>
      </c>
      <c r="C268" s="11">
        <f t="shared" si="17"/>
        <v>3006.4865661361127</v>
      </c>
      <c r="D268" s="11">
        <f t="shared" si="14"/>
        <v>77.423714370144523</v>
      </c>
      <c r="E268" s="11">
        <f t="shared" si="15"/>
        <v>901.05184827323376</v>
      </c>
      <c r="F268" s="11">
        <f>'Speed Calc'!B$5*E268</f>
        <v>810.94666344591042</v>
      </c>
      <c r="G268" s="15">
        <f>'Speed Calc'!G$3+'Speed Calc'!G$5*A268^2</f>
        <v>20</v>
      </c>
      <c r="H268" s="7">
        <f>(F268-G268)/'Speed Calc'!G$2*9.806</f>
        <v>5.7452022087041454</v>
      </c>
      <c r="I268" s="4">
        <f t="shared" si="16"/>
        <v>6.4444444444444438</v>
      </c>
    </row>
    <row r="269" spans="1:9" x14ac:dyDescent="0.2">
      <c r="A269" s="11">
        <v>23.3</v>
      </c>
      <c r="B269" s="15">
        <v>3.133</v>
      </c>
      <c r="C269" s="11">
        <f t="shared" si="17"/>
        <v>3019.4455599556654</v>
      </c>
      <c r="D269" s="11">
        <f t="shared" si="14"/>
        <v>77.777542814345736</v>
      </c>
      <c r="E269" s="11">
        <f t="shared" si="15"/>
        <v>901.28483089585188</v>
      </c>
      <c r="F269" s="11">
        <f>'Speed Calc'!B$5*E269</f>
        <v>811.15634780626669</v>
      </c>
      <c r="G269" s="15">
        <f>'Speed Calc'!G$3+'Speed Calc'!G$5*A269^2</f>
        <v>20</v>
      </c>
      <c r="H269" s="7">
        <f>(F269-G269)/'Speed Calc'!G$2*9.806</f>
        <v>5.7467252937690745</v>
      </c>
      <c r="I269" s="4">
        <f t="shared" si="16"/>
        <v>6.4722222222222223</v>
      </c>
    </row>
    <row r="270" spans="1:9" x14ac:dyDescent="0.2">
      <c r="A270" s="11">
        <v>23.4</v>
      </c>
      <c r="B270" s="15">
        <v>3.133</v>
      </c>
      <c r="C270" s="11">
        <f t="shared" si="17"/>
        <v>3032.4045537752172</v>
      </c>
      <c r="D270" s="11">
        <f t="shared" si="14"/>
        <v>78.131065603531866</v>
      </c>
      <c r="E270" s="11">
        <f t="shared" si="15"/>
        <v>901.51229542536771</v>
      </c>
      <c r="F270" s="11">
        <f>'Speed Calc'!B$5*E270</f>
        <v>811.36106588283099</v>
      </c>
      <c r="G270" s="15">
        <f>'Speed Calc'!G$3+'Speed Calc'!G$5*A270^2</f>
        <v>20</v>
      </c>
      <c r="H270" s="7">
        <f>(F270-G270)/'Speed Calc'!G$2*9.806</f>
        <v>5.7482123052200294</v>
      </c>
      <c r="I270" s="4">
        <f t="shared" si="16"/>
        <v>6.4999999999999991</v>
      </c>
    </row>
    <row r="271" spans="1:9" x14ac:dyDescent="0.2">
      <c r="A271" s="11">
        <v>23.5</v>
      </c>
      <c r="B271" s="15">
        <v>3.133</v>
      </c>
      <c r="C271" s="11">
        <f t="shared" si="17"/>
        <v>3045.3635475947694</v>
      </c>
      <c r="D271" s="11">
        <f t="shared" si="14"/>
        <v>78.484290349358361</v>
      </c>
      <c r="E271" s="11">
        <f t="shared" si="15"/>
        <v>901.73439975858525</v>
      </c>
      <c r="F271" s="11">
        <f>'Speed Calc'!B$5*E271</f>
        <v>811.56095978272674</v>
      </c>
      <c r="G271" s="15">
        <f>'Speed Calc'!G$3+'Speed Calc'!G$5*A271^2</f>
        <v>20</v>
      </c>
      <c r="H271" s="7">
        <f>(F271-G271)/'Speed Calc'!G$2*9.806</f>
        <v>5.7496642752810496</v>
      </c>
      <c r="I271" s="4">
        <f t="shared" si="16"/>
        <v>6.5277777777777777</v>
      </c>
    </row>
    <row r="272" spans="1:9" x14ac:dyDescent="0.2">
      <c r="A272" s="11">
        <v>23.6</v>
      </c>
      <c r="B272" s="15">
        <v>3.133</v>
      </c>
      <c r="C272" s="11">
        <f t="shared" si="17"/>
        <v>3058.3225414143217</v>
      </c>
      <c r="D272" s="11">
        <f t="shared" si="14"/>
        <v>78.837224800378749</v>
      </c>
      <c r="E272" s="11">
        <f t="shared" si="15"/>
        <v>901.95130068229935</v>
      </c>
      <c r="F272" s="11">
        <f>'Speed Calc'!B$5*E272</f>
        <v>811.75617061406945</v>
      </c>
      <c r="G272" s="15">
        <f>'Speed Calc'!G$3+'Speed Calc'!G$5*A272^2</f>
        <v>20</v>
      </c>
      <c r="H272" s="7">
        <f>(F272-G272)/'Speed Calc'!G$2*9.806</f>
        <v>5.7510822289196772</v>
      </c>
      <c r="I272" s="4">
        <f t="shared" si="16"/>
        <v>6.5555555555555554</v>
      </c>
    </row>
    <row r="273" spans="1:9" x14ac:dyDescent="0.2">
      <c r="A273" s="11">
        <v>23.7</v>
      </c>
      <c r="B273" s="15">
        <v>3.133</v>
      </c>
      <c r="C273" s="11">
        <f t="shared" si="17"/>
        <v>3071.2815352338744</v>
      </c>
      <c r="D273" s="11">
        <f t="shared" si="14"/>
        <v>79.189876839989296</v>
      </c>
      <c r="E273" s="11">
        <f t="shared" si="15"/>
        <v>902.16315387329587</v>
      </c>
      <c r="F273" s="11">
        <f>'Speed Calc'!B$5*E273</f>
        <v>811.94683848596628</v>
      </c>
      <c r="G273" s="15">
        <f>'Speed Calc'!G$3+'Speed Calc'!G$5*A273^2</f>
        <v>20</v>
      </c>
      <c r="H273" s="7">
        <f>(F273-G273)/'Speed Calc'!G$2*9.806</f>
        <v>5.7524671838469512</v>
      </c>
      <c r="I273" s="4">
        <f t="shared" si="16"/>
        <v>6.583333333333333</v>
      </c>
    </row>
    <row r="274" spans="1:9" x14ac:dyDescent="0.2">
      <c r="A274" s="11">
        <v>23.8</v>
      </c>
      <c r="B274" s="15">
        <v>3.133</v>
      </c>
      <c r="C274" s="11">
        <f t="shared" si="17"/>
        <v>3084.2405290534261</v>
      </c>
      <c r="D274" s="11">
        <f t="shared" si="14"/>
        <v>79.542254484373373</v>
      </c>
      <c r="E274" s="11">
        <f t="shared" si="15"/>
        <v>902.37011389835322</v>
      </c>
      <c r="F274" s="11">
        <f>'Speed Calc'!B$5*E274</f>
        <v>812.13310250851794</v>
      </c>
      <c r="G274" s="15">
        <f>'Speed Calc'!G$3+'Speed Calc'!G$5*A274^2</f>
        <v>20</v>
      </c>
      <c r="H274" s="7">
        <f>(F274-G274)/'Speed Calc'!G$2*9.806</f>
        <v>5.7538201505174262</v>
      </c>
      <c r="I274" s="4">
        <f t="shared" si="16"/>
        <v>6.6111111111111107</v>
      </c>
    </row>
    <row r="275" spans="1:9" x14ac:dyDescent="0.2">
      <c r="A275" s="11">
        <v>23.9</v>
      </c>
      <c r="B275" s="15">
        <v>3.133</v>
      </c>
      <c r="C275" s="11">
        <f t="shared" si="17"/>
        <v>3097.1995228729784</v>
      </c>
      <c r="D275" s="11">
        <f t="shared" si="14"/>
        <v>79.894365880445775</v>
      </c>
      <c r="E275" s="11">
        <f t="shared" si="15"/>
        <v>902.57233421424121</v>
      </c>
      <c r="F275" s="11">
        <f>'Speed Calc'!B$5*E275</f>
        <v>812.31510079281713</v>
      </c>
      <c r="G275" s="15">
        <f>'Speed Calc'!G$3+'Speed Calc'!G$5*A275^2</f>
        <v>20</v>
      </c>
      <c r="H275" s="7">
        <f>(F275-G275)/'Speed Calc'!G$2*9.806</f>
        <v>5.7551421321291585</v>
      </c>
      <c r="I275" s="4">
        <f t="shared" si="16"/>
        <v>6.6388888888888884</v>
      </c>
    </row>
    <row r="276" spans="1:9" x14ac:dyDescent="0.2">
      <c r="A276" s="11">
        <v>24</v>
      </c>
      <c r="B276" s="15">
        <v>3.133</v>
      </c>
      <c r="C276" s="11">
        <f t="shared" si="17"/>
        <v>3110.1585166925311</v>
      </c>
      <c r="D276" s="11">
        <f t="shared" si="14"/>
        <v>80.246219303797346</v>
      </c>
      <c r="E276" s="11">
        <f t="shared" si="15"/>
        <v>902.76996716771998</v>
      </c>
      <c r="F276" s="11">
        <f>'Speed Calc'!B$5*E276</f>
        <v>812.49297045094795</v>
      </c>
      <c r="G276" s="15">
        <f>'Speed Calc'!G$3+'Speed Calc'!G$5*A276^2</f>
        <v>20</v>
      </c>
      <c r="H276" s="7">
        <f>(F276-G276)/'Speed Calc'!G$2*9.806</f>
        <v>5.7564341246236994</v>
      </c>
      <c r="I276" s="4">
        <f t="shared" si="16"/>
        <v>6.6666666666666661</v>
      </c>
    </row>
    <row r="277" spans="1:9" x14ac:dyDescent="0.2">
      <c r="A277" s="11">
        <v>24.1</v>
      </c>
      <c r="B277" s="15">
        <v>3.133</v>
      </c>
      <c r="C277" s="11">
        <f t="shared" si="17"/>
        <v>3123.1175105120828</v>
      </c>
      <c r="D277" s="11">
        <f t="shared" si="14"/>
        <v>80.597823156639066</v>
      </c>
      <c r="E277" s="11">
        <f t="shared" si="15"/>
        <v>902.96316399554132</v>
      </c>
      <c r="F277" s="11">
        <f>'Speed Calc'!B$5*E277</f>
        <v>812.66684759598718</v>
      </c>
      <c r="G277" s="15">
        <f>'Speed Calc'!G$3+'Speed Calc'!G$5*A277^2</f>
        <v>20</v>
      </c>
      <c r="H277" s="7">
        <f>(F277-G277)/'Speed Calc'!G$2*9.806</f>
        <v>5.75769711668611</v>
      </c>
      <c r="I277" s="4">
        <f t="shared" si="16"/>
        <v>6.6944444444444446</v>
      </c>
    </row>
    <row r="278" spans="1:9" x14ac:dyDescent="0.2">
      <c r="A278" s="11">
        <v>24.2</v>
      </c>
      <c r="B278" s="15">
        <v>3.133</v>
      </c>
      <c r="C278" s="11">
        <f t="shared" si="17"/>
        <v>3136.0765043316342</v>
      </c>
      <c r="D278" s="11">
        <f t="shared" si="14"/>
        <v>80.949185965746878</v>
      </c>
      <c r="E278" s="11">
        <f t="shared" si="15"/>
        <v>903.15207482444885</v>
      </c>
      <c r="F278" s="11">
        <f>'Speed Calc'!B$5*E278</f>
        <v>812.83686734200398</v>
      </c>
      <c r="G278" s="15">
        <f>'Speed Calc'!G$3+'Speed Calc'!G$5*A278^2</f>
        <v>20</v>
      </c>
      <c r="H278" s="7">
        <f>(F278-G278)/'Speed Calc'!G$2*9.806</f>
        <v>5.7589320897449561</v>
      </c>
      <c r="I278" s="4">
        <f t="shared" si="16"/>
        <v>6.7222222222222214</v>
      </c>
    </row>
    <row r="279" spans="1:9" x14ac:dyDescent="0.2">
      <c r="A279" s="11">
        <v>24.3</v>
      </c>
      <c r="B279" s="15">
        <v>3.133</v>
      </c>
      <c r="C279" s="11">
        <f t="shared" si="17"/>
        <v>3149.0354981511878</v>
      </c>
      <c r="D279" s="11">
        <f t="shared" si="14"/>
        <v>81.300316380405874</v>
      </c>
      <c r="E279" s="11">
        <f t="shared" si="15"/>
        <v>903.33684867117643</v>
      </c>
      <c r="F279" s="11">
        <f>'Speed Calc'!B$5*E279</f>
        <v>813.00316380405877</v>
      </c>
      <c r="G279" s="15">
        <f>'Speed Calc'!G$3+'Speed Calc'!G$5*A279^2</f>
        <v>20</v>
      </c>
      <c r="H279" s="7">
        <f>(F279-G279)/'Speed Calc'!G$2*9.806</f>
        <v>5.7601400179722964</v>
      </c>
      <c r="I279" s="4">
        <f t="shared" si="16"/>
        <v>6.75</v>
      </c>
    </row>
    <row r="280" spans="1:9" x14ac:dyDescent="0.2">
      <c r="A280" s="11">
        <v>24.4</v>
      </c>
      <c r="B280" s="15">
        <v>3.133</v>
      </c>
      <c r="C280" s="11">
        <f t="shared" si="17"/>
        <v>3161.9944919707386</v>
      </c>
      <c r="D280" s="11">
        <f t="shared" si="14"/>
        <v>81.65122317035474</v>
      </c>
      <c r="E280" s="11">
        <f t="shared" si="15"/>
        <v>903.51763344245012</v>
      </c>
      <c r="F280" s="11">
        <f>'Speed Calc'!B$5*E280</f>
        <v>813.16587009820512</v>
      </c>
      <c r="G280" s="15">
        <f>'Speed Calc'!G$3+'Speed Calc'!G$5*A280^2</f>
        <v>20</v>
      </c>
      <c r="H280" s="7">
        <f>(F280-G280)/'Speed Calc'!G$2*9.806</f>
        <v>5.7613218682837024</v>
      </c>
      <c r="I280" s="4">
        <f t="shared" si="16"/>
        <v>6.7777777777777768</v>
      </c>
    </row>
    <row r="281" spans="1:9" x14ac:dyDescent="0.2">
      <c r="A281" s="11">
        <v>24.5</v>
      </c>
      <c r="B281" s="15">
        <v>3.133</v>
      </c>
      <c r="C281" s="11">
        <f t="shared" si="17"/>
        <v>3174.9534857902918</v>
      </c>
      <c r="D281" s="11">
        <f t="shared" si="14"/>
        <v>82.001915223730435</v>
      </c>
      <c r="E281" s="11">
        <f t="shared" si="15"/>
        <v>903.69457593498851</v>
      </c>
      <c r="F281" s="11">
        <f>'Speed Calc'!B$5*E281</f>
        <v>813.32511834148966</v>
      </c>
      <c r="G281" s="15">
        <f>'Speed Calc'!G$3+'Speed Calc'!G$5*A281^2</f>
        <v>20</v>
      </c>
      <c r="H281" s="7">
        <f>(F281-G281)/'Speed Calc'!G$2*9.806</f>
        <v>5.7624786003382571</v>
      </c>
      <c r="I281" s="4">
        <f t="shared" si="16"/>
        <v>6.8055555555555554</v>
      </c>
    </row>
    <row r="282" spans="1:9" x14ac:dyDescent="0.2">
      <c r="A282" s="11">
        <v>24.6</v>
      </c>
      <c r="B282" s="15">
        <v>3.133</v>
      </c>
      <c r="C282" s="11">
        <f t="shared" si="17"/>
        <v>3187.9124796098445</v>
      </c>
      <c r="D282" s="11">
        <f t="shared" si="14"/>
        <v>82.352401545012043</v>
      </c>
      <c r="E282" s="11">
        <f t="shared" si="15"/>
        <v>903.86782183549792</v>
      </c>
      <c r="F282" s="11">
        <f>'Speed Calc'!B$5*E282</f>
        <v>813.48103965194809</v>
      </c>
      <c r="G282" s="15">
        <f>'Speed Calc'!G$3+'Speed Calc'!G$5*A282^2</f>
        <v>20</v>
      </c>
      <c r="H282" s="7">
        <f>(F282-G282)/'Speed Calc'!G$2*9.806</f>
        <v>5.7636111665385199</v>
      </c>
      <c r="I282" s="4">
        <f t="shared" si="16"/>
        <v>6.8333333333333339</v>
      </c>
    </row>
    <row r="283" spans="1:9" x14ac:dyDescent="0.2">
      <c r="A283" s="11">
        <v>24.7</v>
      </c>
      <c r="B283" s="15">
        <v>3.133</v>
      </c>
      <c r="C283" s="11">
        <f t="shared" si="17"/>
        <v>3200.8714734293953</v>
      </c>
      <c r="D283" s="11">
        <f t="shared" si="14"/>
        <v>82.702691252965863</v>
      </c>
      <c r="E283" s="11">
        <f t="shared" si="15"/>
        <v>904.03751572067949</v>
      </c>
      <c r="F283" s="11">
        <f>'Speed Calc'!B$5*E283</f>
        <v>813.63376414861159</v>
      </c>
      <c r="G283" s="15">
        <f>'Speed Calc'!G$3+'Speed Calc'!G$5*A283^2</f>
        <v>20</v>
      </c>
      <c r="H283" s="7">
        <f>(F283-G283)/'Speed Calc'!G$2*9.806</f>
        <v>5.7647205120305811</v>
      </c>
      <c r="I283" s="4">
        <f t="shared" si="16"/>
        <v>6.8611111111111107</v>
      </c>
    </row>
    <row r="284" spans="1:9" x14ac:dyDescent="0.2">
      <c r="A284" s="11">
        <v>24.8</v>
      </c>
      <c r="B284" s="15">
        <v>3.133</v>
      </c>
      <c r="C284" s="11">
        <f t="shared" si="17"/>
        <v>3213.8304672489485</v>
      </c>
      <c r="D284" s="11">
        <f t="shared" si="14"/>
        <v>83.052793578589473</v>
      </c>
      <c r="E284" s="11">
        <f t="shared" si="15"/>
        <v>904.20380105722393</v>
      </c>
      <c r="F284" s="11">
        <f>'Speed Calc'!B$5*E284</f>
        <v>813.78342095150151</v>
      </c>
      <c r="G284" s="15">
        <f>'Speed Calc'!G$3+'Speed Calc'!G$5*A284^2</f>
        <v>20</v>
      </c>
      <c r="H284" s="7">
        <f>(F284-G284)/'Speed Calc'!G$2*9.806</f>
        <v>5.7658075747040174</v>
      </c>
      <c r="I284" s="4">
        <f t="shared" si="16"/>
        <v>6.8888888888888893</v>
      </c>
    </row>
    <row r="285" spans="1:9" x14ac:dyDescent="0.2">
      <c r="A285" s="11">
        <v>24.9</v>
      </c>
      <c r="B285" s="15">
        <v>3.133</v>
      </c>
      <c r="C285" s="11">
        <f t="shared" si="17"/>
        <v>3226.7894610685012</v>
      </c>
      <c r="D285" s="11">
        <f t="shared" si="14"/>
        <v>83.402717863056267</v>
      </c>
      <c r="E285" s="11">
        <f t="shared" si="15"/>
        <v>904.36682020181479</v>
      </c>
      <c r="F285" s="11">
        <f>'Speed Calc'!B$5*E285</f>
        <v>813.93013818163331</v>
      </c>
      <c r="G285" s="15">
        <f>'Speed Calc'!G$3+'Speed Calc'!G$5*A285^2</f>
        <v>20</v>
      </c>
      <c r="H285" s="7">
        <f>(F285-G285)/'Speed Calc'!G$2*9.806</f>
        <v>5.7668732851919229</v>
      </c>
      <c r="I285" s="4">
        <f t="shared" si="16"/>
        <v>6.9166666666666661</v>
      </c>
    </row>
    <row r="286" spans="1:9" x14ac:dyDescent="0.2">
      <c r="A286" s="11">
        <v>25</v>
      </c>
      <c r="B286" s="15">
        <v>3.133</v>
      </c>
      <c r="C286" s="11">
        <f t="shared" si="17"/>
        <v>3239.7484548880534</v>
      </c>
      <c r="D286" s="11">
        <f t="shared" si="14"/>
        <v>83.752473555659662</v>
      </c>
      <c r="E286" s="11">
        <f t="shared" si="15"/>
        <v>904.52671440112431</v>
      </c>
      <c r="F286" s="11">
        <f>'Speed Calc'!B$5*E286</f>
        <v>814.07404296101186</v>
      </c>
      <c r="G286" s="15">
        <f>'Speed Calc'!G$3+'Speed Calc'!G$5*A286^2</f>
        <v>20</v>
      </c>
      <c r="H286" s="7">
        <f>(F286-G286)/'Speed Calc'!G$2*9.806</f>
        <v>5.7679185668708755</v>
      </c>
      <c r="I286" s="4">
        <f t="shared" si="16"/>
        <v>6.9444444444444446</v>
      </c>
    </row>
    <row r="287" spans="1:9" x14ac:dyDescent="0.2">
      <c r="A287" s="11">
        <v>25.1</v>
      </c>
      <c r="B287" s="15">
        <v>3.133</v>
      </c>
      <c r="C287" s="11">
        <f t="shared" si="17"/>
        <v>3252.7074487076052</v>
      </c>
      <c r="D287" s="11">
        <f t="shared" si="14"/>
        <v>84.102070211757976</v>
      </c>
      <c r="E287" s="11">
        <f t="shared" si="15"/>
        <v>904.68362379181883</v>
      </c>
      <c r="F287" s="11">
        <f>'Speed Calc'!B$5*E287</f>
        <v>814.21526141263701</v>
      </c>
      <c r="G287" s="15">
        <f>'Speed Calc'!G$3+'Speed Calc'!G$5*A287^2</f>
        <v>20</v>
      </c>
      <c r="H287" s="7">
        <f>(F287-G287)/'Speed Calc'!G$2*9.806</f>
        <v>5.7689443358609767</v>
      </c>
      <c r="I287" s="4">
        <f t="shared" si="16"/>
        <v>6.9722222222222223</v>
      </c>
    </row>
    <row r="288" spans="1:9" x14ac:dyDescent="0.2">
      <c r="A288" s="11">
        <v>25.2</v>
      </c>
      <c r="B288" s="15">
        <v>3.133</v>
      </c>
      <c r="C288" s="11">
        <f t="shared" si="17"/>
        <v>3265.666442527157</v>
      </c>
      <c r="D288" s="11">
        <f t="shared" si="14"/>
        <v>84.451517490718388</v>
      </c>
      <c r="E288" s="11">
        <f t="shared" si="15"/>
        <v>904.83768740055427</v>
      </c>
      <c r="F288" s="11">
        <f>'Speed Calc'!B$5*E288</f>
        <v>814.35391866049883</v>
      </c>
      <c r="G288" s="15">
        <f>'Speed Calc'!G$3+'Speed Calc'!G$5*A288^2</f>
        <v>20</v>
      </c>
      <c r="H288" s="7">
        <f>(F288-G288)/'Speed Calc'!G$2*9.806</f>
        <v>5.7699515010258153</v>
      </c>
      <c r="I288" s="4">
        <f t="shared" si="16"/>
        <v>7</v>
      </c>
    </row>
    <row r="289" spans="1:9" x14ac:dyDescent="0.2">
      <c r="A289" s="11">
        <v>25.3</v>
      </c>
      <c r="B289" s="15">
        <v>3.133</v>
      </c>
      <c r="C289" s="11">
        <f t="shared" si="17"/>
        <v>3278.6254363467096</v>
      </c>
      <c r="D289" s="11">
        <f t="shared" si="14"/>
        <v>84.800825153861595</v>
      </c>
      <c r="E289" s="11">
        <f t="shared" si="15"/>
        <v>904.98904314397748</v>
      </c>
      <c r="F289" s="11">
        <f>'Speed Calc'!B$5*E289</f>
        <v>814.49013882957979</v>
      </c>
      <c r="G289" s="15">
        <f>'Speed Calc'!G$3+'Speed Calc'!G$5*A289^2</f>
        <v>20</v>
      </c>
      <c r="H289" s="7">
        <f>(F289-G289)/'Speed Calc'!G$2*9.806</f>
        <v>5.770940963972488</v>
      </c>
      <c r="I289" s="4">
        <f t="shared" si="16"/>
        <v>7.0277777777777777</v>
      </c>
    </row>
    <row r="290" spans="1:9" x14ac:dyDescent="0.2">
      <c r="A290" s="11">
        <v>25.4</v>
      </c>
      <c r="B290" s="15">
        <v>3.133</v>
      </c>
      <c r="C290" s="11">
        <f t="shared" si="17"/>
        <v>3291.5844301662619</v>
      </c>
      <c r="D290" s="11">
        <f t="shared" si="14"/>
        <v>85.150003062406455</v>
      </c>
      <c r="E290" s="11">
        <f t="shared" si="15"/>
        <v>905.13782782873</v>
      </c>
      <c r="F290" s="11">
        <f>'Speed Calc'!B$5*E290</f>
        <v>814.62404504585697</v>
      </c>
      <c r="G290" s="15">
        <f>'Speed Calc'!G$3+'Speed Calc'!G$5*A290^2</f>
        <v>20</v>
      </c>
      <c r="H290" s="7">
        <f>(F290-G290)/'Speed Calc'!G$2*9.806</f>
        <v>5.7719136190516096</v>
      </c>
      <c r="I290" s="4">
        <f t="shared" si="16"/>
        <v>7.0555555555555554</v>
      </c>
    </row>
    <row r="291" spans="1:9" x14ac:dyDescent="0.2">
      <c r="A291" s="11">
        <v>25.5</v>
      </c>
      <c r="B291" s="15">
        <v>3.133</v>
      </c>
      <c r="C291" s="11">
        <f t="shared" si="17"/>
        <v>3304.5434239858132</v>
      </c>
      <c r="D291" s="11">
        <f t="shared" si="14"/>
        <v>85.499061175413743</v>
      </c>
      <c r="E291" s="11">
        <f t="shared" si="15"/>
        <v>905.28417715144008</v>
      </c>
      <c r="F291" s="11">
        <f>'Speed Calc'!B$5*E291</f>
        <v>814.7557594362961</v>
      </c>
      <c r="G291" s="15">
        <f>'Speed Calc'!G$3+'Speed Calc'!G$5*A291^2</f>
        <v>20</v>
      </c>
      <c r="H291" s="7">
        <f>(F291-G291)/'Speed Calc'!G$2*9.806</f>
        <v>5.7728703533572734</v>
      </c>
      <c r="I291" s="4">
        <f t="shared" si="16"/>
        <v>7.083333333333333</v>
      </c>
    </row>
    <row r="292" spans="1:9" x14ac:dyDescent="0.2">
      <c r="A292" s="11">
        <v>25.6</v>
      </c>
      <c r="B292" s="15">
        <v>3.133</v>
      </c>
      <c r="C292" s="11">
        <f t="shared" si="17"/>
        <v>3317.5024178053663</v>
      </c>
      <c r="D292" s="11">
        <f t="shared" si="14"/>
        <v>85.848009547731465</v>
      </c>
      <c r="E292" s="11">
        <f t="shared" si="15"/>
        <v>905.4282256987301</v>
      </c>
      <c r="F292" s="11">
        <f>'Speed Calc'!B$5*E292</f>
        <v>814.88540312885709</v>
      </c>
      <c r="G292" s="15">
        <f>'Speed Calc'!G$3+'Speed Calc'!G$5*A292^2</f>
        <v>20</v>
      </c>
      <c r="H292" s="7">
        <f>(F292-G292)/'Speed Calc'!G$2*9.806</f>
        <v>5.7738120467270901</v>
      </c>
      <c r="I292" s="4">
        <f t="shared" si="16"/>
        <v>7.1111111111111116</v>
      </c>
    </row>
    <row r="293" spans="1:9" x14ac:dyDescent="0.2">
      <c r="A293" s="11">
        <v>25.7</v>
      </c>
      <c r="B293" s="15">
        <v>3.133</v>
      </c>
      <c r="C293" s="11">
        <f t="shared" si="17"/>
        <v>3330.4614116249181</v>
      </c>
      <c r="D293" s="11">
        <f t="shared" ref="D293:D356" si="18">-4.687*10^(-17)*C293^5+9.129*10^(-13)*C293^4-6.175*10^(-9)*C293^3+1.799*10^(-5)*C293^2+6.502*10^(-3)*C293</f>
        <v>86.196858327938486</v>
      </c>
      <c r="E293" s="11">
        <f t="shared" si="15"/>
        <v>905.57010694721362</v>
      </c>
      <c r="F293" s="11">
        <f>'Speed Calc'!B$5*E293</f>
        <v>815.01309625249223</v>
      </c>
      <c r="G293" s="15">
        <f>'Speed Calc'!G$3+'Speed Calc'!G$5*A293^2</f>
        <v>20</v>
      </c>
      <c r="H293" s="7">
        <f>(F293-G293)/'Speed Calc'!G$2*9.806</f>
        <v>5.7747395717421757</v>
      </c>
      <c r="I293" s="4">
        <f t="shared" si="16"/>
        <v>7.1388888888888884</v>
      </c>
    </row>
    <row r="294" spans="1:9" x14ac:dyDescent="0.2">
      <c r="A294" s="11">
        <v>25.8</v>
      </c>
      <c r="B294" s="15">
        <v>3.133</v>
      </c>
      <c r="C294" s="11">
        <f t="shared" si="17"/>
        <v>3343.4204054444704</v>
      </c>
      <c r="D294" s="11">
        <f t="shared" si="18"/>
        <v>86.545617756289545</v>
      </c>
      <c r="E294" s="11">
        <f t="shared" ref="E294:E357" si="19">D294*75*B294*B$31*B$32/B$23/C294/2/PI()*60</f>
        <v>905.70995326349521</v>
      </c>
      <c r="F294" s="11">
        <f>'Speed Calc'!B$5*E294</f>
        <v>815.13895793714573</v>
      </c>
      <c r="G294" s="15">
        <f>'Speed Calc'!G$3+'Speed Calc'!G$5*A294^2</f>
        <v>20</v>
      </c>
      <c r="H294" s="7">
        <f>(F294-G294)/'Speed Calc'!G$2*9.806</f>
        <v>5.7756537937271482</v>
      </c>
      <c r="I294" s="4">
        <f t="shared" ref="I294:I357" si="20">A294/3.6</f>
        <v>7.166666666666667</v>
      </c>
    </row>
    <row r="295" spans="1:9" x14ac:dyDescent="0.2">
      <c r="A295" s="11">
        <v>25.9</v>
      </c>
      <c r="B295" s="15">
        <v>3.133</v>
      </c>
      <c r="C295" s="11">
        <f t="shared" si="17"/>
        <v>3356.3793992640226</v>
      </c>
      <c r="D295" s="11">
        <f t="shared" si="18"/>
        <v>86.894298162659268</v>
      </c>
      <c r="E295" s="11">
        <f t="shared" si="19"/>
        <v>905.84789590416995</v>
      </c>
      <c r="F295" s="11">
        <f>'Speed Calc'!B$5*E295</f>
        <v>815.26310631375293</v>
      </c>
      <c r="G295" s="15">
        <f>'Speed Calc'!G$3+'Speed Calc'!G$5*A295^2</f>
        <v>20</v>
      </c>
      <c r="H295" s="7">
        <f>(F295-G295)/'Speed Calc'!G$2*9.806</f>
        <v>5.7765555707501184</v>
      </c>
      <c r="I295" s="4">
        <f t="shared" si="20"/>
        <v>7.1944444444444438</v>
      </c>
    </row>
    <row r="296" spans="1:9" x14ac:dyDescent="0.2">
      <c r="A296" s="11">
        <v>26</v>
      </c>
      <c r="B296" s="15">
        <v>3.133</v>
      </c>
      <c r="C296" s="11">
        <f t="shared" si="17"/>
        <v>3369.3383930835753</v>
      </c>
      <c r="D296" s="11">
        <f t="shared" si="18"/>
        <v>87.242909964486856</v>
      </c>
      <c r="E296" s="11">
        <f t="shared" si="19"/>
        <v>905.98406501582485</v>
      </c>
      <c r="F296" s="11">
        <f>'Speed Calc'!B$5*E296</f>
        <v>815.38565851424244</v>
      </c>
      <c r="G296" s="15">
        <f>'Speed Calc'!G$3+'Speed Calc'!G$5*A296^2</f>
        <v>20</v>
      </c>
      <c r="H296" s="7">
        <f>(F296-G296)/'Speed Calc'!G$2*9.806</f>
        <v>5.777445753622712</v>
      </c>
      <c r="I296" s="4">
        <f t="shared" si="20"/>
        <v>7.2222222222222223</v>
      </c>
    </row>
    <row r="297" spans="1:9" x14ac:dyDescent="0.2">
      <c r="A297" s="11">
        <v>26.1</v>
      </c>
      <c r="B297" s="15">
        <v>3.133</v>
      </c>
      <c r="C297" s="11">
        <f t="shared" si="17"/>
        <v>3382.2973869031266</v>
      </c>
      <c r="D297" s="11">
        <f t="shared" si="18"/>
        <v>87.591463664720465</v>
      </c>
      <c r="E297" s="11">
        <f t="shared" si="19"/>
        <v>906.11858963503937</v>
      </c>
      <c r="F297" s="11">
        <f>'Speed Calc'!B$5*E297</f>
        <v>815.50673067153548</v>
      </c>
      <c r="G297" s="15">
        <f>'Speed Calc'!G$3+'Speed Calc'!G$5*A297^2</f>
        <v>20</v>
      </c>
      <c r="H297" s="7">
        <f>(F297-G297)/'Speed Calc'!G$2*9.806</f>
        <v>5.7783251859000559</v>
      </c>
      <c r="I297" s="4">
        <f t="shared" si="20"/>
        <v>7.25</v>
      </c>
    </row>
    <row r="298" spans="1:9" x14ac:dyDescent="0.2">
      <c r="A298" s="11">
        <v>26.2</v>
      </c>
      <c r="B298" s="15">
        <v>3.133</v>
      </c>
      <c r="C298" s="11">
        <f t="shared" si="17"/>
        <v>3395.2563807226798</v>
      </c>
      <c r="D298" s="11">
        <f t="shared" si="18"/>
        <v>87.939969849761454</v>
      </c>
      <c r="E298" s="11">
        <f t="shared" si="19"/>
        <v>906.25159768838114</v>
      </c>
      <c r="F298" s="11">
        <f>'Speed Calc'!B$5*E298</f>
        <v>815.62643791954304</v>
      </c>
      <c r="G298" s="15">
        <f>'Speed Calc'!G$3+'Speed Calc'!G$5*A298^2</f>
        <v>20</v>
      </c>
      <c r="H298" s="7">
        <f>(F298-G298)/'Speed Calc'!G$2*9.806</f>
        <v>5.7791947038807692</v>
      </c>
      <c r="I298" s="4">
        <f t="shared" si="20"/>
        <v>7.2777777777777777</v>
      </c>
    </row>
    <row r="299" spans="1:9" x14ac:dyDescent="0.2">
      <c r="A299" s="11">
        <v>26.3</v>
      </c>
      <c r="B299" s="15">
        <v>3.133</v>
      </c>
      <c r="C299" s="11">
        <f t="shared" ref="C299:C362" si="21">A299/3.6/B$23/2/PI()*B$32*B$31*B299*60</f>
        <v>3408.2153745422315</v>
      </c>
      <c r="D299" s="11">
        <f t="shared" si="18"/>
        <v>88.288439187409153</v>
      </c>
      <c r="E299" s="11">
        <f t="shared" si="19"/>
        <v>906.3832159924134</v>
      </c>
      <c r="F299" s="11">
        <f>'Speed Calc'!B$5*E299</f>
        <v>815.7448943931721</v>
      </c>
      <c r="G299" s="15">
        <f>'Speed Calc'!G$3+'Speed Calc'!G$5*A299^2</f>
        <v>20</v>
      </c>
      <c r="H299" s="7">
        <f>(F299-G299)/'Speed Calc'!G$2*9.806</f>
        <v>5.7800551366069968</v>
      </c>
      <c r="I299" s="4">
        <f t="shared" si="20"/>
        <v>7.3055555555555554</v>
      </c>
    </row>
    <row r="300" spans="1:9" x14ac:dyDescent="0.2">
      <c r="A300" s="11">
        <v>26.4</v>
      </c>
      <c r="B300" s="15">
        <v>3.133</v>
      </c>
      <c r="C300" s="11">
        <f t="shared" si="21"/>
        <v>3421.1743683617833</v>
      </c>
      <c r="D300" s="11">
        <f t="shared" si="18"/>
        <v>88.636882424804952</v>
      </c>
      <c r="E300" s="11">
        <f t="shared" si="19"/>
        <v>906.51357025368736</v>
      </c>
      <c r="F300" s="11">
        <f>'Speed Calc'!B$5*E300</f>
        <v>815.86221322831864</v>
      </c>
      <c r="G300" s="15">
        <f>'Speed Calc'!G$3+'Speed Calc'!G$5*A300^2</f>
        <v>20</v>
      </c>
      <c r="H300" s="7">
        <f>(F300-G300)/'Speed Calc'!G$2*9.806</f>
        <v>5.7809073058643641</v>
      </c>
      <c r="I300" s="4">
        <f t="shared" si="20"/>
        <v>7.333333333333333</v>
      </c>
    </row>
    <row r="301" spans="1:9" x14ac:dyDescent="0.2">
      <c r="A301" s="11">
        <v>26.5</v>
      </c>
      <c r="B301" s="15">
        <v>3.133</v>
      </c>
      <c r="C301" s="11">
        <f t="shared" si="21"/>
        <v>3434.133362181336</v>
      </c>
      <c r="D301" s="11">
        <f t="shared" si="18"/>
        <v>88.985310386377023</v>
      </c>
      <c r="E301" s="11">
        <f t="shared" si="19"/>
        <v>906.64278506874689</v>
      </c>
      <c r="F301" s="11">
        <f>'Speed Calc'!B$5*E301</f>
        <v>815.97850656187222</v>
      </c>
      <c r="G301" s="15">
        <f>'Speed Calc'!G$3+'Speed Calc'!G$5*A301^2</f>
        <v>20</v>
      </c>
      <c r="H301" s="7">
        <f>(F301-G301)/'Speed Calc'!G$2*9.806</f>
        <v>5.7817520261820139</v>
      </c>
      <c r="I301" s="4">
        <f t="shared" si="20"/>
        <v>7.3611111111111107</v>
      </c>
    </row>
    <row r="302" spans="1:9" x14ac:dyDescent="0.2">
      <c r="A302" s="11">
        <v>26.6</v>
      </c>
      <c r="B302" s="15">
        <v>3.133</v>
      </c>
      <c r="C302" s="11">
        <f t="shared" si="21"/>
        <v>3447.0923560008887</v>
      </c>
      <c r="D302" s="11">
        <f t="shared" si="18"/>
        <v>89.333733971784454</v>
      </c>
      <c r="E302" s="11">
        <f t="shared" si="19"/>
        <v>906.77098392412779</v>
      </c>
      <c r="F302" s="11">
        <f>'Speed Calc'!B$5*E302</f>
        <v>816.09388553171505</v>
      </c>
      <c r="G302" s="15">
        <f>'Speed Calc'!G$3+'Speed Calc'!G$5*A302^2</f>
        <v>20</v>
      </c>
      <c r="H302" s="7">
        <f>(F302-G302)/'Speed Calc'!G$2*9.806</f>
        <v>5.7825901048325905</v>
      </c>
      <c r="I302" s="4">
        <f t="shared" si="20"/>
        <v>7.3888888888888893</v>
      </c>
    </row>
    <row r="303" spans="1:9" x14ac:dyDescent="0.2">
      <c r="A303" s="11">
        <v>26.7</v>
      </c>
      <c r="B303" s="15">
        <v>3.133</v>
      </c>
      <c r="C303" s="11">
        <f t="shared" si="21"/>
        <v>3460.05134982044</v>
      </c>
      <c r="D303" s="11">
        <f t="shared" si="18"/>
        <v>89.682164153861706</v>
      </c>
      <c r="E303" s="11">
        <f t="shared" si="19"/>
        <v>906.89828919635431</v>
      </c>
      <c r="F303" s="11">
        <f>'Speed Calc'!B$5*E303</f>
        <v>816.20846027671894</v>
      </c>
      <c r="G303" s="15">
        <f>'Speed Calc'!G$3+'Speed Calc'!G$5*A303^2</f>
        <v>20</v>
      </c>
      <c r="H303" s="7">
        <f>(F303-G303)/'Speed Calc'!G$2*9.806</f>
        <v>5.7834223418322264</v>
      </c>
      <c r="I303" s="4">
        <f t="shared" si="20"/>
        <v>7.4166666666666661</v>
      </c>
    </row>
    <row r="304" spans="1:9" x14ac:dyDescent="0.2">
      <c r="A304" s="11">
        <v>26.8</v>
      </c>
      <c r="B304" s="15">
        <v>3.133</v>
      </c>
      <c r="C304" s="11">
        <f t="shared" si="21"/>
        <v>3473.0103436399932</v>
      </c>
      <c r="D304" s="11">
        <f t="shared" si="18"/>
        <v>90.030611976563563</v>
      </c>
      <c r="E304" s="11">
        <f t="shared" si="19"/>
        <v>907.02482215194618</v>
      </c>
      <c r="F304" s="11">
        <f>'Speed Calc'!B$5*E304</f>
        <v>816.32233993675163</v>
      </c>
      <c r="G304" s="15">
        <f>'Speed Calc'!G$3+'Speed Calc'!G$5*A304^2</f>
        <v>20</v>
      </c>
      <c r="H304" s="7">
        <f>(F304-G304)/'Speed Calc'!G$2*9.806</f>
        <v>5.7842495299405821</v>
      </c>
      <c r="I304" s="4">
        <f t="shared" si="20"/>
        <v>7.4444444444444446</v>
      </c>
    </row>
    <row r="305" spans="1:9" x14ac:dyDescent="0.2">
      <c r="A305" s="11">
        <v>26.9</v>
      </c>
      <c r="B305" s="15">
        <v>3.133</v>
      </c>
      <c r="C305" s="11">
        <f t="shared" si="21"/>
        <v>3485.9693374595449</v>
      </c>
      <c r="D305" s="11">
        <f t="shared" si="18"/>
        <v>90.379088552908897</v>
      </c>
      <c r="E305" s="11">
        <f t="shared" si="19"/>
        <v>907.15070294741258</v>
      </c>
      <c r="F305" s="11">
        <f>'Speed Calc'!B$5*E305</f>
        <v>816.4356326526713</v>
      </c>
      <c r="G305" s="15">
        <f>'Speed Calc'!G$3+'Speed Calc'!G$5*A305^2</f>
        <v>20</v>
      </c>
      <c r="H305" s="7">
        <f>(F305-G305)/'Speed Calc'!G$2*9.806</f>
        <v>5.7850724546608108</v>
      </c>
      <c r="I305" s="4">
        <f t="shared" si="20"/>
        <v>7.4722222222222214</v>
      </c>
    </row>
    <row r="306" spans="1:9" x14ac:dyDescent="0.2">
      <c r="A306" s="11">
        <v>27</v>
      </c>
      <c r="B306" s="15">
        <v>3.133</v>
      </c>
      <c r="C306" s="11">
        <f t="shared" si="21"/>
        <v>3498.9283312790976</v>
      </c>
      <c r="D306" s="11">
        <f t="shared" si="18"/>
        <v>90.727605062925178</v>
      </c>
      <c r="E306" s="11">
        <f t="shared" si="19"/>
        <v>907.27605062925159</v>
      </c>
      <c r="F306" s="11">
        <f>'Speed Calc'!B$5*E306</f>
        <v>816.54844556632645</v>
      </c>
      <c r="G306" s="15">
        <f>'Speed Calc'!G$3+'Speed Calc'!G$5*A306^2</f>
        <v>20</v>
      </c>
      <c r="H306" s="7">
        <f>(F306-G306)/'Speed Calc'!G$2*9.806</f>
        <v>5.785891894239553</v>
      </c>
      <c r="I306" s="4">
        <f t="shared" si="20"/>
        <v>7.5</v>
      </c>
    </row>
    <row r="307" spans="1:9" x14ac:dyDescent="0.2">
      <c r="A307" s="11">
        <v>27.1</v>
      </c>
      <c r="B307" s="15">
        <v>3.133</v>
      </c>
      <c r="C307" s="11">
        <f t="shared" si="21"/>
        <v>3511.8873250986494</v>
      </c>
      <c r="D307" s="11">
        <f t="shared" si="18"/>
        <v>91.076172751593418</v>
      </c>
      <c r="E307" s="11">
        <f t="shared" si="19"/>
        <v>907.40098313395652</v>
      </c>
      <c r="F307" s="11">
        <f>'Speed Calc'!B$5*E307</f>
        <v>816.66088482056091</v>
      </c>
      <c r="G307" s="15">
        <f>'Speed Calc'!G$3+'Speed Calc'!G$5*A307^2</f>
        <v>20</v>
      </c>
      <c r="H307" s="7">
        <f>(F307-G307)/'Speed Calc'!G$2*9.806</f>
        <v>5.7867086196669772</v>
      </c>
      <c r="I307" s="4">
        <f t="shared" si="20"/>
        <v>7.5277777777777777</v>
      </c>
    </row>
    <row r="308" spans="1:9" x14ac:dyDescent="0.2">
      <c r="A308" s="11">
        <v>27.2</v>
      </c>
      <c r="B308" s="15">
        <v>3.133</v>
      </c>
      <c r="C308" s="11">
        <f t="shared" si="21"/>
        <v>3524.8463189182007</v>
      </c>
      <c r="D308" s="11">
        <f t="shared" si="18"/>
        <v>91.424802926792154</v>
      </c>
      <c r="E308" s="11">
        <f t="shared" si="19"/>
        <v>907.52561728801061</v>
      </c>
      <c r="F308" s="11">
        <f>'Speed Calc'!B$5*E308</f>
        <v>816.77305555920952</v>
      </c>
      <c r="G308" s="15">
        <f>'Speed Calc'!G$3+'Speed Calc'!G$5*A308^2</f>
        <v>20</v>
      </c>
      <c r="H308" s="7">
        <f>(F308-G308)/'Speed Calc'!G$2*9.806</f>
        <v>5.7875233946767466</v>
      </c>
      <c r="I308" s="4">
        <f t="shared" si="20"/>
        <v>7.5555555555555554</v>
      </c>
    </row>
    <row r="309" spans="1:9" x14ac:dyDescent="0.2">
      <c r="A309" s="11">
        <v>27.3</v>
      </c>
      <c r="B309" s="15">
        <v>3.133</v>
      </c>
      <c r="C309" s="11">
        <f t="shared" si="21"/>
        <v>3537.8053127377534</v>
      </c>
      <c r="D309" s="11">
        <f t="shared" si="18"/>
        <v>91.773506957241835</v>
      </c>
      <c r="E309" s="11">
        <f t="shared" si="19"/>
        <v>907.65006880788633</v>
      </c>
      <c r="F309" s="11">
        <f>'Speed Calc'!B$5*E309</f>
        <v>816.88506192709769</v>
      </c>
      <c r="G309" s="15">
        <f>'Speed Calc'!G$3+'Speed Calc'!G$5*A309^2</f>
        <v>20</v>
      </c>
      <c r="H309" s="7">
        <f>(F309-G309)/'Speed Calc'!G$2*9.806</f>
        <v>5.7883369757460139</v>
      </c>
      <c r="I309" s="4">
        <f t="shared" si="20"/>
        <v>7.583333333333333</v>
      </c>
    </row>
    <row r="310" spans="1:9" x14ac:dyDescent="0.2">
      <c r="A310" s="11">
        <v>27.4</v>
      </c>
      <c r="B310" s="15">
        <v>3.133</v>
      </c>
      <c r="C310" s="11">
        <f t="shared" si="21"/>
        <v>3550.7643065573052</v>
      </c>
      <c r="D310" s="11">
        <f t="shared" si="18"/>
        <v>92.122296270449681</v>
      </c>
      <c r="E310" s="11">
        <f t="shared" si="19"/>
        <v>907.77445230005173</v>
      </c>
      <c r="F310" s="11">
        <f>'Speed Calc'!B$5*E310</f>
        <v>816.99700707004661</v>
      </c>
      <c r="G310" s="15">
        <f>'Speed Calc'!G$3+'Speed Calc'!G$5*A310^2</f>
        <v>20</v>
      </c>
      <c r="H310" s="7">
        <f>(F310-G310)/'Speed Calc'!G$2*9.806</f>
        <v>5.7891501120954647</v>
      </c>
      <c r="I310" s="4">
        <f t="shared" si="20"/>
        <v>7.6111111111111107</v>
      </c>
    </row>
    <row r="311" spans="1:9" x14ac:dyDescent="0.2">
      <c r="A311" s="11">
        <v>27.5</v>
      </c>
      <c r="B311" s="15">
        <v>3.133</v>
      </c>
      <c r="C311" s="11">
        <f t="shared" si="21"/>
        <v>3563.7233003768574</v>
      </c>
      <c r="D311" s="11">
        <f t="shared" si="18"/>
        <v>92.471182350653507</v>
      </c>
      <c r="E311" s="11">
        <f t="shared" si="19"/>
        <v>907.89888126096196</v>
      </c>
      <c r="F311" s="11">
        <f>'Speed Calc'!B$5*E311</f>
        <v>817.10899313486573</v>
      </c>
      <c r="G311" s="15">
        <f>'Speed Calc'!G$3+'Speed Calc'!G$5*A311^2</f>
        <v>20</v>
      </c>
      <c r="H311" s="7">
        <f>(F311-G311)/'Speed Calc'!G$2*9.806</f>
        <v>5.789963545689254</v>
      </c>
      <c r="I311" s="4">
        <f t="shared" si="20"/>
        <v>7.6388888888888884</v>
      </c>
    </row>
    <row r="312" spans="1:9" x14ac:dyDescent="0.2">
      <c r="A312" s="11">
        <v>27.6</v>
      </c>
      <c r="B312" s="15">
        <v>3.133</v>
      </c>
      <c r="C312" s="11">
        <f t="shared" si="21"/>
        <v>3576.682294196411</v>
      </c>
      <c r="D312" s="11">
        <f t="shared" si="18"/>
        <v>92.820176736766797</v>
      </c>
      <c r="E312" s="11">
        <f t="shared" si="19"/>
        <v>908.02346807706624</v>
      </c>
      <c r="F312" s="11">
        <f>'Speed Calc'!B$5*E312</f>
        <v>817.22112126935963</v>
      </c>
      <c r="G312" s="15">
        <f>'Speed Calc'!G$3+'Speed Calc'!G$5*A312^2</f>
        <v>20</v>
      </c>
      <c r="H312" s="7">
        <f>(F312-G312)/'Speed Calc'!G$2*9.806</f>
        <v>5.7907780112350666</v>
      </c>
      <c r="I312" s="4">
        <f t="shared" si="20"/>
        <v>7.666666666666667</v>
      </c>
    </row>
    <row r="313" spans="1:9" x14ac:dyDescent="0.2">
      <c r="A313" s="11">
        <v>27.7</v>
      </c>
      <c r="B313" s="15">
        <v>3.133</v>
      </c>
      <c r="C313" s="11">
        <f t="shared" si="21"/>
        <v>3589.6412880159619</v>
      </c>
      <c r="D313" s="11">
        <f t="shared" si="18"/>
        <v>93.169291020322376</v>
      </c>
      <c r="E313" s="11">
        <f t="shared" si="19"/>
        <v>908.14832402480329</v>
      </c>
      <c r="F313" s="11">
        <f>'Speed Calc'!B$5*E313</f>
        <v>817.33349162232298</v>
      </c>
      <c r="G313" s="15">
        <f>'Speed Calc'!G$3+'Speed Calc'!G$5*A313^2</f>
        <v>20</v>
      </c>
      <c r="H313" s="7">
        <f>(F313-G313)/'Speed Calc'!G$2*9.806</f>
        <v>5.7915942361840722</v>
      </c>
      <c r="I313" s="4">
        <f t="shared" si="20"/>
        <v>7.6944444444444438</v>
      </c>
    </row>
    <row r="314" spans="1:9" x14ac:dyDescent="0.2">
      <c r="A314" s="11">
        <v>27.8</v>
      </c>
      <c r="B314" s="15">
        <v>3.133</v>
      </c>
      <c r="C314" s="11">
        <f t="shared" si="21"/>
        <v>3602.6002818355137</v>
      </c>
      <c r="D314" s="11">
        <f t="shared" si="18"/>
        <v>93.518536843417763</v>
      </c>
      <c r="E314" s="11">
        <f t="shared" si="19"/>
        <v>908.27355927060455</v>
      </c>
      <c r="F314" s="11">
        <f>'Speed Calc'!B$5*E314</f>
        <v>817.44620334354408</v>
      </c>
      <c r="G314" s="15">
        <f>'Speed Calc'!G$3+'Speed Calc'!G$5*A314^2</f>
        <v>20</v>
      </c>
      <c r="H314" s="7">
        <f>(F314-G314)/'Speed Calc'!G$2*9.806</f>
        <v>5.7924129407309577</v>
      </c>
      <c r="I314" s="4">
        <f t="shared" si="20"/>
        <v>7.7222222222222223</v>
      </c>
    </row>
    <row r="315" spans="1:9" x14ac:dyDescent="0.2">
      <c r="A315" s="11">
        <v>27.9</v>
      </c>
      <c r="B315" s="15">
        <v>3.133</v>
      </c>
      <c r="C315" s="11">
        <f t="shared" si="21"/>
        <v>3615.5592756550668</v>
      </c>
      <c r="D315" s="11">
        <f t="shared" si="18"/>
        <v>93.867925896658818</v>
      </c>
      <c r="E315" s="11">
        <f t="shared" si="19"/>
        <v>908.39928287089162</v>
      </c>
      <c r="F315" s="11">
        <f>'Speed Calc'!B$5*E315</f>
        <v>817.55935458380247</v>
      </c>
      <c r="G315" s="15">
        <f>'Speed Calc'!G$3+'Speed Calc'!G$5*A315^2</f>
        <v>20</v>
      </c>
      <c r="H315" s="7">
        <f>(F315-G315)/'Speed Calc'!G$2*9.806</f>
        <v>5.7932348378139009</v>
      </c>
      <c r="I315" s="4">
        <f t="shared" si="20"/>
        <v>7.7499999999999991</v>
      </c>
    </row>
    <row r="316" spans="1:9" x14ac:dyDescent="0.2">
      <c r="A316" s="11">
        <v>28</v>
      </c>
      <c r="B316" s="15">
        <v>3.133</v>
      </c>
      <c r="C316" s="11">
        <f t="shared" si="21"/>
        <v>3628.518269474619</v>
      </c>
      <c r="D316" s="11">
        <f t="shared" si="18"/>
        <v>94.217469917104523</v>
      </c>
      <c r="E316" s="11">
        <f t="shared" si="19"/>
        <v>908.52560277207931</v>
      </c>
      <c r="F316" s="11">
        <f>'Speed Calc'!B$5*E316</f>
        <v>817.67304249487142</v>
      </c>
      <c r="G316" s="15">
        <f>'Speed Calc'!G$3+'Speed Calc'!G$5*A316^2</f>
        <v>20</v>
      </c>
      <c r="H316" s="7">
        <f>(F316-G316)/'Speed Calc'!G$2*9.806</f>
        <v>5.794060633114599</v>
      </c>
      <c r="I316" s="4">
        <f t="shared" si="20"/>
        <v>7.7777777777777777</v>
      </c>
    </row>
    <row r="317" spans="1:9" x14ac:dyDescent="0.2">
      <c r="A317" s="11">
        <v>28.1</v>
      </c>
      <c r="B317" s="15">
        <v>3.133</v>
      </c>
      <c r="C317" s="11">
        <f t="shared" si="21"/>
        <v>3641.4772632941708</v>
      </c>
      <c r="D317" s="11">
        <f t="shared" si="18"/>
        <v>94.567180686211344</v>
      </c>
      <c r="E317" s="11">
        <f t="shared" si="19"/>
        <v>908.65262581057175</v>
      </c>
      <c r="F317" s="11">
        <f>'Speed Calc'!B$5*E317</f>
        <v>817.78736322951454</v>
      </c>
      <c r="G317" s="15">
        <f>'Speed Calc'!G$3+'Speed Calc'!G$5*A317^2</f>
        <v>20</v>
      </c>
      <c r="H317" s="7">
        <f>(F317-G317)/'Speed Calc'!G$2*9.806</f>
        <v>5.7948910250582371</v>
      </c>
      <c r="I317" s="4">
        <f t="shared" si="20"/>
        <v>7.8055555555555554</v>
      </c>
    </row>
    <row r="318" spans="1:9" x14ac:dyDescent="0.2">
      <c r="A318" s="11">
        <v>28.2</v>
      </c>
      <c r="B318" s="15">
        <v>3.133</v>
      </c>
      <c r="C318" s="11">
        <f t="shared" si="21"/>
        <v>3654.4362571137231</v>
      </c>
      <c r="D318" s="11">
        <f t="shared" si="18"/>
        <v>94.917070027777754</v>
      </c>
      <c r="E318" s="11">
        <f t="shared" si="19"/>
        <v>908.78045771276584</v>
      </c>
      <c r="F318" s="11">
        <f>'Speed Calc'!B$5*E318</f>
        <v>817.90241194148928</v>
      </c>
      <c r="G318" s="15">
        <f>'Speed Calc'!G$3+'Speed Calc'!G$5*A318^2</f>
        <v>20</v>
      </c>
      <c r="H318" s="7">
        <f>(F318-G318)/'Speed Calc'!G$2*9.806</f>
        <v>5.7957267048135135</v>
      </c>
      <c r="I318" s="4">
        <f t="shared" si="20"/>
        <v>7.833333333333333</v>
      </c>
    </row>
    <row r="319" spans="1:9" x14ac:dyDescent="0.2">
      <c r="A319" s="11">
        <v>28.3</v>
      </c>
      <c r="B319" s="15">
        <v>3.133</v>
      </c>
      <c r="C319" s="11">
        <f t="shared" si="21"/>
        <v>3667.3952509332757</v>
      </c>
      <c r="D319" s="11">
        <f t="shared" si="18"/>
        <v>95.267149805888323</v>
      </c>
      <c r="E319" s="11">
        <f t="shared" si="19"/>
        <v>908.90920309504759</v>
      </c>
      <c r="F319" s="11">
        <f>'Speed Calc'!B$5*E319</f>
        <v>818.01828278554285</v>
      </c>
      <c r="G319" s="15">
        <f>'Speed Calc'!G$3+'Speed Calc'!G$5*A319^2</f>
        <v>20</v>
      </c>
      <c r="H319" s="7">
        <f>(F319-G319)/'Speed Calc'!G$2*9.806</f>
        <v>5.7965683562926174</v>
      </c>
      <c r="I319" s="4">
        <f t="shared" si="20"/>
        <v>7.8611111111111107</v>
      </c>
    </row>
    <row r="320" spans="1:9" x14ac:dyDescent="0.2">
      <c r="A320" s="11">
        <v>28.4</v>
      </c>
      <c r="B320" s="15">
        <v>3.133</v>
      </c>
      <c r="C320" s="11">
        <f t="shared" si="21"/>
        <v>3680.3542447528271</v>
      </c>
      <c r="D320" s="11">
        <f t="shared" si="18"/>
        <v>95.617431922858643</v>
      </c>
      <c r="E320" s="11">
        <f t="shared" si="19"/>
        <v>909.03896546379724</v>
      </c>
      <c r="F320" s="11">
        <f>'Speed Calc'!B$5*E320</f>
        <v>818.13506891741758</v>
      </c>
      <c r="G320" s="15">
        <f>'Speed Calc'!G$3+'Speed Calc'!G$5*A320^2</f>
        <v>20</v>
      </c>
      <c r="H320" s="7">
        <f>(F320-G320)/'Speed Calc'!G$2*9.806</f>
        <v>5.7974166561512561</v>
      </c>
      <c r="I320" s="4">
        <f t="shared" si="20"/>
        <v>7.8888888888888884</v>
      </c>
    </row>
    <row r="321" spans="1:9" x14ac:dyDescent="0.2">
      <c r="A321" s="11">
        <v>28.5</v>
      </c>
      <c r="B321" s="15">
        <v>3.133</v>
      </c>
      <c r="C321" s="11">
        <f t="shared" si="21"/>
        <v>3693.3132385723802</v>
      </c>
      <c r="D321" s="11">
        <f t="shared" si="18"/>
        <v>95.967928317179386</v>
      </c>
      <c r="E321" s="11">
        <f t="shared" si="19"/>
        <v>909.16984721538358</v>
      </c>
      <c r="F321" s="11">
        <f>'Speed Calc'!B$5*E321</f>
        <v>818.25286249384521</v>
      </c>
      <c r="G321" s="15">
        <f>'Speed Calc'!G$3+'Speed Calc'!G$5*A321^2</f>
        <v>20</v>
      </c>
      <c r="H321" s="7">
        <f>(F321-G321)/'Speed Calc'!G$2*9.806</f>
        <v>5.7982722737886263</v>
      </c>
      <c r="I321" s="4">
        <f t="shared" si="20"/>
        <v>7.9166666666666661</v>
      </c>
    </row>
    <row r="322" spans="1:9" x14ac:dyDescent="0.2">
      <c r="A322" s="11">
        <v>28.6</v>
      </c>
      <c r="B322" s="15">
        <v>3.133</v>
      </c>
      <c r="C322" s="11">
        <f t="shared" si="21"/>
        <v>3706.2722323919324</v>
      </c>
      <c r="D322" s="11">
        <f t="shared" si="18"/>
        <v>96.318650961460932</v>
      </c>
      <c r="E322" s="11">
        <f t="shared" si="19"/>
        <v>909.30194963616941</v>
      </c>
      <c r="F322" s="11">
        <f>'Speed Calc'!B$5*E322</f>
        <v>818.37175467255247</v>
      </c>
      <c r="G322" s="15">
        <f>'Speed Calc'!G$3+'Speed Calc'!G$5*A322^2</f>
        <v>20</v>
      </c>
      <c r="H322" s="7">
        <f>(F322-G322)/'Speed Calc'!G$2*9.806</f>
        <v>5.7991358713474437</v>
      </c>
      <c r="I322" s="4">
        <f t="shared" si="20"/>
        <v>7.9444444444444446</v>
      </c>
    </row>
    <row r="323" spans="1:9" x14ac:dyDescent="0.2">
      <c r="A323" s="11">
        <v>28.7</v>
      </c>
      <c r="B323" s="15">
        <v>3.133</v>
      </c>
      <c r="C323" s="11">
        <f t="shared" si="21"/>
        <v>3719.2312262114838</v>
      </c>
      <c r="D323" s="11">
        <f t="shared" si="18"/>
        <v>96.669611860377643</v>
      </c>
      <c r="E323" s="11">
        <f t="shared" si="19"/>
        <v>909.43537290250765</v>
      </c>
      <c r="F323" s="11">
        <f>'Speed Calc'!B$5*E323</f>
        <v>818.49183561225686</v>
      </c>
      <c r="G323" s="15">
        <f>'Speed Calc'!G$3+'Speed Calc'!G$5*A323^2</f>
        <v>20</v>
      </c>
      <c r="H323" s="7">
        <f>(F323-G323)/'Speed Calc'!G$2*9.806</f>
        <v>5.8000081037139193</v>
      </c>
      <c r="I323" s="4">
        <f t="shared" si="20"/>
        <v>7.9722222222222214</v>
      </c>
    </row>
    <row r="324" spans="1:9" x14ac:dyDescent="0.2">
      <c r="A324" s="11">
        <v>28.8</v>
      </c>
      <c r="B324" s="15">
        <v>3.133</v>
      </c>
      <c r="C324" s="11">
        <f t="shared" si="21"/>
        <v>3732.1902200310365</v>
      </c>
      <c r="D324" s="11">
        <f t="shared" si="18"/>
        <v>97.020823048612414</v>
      </c>
      <c r="E324" s="11">
        <f t="shared" si="19"/>
        <v>909.57021608074137</v>
      </c>
      <c r="F324" s="11">
        <f>'Speed Calc'!B$5*E324</f>
        <v>818.61319447266726</v>
      </c>
      <c r="G324" s="15">
        <f>'Speed Calc'!G$3+'Speed Calc'!G$5*A324^2</f>
        <v>20</v>
      </c>
      <c r="H324" s="7">
        <f>(F324-G324)/'Speed Calc'!G$2*9.806</f>
        <v>5.8008896185177594</v>
      </c>
      <c r="I324" s="4">
        <f t="shared" si="20"/>
        <v>8</v>
      </c>
    </row>
    <row r="325" spans="1:9" x14ac:dyDescent="0.2">
      <c r="A325" s="11">
        <v>28.9</v>
      </c>
      <c r="B325" s="15">
        <v>3.133</v>
      </c>
      <c r="C325" s="11">
        <f t="shared" si="21"/>
        <v>3745.1492138505891</v>
      </c>
      <c r="D325" s="11">
        <f t="shared" si="18"/>
        <v>97.372296588800992</v>
      </c>
      <c r="E325" s="11">
        <f t="shared" si="19"/>
        <v>909.7065771272064</v>
      </c>
      <c r="F325" s="11">
        <f>'Speed Calc'!B$5*E325</f>
        <v>818.73591941448581</v>
      </c>
      <c r="G325" s="15">
        <f>'Speed Calc'!G$3+'Speed Calc'!G$5*A325^2</f>
        <v>20</v>
      </c>
      <c r="H325" s="7">
        <f>(F325-G325)/'Speed Calc'!G$2*9.806</f>
        <v>5.8017810561321825</v>
      </c>
      <c r="I325" s="4">
        <f t="shared" si="20"/>
        <v>8.0277777777777768</v>
      </c>
    </row>
    <row r="326" spans="1:9" x14ac:dyDescent="0.2">
      <c r="A326" s="11">
        <v>29</v>
      </c>
      <c r="B326" s="15">
        <v>3.133</v>
      </c>
      <c r="C326" s="11">
        <f t="shared" si="21"/>
        <v>3758.1082076701405</v>
      </c>
      <c r="D326" s="11">
        <f t="shared" si="18"/>
        <v>97.724044569476575</v>
      </c>
      <c r="E326" s="11">
        <f t="shared" si="19"/>
        <v>909.84455288823051</v>
      </c>
      <c r="F326" s="11">
        <f>'Speed Calc'!B$5*E326</f>
        <v>818.86009759940748</v>
      </c>
      <c r="G326" s="15">
        <f>'Speed Calc'!G$3+'Speed Calc'!G$5*A326^2</f>
        <v>20</v>
      </c>
      <c r="H326" s="7">
        <f>(F326-G326)/'Speed Calc'!G$2*9.806</f>
        <v>5.8026830496739175</v>
      </c>
      <c r="I326" s="4">
        <f t="shared" si="20"/>
        <v>8.0555555555555554</v>
      </c>
    </row>
    <row r="327" spans="1:9" x14ac:dyDescent="0.2">
      <c r="A327" s="11">
        <v>29.1</v>
      </c>
      <c r="B327" s="15">
        <v>3.133</v>
      </c>
      <c r="C327" s="11">
        <f t="shared" si="21"/>
        <v>3771.0672014896936</v>
      </c>
      <c r="D327" s="11">
        <f t="shared" si="18"/>
        <v>98.076079103014166</v>
      </c>
      <c r="E327" s="11">
        <f t="shared" si="19"/>
        <v>909.98423910013139</v>
      </c>
      <c r="F327" s="11">
        <f>'Speed Calc'!B$5*E327</f>
        <v>818.98581519011827</v>
      </c>
      <c r="G327" s="15">
        <f>'Speed Calc'!G$3+'Speed Calc'!G$5*A327^2</f>
        <v>20</v>
      </c>
      <c r="H327" s="7">
        <f>(F327-G327)/'Speed Calc'!G$2*9.806</f>
        <v>5.8035962250031847</v>
      </c>
      <c r="I327" s="4">
        <f t="shared" si="20"/>
        <v>8.0833333333333339</v>
      </c>
    </row>
    <row r="328" spans="1:9" x14ac:dyDescent="0.2">
      <c r="A328" s="11">
        <v>29.2</v>
      </c>
      <c r="B328" s="15">
        <v>3.133</v>
      </c>
      <c r="C328" s="11">
        <f t="shared" si="21"/>
        <v>3784.0261953092449</v>
      </c>
      <c r="D328" s="11">
        <f t="shared" si="18"/>
        <v>98.428412323574591</v>
      </c>
      <c r="E328" s="11">
        <f t="shared" si="19"/>
        <v>910.12573038921732</v>
      </c>
      <c r="F328" s="11">
        <f>'Speed Calc'!B$5*E328</f>
        <v>819.11315735029564</v>
      </c>
      <c r="G328" s="15">
        <f>'Speed Calc'!G$3+'Speed Calc'!G$5*A328^2</f>
        <v>20</v>
      </c>
      <c r="H328" s="7">
        <f>(F328-G328)/'Speed Calc'!G$2*9.806</f>
        <v>5.8045212007237028</v>
      </c>
      <c r="I328" s="4">
        <f t="shared" si="20"/>
        <v>8.1111111111111107</v>
      </c>
    </row>
    <row r="329" spans="1:9" x14ac:dyDescent="0.2">
      <c r="A329" s="11">
        <v>29.3</v>
      </c>
      <c r="B329" s="15">
        <v>3.133</v>
      </c>
      <c r="C329" s="11">
        <f t="shared" si="21"/>
        <v>3796.9851891287981</v>
      </c>
      <c r="D329" s="11">
        <f t="shared" si="18"/>
        <v>98.781056385049766</v>
      </c>
      <c r="E329" s="11">
        <f t="shared" si="19"/>
        <v>910.26912027178969</v>
      </c>
      <c r="F329" s="11">
        <f>'Speed Calc'!B$5*E329</f>
        <v>819.24220824461077</v>
      </c>
      <c r="G329" s="15">
        <f>'Speed Calc'!G$3+'Speed Calc'!G$5*A329^2</f>
        <v>20</v>
      </c>
      <c r="H329" s="7">
        <f>(F329-G329)/'Speed Calc'!G$2*9.806</f>
        <v>5.805458588182705</v>
      </c>
      <c r="I329" s="4">
        <f t="shared" si="20"/>
        <v>8.1388888888888893</v>
      </c>
    </row>
    <row r="330" spans="1:9" x14ac:dyDescent="0.2">
      <c r="A330" s="11">
        <v>29.4</v>
      </c>
      <c r="B330" s="15">
        <v>3.133</v>
      </c>
      <c r="C330" s="11">
        <f t="shared" si="21"/>
        <v>3809.9441829483499</v>
      </c>
      <c r="D330" s="11">
        <f t="shared" si="18"/>
        <v>99.134023459006514</v>
      </c>
      <c r="E330" s="11">
        <f t="shared" si="19"/>
        <v>910.41450115414136</v>
      </c>
      <c r="F330" s="11">
        <f>'Speed Calc'!B$5*E330</f>
        <v>819.37305103872723</v>
      </c>
      <c r="G330" s="15">
        <f>'Speed Calc'!G$3+'Speed Calc'!G$5*A330^2</f>
        <v>20</v>
      </c>
      <c r="H330" s="7">
        <f>(F330-G330)/'Speed Calc'!G$2*9.806</f>
        <v>5.8064089914709323</v>
      </c>
      <c r="I330" s="4">
        <f t="shared" si="20"/>
        <v>8.1666666666666661</v>
      </c>
    </row>
    <row r="331" spans="1:9" x14ac:dyDescent="0.2">
      <c r="A331" s="11">
        <v>29.5</v>
      </c>
      <c r="B331" s="15">
        <v>3.133</v>
      </c>
      <c r="C331" s="11">
        <f t="shared" si="21"/>
        <v>3822.9031767679026</v>
      </c>
      <c r="D331" s="11">
        <f t="shared" si="18"/>
        <v>99.487325732631021</v>
      </c>
      <c r="E331" s="11">
        <f t="shared" si="19"/>
        <v>910.56196433255514</v>
      </c>
      <c r="F331" s="11">
        <f>'Speed Calc'!B$5*E331</f>
        <v>819.5057678992996</v>
      </c>
      <c r="G331" s="15">
        <f>'Speed Calc'!G$3+'Speed Calc'!G$5*A331^2</f>
        <v>20</v>
      </c>
      <c r="H331" s="7">
        <f>(F331-G331)/'Speed Calc'!G$2*9.806</f>
        <v>5.8073730074226155</v>
      </c>
      <c r="I331" s="4">
        <f t="shared" si="20"/>
        <v>8.1944444444444446</v>
      </c>
    </row>
    <row r="332" spans="1:9" x14ac:dyDescent="0.2">
      <c r="A332" s="11">
        <v>29.6</v>
      </c>
      <c r="B332" s="15">
        <v>3.133</v>
      </c>
      <c r="C332" s="11">
        <f t="shared" si="21"/>
        <v>3835.8621705874552</v>
      </c>
      <c r="D332" s="11">
        <f t="shared" si="18"/>
        <v>99.840975406673621</v>
      </c>
      <c r="E332" s="11">
        <f t="shared" si="19"/>
        <v>910.71159999330632</v>
      </c>
      <c r="F332" s="11">
        <f>'Speed Calc'!B$5*E332</f>
        <v>819.64043999397575</v>
      </c>
      <c r="G332" s="15">
        <f>'Speed Calc'!G$3+'Speed Calc'!G$5*A332^2</f>
        <v>20</v>
      </c>
      <c r="H332" s="7">
        <f>(F332-G332)/'Speed Calc'!G$2*9.806</f>
        <v>5.8083512256154997</v>
      </c>
      <c r="I332" s="4">
        <f t="shared" si="20"/>
        <v>8.2222222222222232</v>
      </c>
    </row>
    <row r="333" spans="1:9" x14ac:dyDescent="0.2">
      <c r="A333" s="11">
        <v>29.7</v>
      </c>
      <c r="B333" s="15">
        <v>3.133</v>
      </c>
      <c r="C333" s="11">
        <f t="shared" si="21"/>
        <v>3848.8211644070066</v>
      </c>
      <c r="D333" s="11">
        <f t="shared" si="18"/>
        <v>100.1949846933926</v>
      </c>
      <c r="E333" s="11">
        <f t="shared" si="19"/>
        <v>910.86349721265992</v>
      </c>
      <c r="F333" s="11">
        <f>'Speed Calc'!B$5*E333</f>
        <v>819.77714749139398</v>
      </c>
      <c r="G333" s="15">
        <f>'Speed Calc'!G$3+'Speed Calc'!G$5*A333^2</f>
        <v>20</v>
      </c>
      <c r="H333" s="7">
        <f>(F333-G333)/'Speed Calc'!G$2*9.806</f>
        <v>5.8093442283708212</v>
      </c>
      <c r="I333" s="4">
        <f t="shared" si="20"/>
        <v>8.25</v>
      </c>
    </row>
    <row r="334" spans="1:9" x14ac:dyDescent="0.2">
      <c r="A334" s="11">
        <v>29.8</v>
      </c>
      <c r="B334" s="15">
        <v>3.133</v>
      </c>
      <c r="C334" s="11">
        <f t="shared" si="21"/>
        <v>3861.7801582265583</v>
      </c>
      <c r="D334" s="11">
        <f t="shared" si="18"/>
        <v>100.54936581449951</v>
      </c>
      <c r="E334" s="11">
        <f t="shared" si="19"/>
        <v>911.01774395687471</v>
      </c>
      <c r="F334" s="11">
        <f>'Speed Calc'!B$5*E334</f>
        <v>819.91596956118724</v>
      </c>
      <c r="G334" s="15">
        <f>'Speed Calc'!G$3+'Speed Calc'!G$5*A334^2</f>
        <v>20</v>
      </c>
      <c r="H334" s="7">
        <f>(F334-G334)/'Speed Calc'!G$2*9.806</f>
        <v>5.8103525907533342</v>
      </c>
      <c r="I334" s="4">
        <f t="shared" si="20"/>
        <v>8.2777777777777786</v>
      </c>
    </row>
    <row r="335" spans="1:9" x14ac:dyDescent="0.2">
      <c r="A335" s="11">
        <v>29.9</v>
      </c>
      <c r="B335" s="15">
        <v>3.133</v>
      </c>
      <c r="C335" s="11">
        <f t="shared" si="21"/>
        <v>3874.7391520461115</v>
      </c>
      <c r="D335" s="11">
        <f t="shared" si="18"/>
        <v>100.9041309991027</v>
      </c>
      <c r="E335" s="11">
        <f t="shared" si="19"/>
        <v>911.17442708219824</v>
      </c>
      <c r="F335" s="11">
        <f>'Speed Calc'!B$5*E335</f>
        <v>820.05698437397848</v>
      </c>
      <c r="G335" s="15">
        <f>'Speed Calc'!G$3+'Speed Calc'!G$5*A335^2</f>
        <v>20</v>
      </c>
      <c r="H335" s="7">
        <f>(F335-G335)/'Speed Calc'!G$2*9.806</f>
        <v>5.8113768805712835</v>
      </c>
      <c r="I335" s="4">
        <f t="shared" si="20"/>
        <v>8.3055555555555554</v>
      </c>
    </row>
    <row r="336" spans="1:9" x14ac:dyDescent="0.2">
      <c r="A336" s="11">
        <v>30</v>
      </c>
      <c r="B336" s="15">
        <v>3.133</v>
      </c>
      <c r="C336" s="11">
        <f t="shared" si="21"/>
        <v>3887.6981458656642</v>
      </c>
      <c r="D336" s="11">
        <f t="shared" si="18"/>
        <v>101.25929248165227</v>
      </c>
      <c r="E336" s="11">
        <f t="shared" si="19"/>
        <v>911.33363233487012</v>
      </c>
      <c r="F336" s="11">
        <f>'Speed Calc'!B$5*E336</f>
        <v>820.20026910138313</v>
      </c>
      <c r="G336" s="15">
        <f>'Speed Calc'!G$3+'Speed Calc'!G$5*A336^2</f>
        <v>20</v>
      </c>
      <c r="H336" s="7">
        <f>(F336-G336)/'Speed Calc'!G$2*9.806</f>
        <v>5.8124176583764164</v>
      </c>
      <c r="I336" s="4">
        <f t="shared" si="20"/>
        <v>8.3333333333333339</v>
      </c>
    </row>
    <row r="337" spans="1:9" x14ac:dyDescent="0.2">
      <c r="A337" s="11">
        <v>30.1</v>
      </c>
      <c r="B337" s="15">
        <v>3.133</v>
      </c>
      <c r="C337" s="11">
        <f t="shared" si="21"/>
        <v>3900.657139685216</v>
      </c>
      <c r="D337" s="11">
        <f t="shared" si="18"/>
        <v>101.61486249988459</v>
      </c>
      <c r="E337" s="11">
        <f t="shared" si="19"/>
        <v>911.49544435112421</v>
      </c>
      <c r="F337" s="11">
        <f>'Speed Calc'!B$5*E337</f>
        <v>820.34589991601183</v>
      </c>
      <c r="G337" s="15">
        <f>'Speed Calc'!G$3+'Speed Calc'!G$5*A337^2</f>
        <v>20</v>
      </c>
      <c r="H337" s="7">
        <f>(F337-G337)/'Speed Calc'!G$2*9.806</f>
        <v>5.8134754774640083</v>
      </c>
      <c r="I337" s="4">
        <f t="shared" si="20"/>
        <v>8.3611111111111107</v>
      </c>
    </row>
    <row r="338" spans="1:9" x14ac:dyDescent="0.2">
      <c r="A338" s="11">
        <v>30.2</v>
      </c>
      <c r="B338" s="15">
        <v>3.133</v>
      </c>
      <c r="C338" s="11">
        <f t="shared" si="21"/>
        <v>3913.6161335047673</v>
      </c>
      <c r="D338" s="11">
        <f t="shared" si="18"/>
        <v>101.97085329276614</v>
      </c>
      <c r="E338" s="11">
        <f t="shared" si="19"/>
        <v>911.65994665718097</v>
      </c>
      <c r="F338" s="11">
        <f>'Speed Calc'!B$5*E338</f>
        <v>820.49395199146284</v>
      </c>
      <c r="G338" s="15">
        <f>'Speed Calc'!G$3+'Speed Calc'!G$5*A338^2</f>
        <v>20</v>
      </c>
      <c r="H338" s="7">
        <f>(F338-G338)/'Speed Calc'!G$2*9.806</f>
        <v>5.8145508838728031</v>
      </c>
      <c r="I338" s="4">
        <f t="shared" si="20"/>
        <v>8.3888888888888893</v>
      </c>
    </row>
    <row r="339" spans="1:9" x14ac:dyDescent="0.2">
      <c r="A339" s="11">
        <v>30.3</v>
      </c>
      <c r="B339" s="15">
        <v>3.133</v>
      </c>
      <c r="C339" s="11">
        <f t="shared" si="21"/>
        <v>3926.57512732432</v>
      </c>
      <c r="D339" s="11">
        <f t="shared" si="18"/>
        <v>102.32727709843859</v>
      </c>
      <c r="E339" s="11">
        <f t="shared" si="19"/>
        <v>911.82722166925464</v>
      </c>
      <c r="F339" s="11">
        <f>'Speed Calc'!B$5*E339</f>
        <v>820.64449950232915</v>
      </c>
      <c r="G339" s="15">
        <f>'Speed Calc'!G$3+'Speed Calc'!G$5*A339^2</f>
        <v>20</v>
      </c>
      <c r="H339" s="7">
        <f>(F339-G339)/'Speed Calc'!G$2*9.806</f>
        <v>5.8156444163850667</v>
      </c>
      <c r="I339" s="4">
        <f t="shared" si="20"/>
        <v>8.4166666666666661</v>
      </c>
    </row>
    <row r="340" spans="1:9" x14ac:dyDescent="0.2">
      <c r="A340" s="11">
        <v>30.4</v>
      </c>
      <c r="B340" s="15">
        <v>3.133</v>
      </c>
      <c r="C340" s="11">
        <f t="shared" si="21"/>
        <v>3939.5341211438717</v>
      </c>
      <c r="D340" s="11">
        <f t="shared" si="18"/>
        <v>102.68414615216278</v>
      </c>
      <c r="E340" s="11">
        <f t="shared" si="19"/>
        <v>911.9973506935512</v>
      </c>
      <c r="F340" s="11">
        <f>'Speed Calc'!B$5*E340</f>
        <v>820.79761562419606</v>
      </c>
      <c r="G340" s="15">
        <f>'Speed Calc'!G$3+'Speed Calc'!G$5*A340^2</f>
        <v>20</v>
      </c>
      <c r="H340" s="7">
        <f>(F340-G340)/'Speed Calc'!G$2*9.806</f>
        <v>5.8167566065265675</v>
      </c>
      <c r="I340" s="4">
        <f t="shared" si="20"/>
        <v>8.4444444444444446</v>
      </c>
    </row>
    <row r="341" spans="1:9" x14ac:dyDescent="0.2">
      <c r="A341" s="11">
        <v>30.5</v>
      </c>
      <c r="B341" s="15">
        <v>3.133</v>
      </c>
      <c r="C341" s="11">
        <f t="shared" si="21"/>
        <v>3952.493114963424</v>
      </c>
      <c r="D341" s="11">
        <f t="shared" si="18"/>
        <v>103.04147268426348</v>
      </c>
      <c r="E341" s="11">
        <f t="shared" si="19"/>
        <v>912.17041392626697</v>
      </c>
      <c r="F341" s="11">
        <f>'Speed Calc'!B$5*E341</f>
        <v>820.95337253364028</v>
      </c>
      <c r="G341" s="15">
        <f>'Speed Calc'!G$3+'Speed Calc'!G$5*A341^2</f>
        <v>20</v>
      </c>
      <c r="H341" s="7">
        <f>(F341-G341)/'Speed Calc'!G$2*9.806</f>
        <v>5.8178879785665751</v>
      </c>
      <c r="I341" s="4">
        <f t="shared" si="20"/>
        <v>8.4722222222222214</v>
      </c>
    </row>
    <row r="342" spans="1:9" x14ac:dyDescent="0.2">
      <c r="A342" s="11">
        <v>30.6</v>
      </c>
      <c r="B342" s="15">
        <v>3.133</v>
      </c>
      <c r="C342" s="11">
        <f t="shared" si="21"/>
        <v>3965.4521087829776</v>
      </c>
      <c r="D342" s="11">
        <f t="shared" si="18"/>
        <v>103.39926891807364</v>
      </c>
      <c r="E342" s="11">
        <f t="shared" si="19"/>
        <v>912.34649045359072</v>
      </c>
      <c r="F342" s="11">
        <f>'Speed Calc'!B$5*E342</f>
        <v>821.11184140823161</v>
      </c>
      <c r="G342" s="15">
        <f>'Speed Calc'!G$3+'Speed Calc'!G$5*A342^2</f>
        <v>20</v>
      </c>
      <c r="H342" s="7">
        <f>(F342-G342)/'Speed Calc'!G$2*9.806</f>
        <v>5.8190390495178663</v>
      </c>
      <c r="I342" s="4">
        <f t="shared" si="20"/>
        <v>8.5</v>
      </c>
    </row>
    <row r="343" spans="1:9" x14ac:dyDescent="0.2">
      <c r="A343" s="11">
        <v>30.7</v>
      </c>
      <c r="B343" s="15">
        <v>3.133</v>
      </c>
      <c r="C343" s="11">
        <f t="shared" si="21"/>
        <v>3978.4111026025284</v>
      </c>
      <c r="D343" s="11">
        <f t="shared" si="18"/>
        <v>103.75754706787845</v>
      </c>
      <c r="E343" s="11">
        <f t="shared" si="19"/>
        <v>912.52565825169995</v>
      </c>
      <c r="F343" s="11">
        <f>'Speed Calc'!B$5*E343</f>
        <v>821.27309242652996</v>
      </c>
      <c r="G343" s="15">
        <f>'Speed Calc'!G$3+'Speed Calc'!G$5*A343^2</f>
        <v>20</v>
      </c>
      <c r="H343" s="7">
        <f>(F343-G343)/'Speed Calc'!G$2*9.806</f>
        <v>5.8202103291367049</v>
      </c>
      <c r="I343" s="4">
        <f t="shared" si="20"/>
        <v>8.5277777777777768</v>
      </c>
    </row>
    <row r="344" spans="1:9" x14ac:dyDescent="0.2">
      <c r="A344" s="11">
        <v>30.8</v>
      </c>
      <c r="B344" s="15">
        <v>3.133</v>
      </c>
      <c r="C344" s="11">
        <f t="shared" si="21"/>
        <v>3991.3700964220816</v>
      </c>
      <c r="D344" s="11">
        <f t="shared" si="18"/>
        <v>104.11631933686087</v>
      </c>
      <c r="E344" s="11">
        <f t="shared" si="19"/>
        <v>912.70799418676722</v>
      </c>
      <c r="F344" s="11">
        <f>'Speed Calc'!B$5*E344</f>
        <v>821.43719476809054</v>
      </c>
      <c r="G344" s="15">
        <f>'Speed Calc'!G$3+'Speed Calc'!G$5*A344^2</f>
        <v>20</v>
      </c>
      <c r="H344" s="7">
        <f>(F344-G344)/'Speed Calc'!G$2*9.806</f>
        <v>5.8214023199228855</v>
      </c>
      <c r="I344" s="4">
        <f t="shared" si="20"/>
        <v>8.5555555555555554</v>
      </c>
    </row>
    <row r="345" spans="1:9" x14ac:dyDescent="0.2">
      <c r="A345" s="11">
        <v>30.9</v>
      </c>
      <c r="B345" s="15">
        <v>3.133</v>
      </c>
      <c r="C345" s="11">
        <f t="shared" si="21"/>
        <v>4004.3290902416325</v>
      </c>
      <c r="D345" s="11">
        <f t="shared" si="18"/>
        <v>104.47559791504467</v>
      </c>
      <c r="E345" s="11">
        <f t="shared" si="19"/>
        <v>912.89357401495363</v>
      </c>
      <c r="F345" s="11">
        <f>'Speed Calc'!B$5*E345</f>
        <v>821.60421661345833</v>
      </c>
      <c r="G345" s="15">
        <f>'Speed Calc'!G$3+'Speed Calc'!G$5*A345^2</f>
        <v>20</v>
      </c>
      <c r="H345" s="7">
        <f>(F345-G345)/'Speed Calc'!G$2*9.806</f>
        <v>5.8226155171196829</v>
      </c>
      <c r="I345" s="4">
        <f t="shared" si="20"/>
        <v>8.5833333333333321</v>
      </c>
    </row>
    <row r="346" spans="1:9" x14ac:dyDescent="0.2">
      <c r="A346" s="11">
        <v>31</v>
      </c>
      <c r="B346" s="15">
        <v>3.133</v>
      </c>
      <c r="C346" s="11">
        <f t="shared" si="21"/>
        <v>4017.2880840611851</v>
      </c>
      <c r="D346" s="11">
        <f t="shared" si="18"/>
        <v>104.83539497724003</v>
      </c>
      <c r="E346" s="11">
        <f t="shared" si="19"/>
        <v>913.08247238241324</v>
      </c>
      <c r="F346" s="11">
        <f>'Speed Calc'!B$5*E346</f>
        <v>821.77422514417196</v>
      </c>
      <c r="G346" s="15">
        <f>'Speed Calc'!G$3+'Speed Calc'!G$5*A346^2</f>
        <v>20</v>
      </c>
      <c r="H346" s="7">
        <f>(F346-G346)/'Speed Calc'!G$2*9.806</f>
        <v>5.8238504087138887</v>
      </c>
      <c r="I346" s="4">
        <f t="shared" si="20"/>
        <v>8.6111111111111107</v>
      </c>
    </row>
    <row r="347" spans="1:9" x14ac:dyDescent="0.2">
      <c r="A347" s="11">
        <v>31.1</v>
      </c>
      <c r="B347" s="15">
        <v>3.133</v>
      </c>
      <c r="C347" s="11">
        <f t="shared" si="21"/>
        <v>4030.2470778807383</v>
      </c>
      <c r="D347" s="11">
        <f t="shared" si="18"/>
        <v>105.19572268098696</v>
      </c>
      <c r="E347" s="11">
        <f t="shared" si="19"/>
        <v>913.27476282528869</v>
      </c>
      <c r="F347" s="11">
        <f>'Speed Calc'!B$5*E347</f>
        <v>821.9472865427598</v>
      </c>
      <c r="G347" s="15">
        <f>'Speed Calc'!G$3+'Speed Calc'!G$5*A347^2</f>
        <v>20</v>
      </c>
      <c r="H347" s="7">
        <f>(F347-G347)/'Speed Calc'!G$2*9.806</f>
        <v>5.8251074754357788</v>
      </c>
      <c r="I347" s="4">
        <f t="shared" si="20"/>
        <v>8.6388888888888893</v>
      </c>
    </row>
    <row r="348" spans="1:9" x14ac:dyDescent="0.2">
      <c r="A348" s="11">
        <v>31.2</v>
      </c>
      <c r="B348" s="15">
        <v>3.133</v>
      </c>
      <c r="C348" s="11">
        <f t="shared" si="21"/>
        <v>4043.2060717002892</v>
      </c>
      <c r="D348" s="11">
        <f t="shared" si="18"/>
        <v>105.55659316450075</v>
      </c>
      <c r="E348" s="11">
        <f t="shared" si="19"/>
        <v>913.47051776971819</v>
      </c>
      <c r="F348" s="11">
        <f>'Speed Calc'!B$5*E348</f>
        <v>822.12346599274633</v>
      </c>
      <c r="G348" s="15">
        <f>'Speed Calc'!G$3+'Speed Calc'!G$5*A348^2</f>
        <v>20</v>
      </c>
      <c r="H348" s="7">
        <f>(F348-G348)/'Speed Calc'!G$2*9.806</f>
        <v>5.8263871907591627</v>
      </c>
      <c r="I348" s="4">
        <f t="shared" si="20"/>
        <v>8.6666666666666661</v>
      </c>
    </row>
    <row r="349" spans="1:9" x14ac:dyDescent="0.2">
      <c r="A349" s="11">
        <v>31.3</v>
      </c>
      <c r="B349" s="15">
        <v>3.133</v>
      </c>
      <c r="C349" s="11">
        <f t="shared" si="21"/>
        <v>4056.1650655198418</v>
      </c>
      <c r="D349" s="11">
        <f t="shared" si="18"/>
        <v>105.91801854461562</v>
      </c>
      <c r="E349" s="11">
        <f t="shared" si="19"/>
        <v>913.66980853182804</v>
      </c>
      <c r="F349" s="11">
        <f>'Speed Calc'!B$5*E349</f>
        <v>822.30282767864526</v>
      </c>
      <c r="G349" s="15">
        <f>'Speed Calc'!G$3+'Speed Calc'!G$5*A349^2</f>
        <v>20</v>
      </c>
      <c r="H349" s="7">
        <f>(F349-G349)/'Speed Calc'!G$2*9.806</f>
        <v>5.8276900209013291</v>
      </c>
      <c r="I349" s="4">
        <f t="shared" si="20"/>
        <v>8.6944444444444446</v>
      </c>
    </row>
    <row r="350" spans="1:9" x14ac:dyDescent="0.2">
      <c r="A350" s="11">
        <v>31.4</v>
      </c>
      <c r="B350" s="15">
        <v>3.133</v>
      </c>
      <c r="C350" s="11">
        <f t="shared" si="21"/>
        <v>4069.1240593393932</v>
      </c>
      <c r="D350" s="11">
        <f t="shared" si="18"/>
        <v>106.28001091472927</v>
      </c>
      <c r="E350" s="11">
        <f t="shared" si="19"/>
        <v>913.87270531773618</v>
      </c>
      <c r="F350" s="11">
        <f>'Speed Calc'!B$5*E350</f>
        <v>822.48543478596252</v>
      </c>
      <c r="G350" s="15">
        <f>'Speed Calc'!G$3+'Speed Calc'!G$5*A350^2</f>
        <v>20</v>
      </c>
      <c r="H350" s="7">
        <f>(F350-G350)/'Speed Calc'!G$2*9.806</f>
        <v>5.8290164248230729</v>
      </c>
      <c r="I350" s="4">
        <f t="shared" si="20"/>
        <v>8.7222222222222214</v>
      </c>
    </row>
    <row r="351" spans="1:9" x14ac:dyDescent="0.2">
      <c r="A351" s="11">
        <v>31.5</v>
      </c>
      <c r="B351" s="15">
        <v>3.133</v>
      </c>
      <c r="C351" s="11">
        <f t="shared" si="21"/>
        <v>4082.0830531589468</v>
      </c>
      <c r="D351" s="11">
        <f t="shared" si="18"/>
        <v>106.64258234274803</v>
      </c>
      <c r="E351" s="11">
        <f t="shared" si="19"/>
        <v>914.07927722355441</v>
      </c>
      <c r="F351" s="11">
        <f>'Speed Calc'!B$5*E351</f>
        <v>822.67134950119896</v>
      </c>
      <c r="G351" s="15">
        <f>'Speed Calc'!G$3+'Speed Calc'!G$5*A351^2</f>
        <v>20</v>
      </c>
      <c r="H351" s="7">
        <f>(F351-G351)/'Speed Calc'!G$2*9.806</f>
        <v>5.8303668542287079</v>
      </c>
      <c r="I351" s="4">
        <f t="shared" si="20"/>
        <v>8.75</v>
      </c>
    </row>
    <row r="352" spans="1:9" x14ac:dyDescent="0.2">
      <c r="A352" s="11">
        <v>31.6</v>
      </c>
      <c r="B352" s="15">
        <v>3.133</v>
      </c>
      <c r="C352" s="11">
        <f t="shared" si="21"/>
        <v>4095.0420469784985</v>
      </c>
      <c r="D352" s="11">
        <f t="shared" si="18"/>
        <v>107.00574486902991</v>
      </c>
      <c r="E352" s="11">
        <f t="shared" si="19"/>
        <v>914.28959223538232</v>
      </c>
      <c r="F352" s="11">
        <f>'Speed Calc'!B$5*E352</f>
        <v>822.86063301184413</v>
      </c>
      <c r="G352" s="15">
        <f>'Speed Calc'!G$3+'Speed Calc'!G$5*A352^2</f>
        <v>20</v>
      </c>
      <c r="H352" s="7">
        <f>(F352-G352)/'Speed Calc'!G$2*9.806</f>
        <v>5.8317417535660319</v>
      </c>
      <c r="I352" s="4">
        <f t="shared" si="20"/>
        <v>8.7777777777777786</v>
      </c>
    </row>
    <row r="353" spans="1:9" x14ac:dyDescent="0.2">
      <c r="A353" s="11">
        <v>31.7</v>
      </c>
      <c r="B353" s="15">
        <v>3.133</v>
      </c>
      <c r="C353" s="11">
        <f t="shared" si="21"/>
        <v>4108.0010407980508</v>
      </c>
      <c r="D353" s="11">
        <f t="shared" si="18"/>
        <v>107.36951050433026</v>
      </c>
      <c r="E353" s="11">
        <f t="shared" si="19"/>
        <v>914.50371722931152</v>
      </c>
      <c r="F353" s="11">
        <f>'Speed Calc'!B$5*E353</f>
        <v>823.05334550638042</v>
      </c>
      <c r="G353" s="15">
        <f>'Speed Calc'!G$3+'Speed Calc'!G$5*A353^2</f>
        <v>20</v>
      </c>
      <c r="H353" s="7">
        <f>(F353-G353)/'Speed Calc'!G$2*9.806</f>
        <v>5.8331415600263448</v>
      </c>
      <c r="I353" s="4">
        <f t="shared" si="20"/>
        <v>8.8055555555555554</v>
      </c>
    </row>
    <row r="354" spans="1:9" x14ac:dyDescent="0.2">
      <c r="A354" s="11">
        <v>31.8</v>
      </c>
      <c r="B354" s="15">
        <v>3.133</v>
      </c>
      <c r="C354" s="11">
        <f t="shared" si="21"/>
        <v>4120.960034617603</v>
      </c>
      <c r="D354" s="11">
        <f t="shared" si="18"/>
        <v>107.73389122774606</v>
      </c>
      <c r="E354" s="11">
        <f t="shared" si="19"/>
        <v>914.72171797142892</v>
      </c>
      <c r="F354" s="11">
        <f>'Speed Calc'!B$5*E354</f>
        <v>823.24954617428602</v>
      </c>
      <c r="G354" s="15">
        <f>'Speed Calc'!G$3+'Speed Calc'!G$5*A354^2</f>
        <v>20</v>
      </c>
      <c r="H354" s="7">
        <f>(F354-G354)/'Speed Calc'!G$2*9.806</f>
        <v>5.8345667035444801</v>
      </c>
      <c r="I354" s="4">
        <f t="shared" si="20"/>
        <v>8.8333333333333339</v>
      </c>
    </row>
    <row r="355" spans="1:9" x14ac:dyDescent="0.2">
      <c r="A355" s="11">
        <v>31.9</v>
      </c>
      <c r="B355" s="15">
        <v>3.133</v>
      </c>
      <c r="C355" s="11">
        <f t="shared" si="21"/>
        <v>4133.9190284371552</v>
      </c>
      <c r="D355" s="11">
        <f t="shared" si="18"/>
        <v>108.09889898465953</v>
      </c>
      <c r="E355" s="11">
        <f t="shared" si="19"/>
        <v>914.94365911780778</v>
      </c>
      <c r="F355" s="11">
        <f>'Speed Calc'!B$5*E355</f>
        <v>823.44929320602705</v>
      </c>
      <c r="G355" s="15">
        <f>'Speed Calc'!G$3+'Speed Calc'!G$5*A355^2</f>
        <v>20</v>
      </c>
      <c r="H355" s="7">
        <f>(F355-G355)/'Speed Calc'!G$2*9.806</f>
        <v>5.836017606798741</v>
      </c>
      <c r="I355" s="4">
        <f t="shared" si="20"/>
        <v>8.8611111111111107</v>
      </c>
    </row>
    <row r="356" spans="1:9" x14ac:dyDescent="0.2">
      <c r="A356" s="11">
        <v>32</v>
      </c>
      <c r="B356" s="15">
        <v>3.133</v>
      </c>
      <c r="C356" s="11">
        <f t="shared" si="21"/>
        <v>4146.8780222567084</v>
      </c>
      <c r="D356" s="11">
        <f t="shared" si="18"/>
        <v>108.4645456846832</v>
      </c>
      <c r="E356" s="11">
        <f t="shared" si="19"/>
        <v>915.16960421451449</v>
      </c>
      <c r="F356" s="11">
        <f>'Speed Calc'!B$5*E356</f>
        <v>823.65264379306302</v>
      </c>
      <c r="G356" s="15">
        <f>'Speed Calc'!G$3+'Speed Calc'!G$5*A356^2</f>
        <v>20</v>
      </c>
      <c r="H356" s="7">
        <f>(F356-G356)/'Speed Calc'!G$2*9.806</f>
        <v>5.8374946852109453</v>
      </c>
      <c r="I356" s="4">
        <f t="shared" si="20"/>
        <v>8.8888888888888893</v>
      </c>
    </row>
    <row r="357" spans="1:9" x14ac:dyDescent="0.2">
      <c r="A357" s="11">
        <v>32.1</v>
      </c>
      <c r="B357" s="15">
        <v>3.133</v>
      </c>
      <c r="C357" s="11">
        <f t="shared" si="21"/>
        <v>4159.8370160762597</v>
      </c>
      <c r="D357" s="11">
        <f t="shared" ref="D357:D420" si="22">-4.687*10^(-17)*C357^5+9.129*10^(-13)*C357^4-6.175*10^(-9)*C357^3+1.799*10^(-5)*C357^2+6.502*10^(-3)*C357</f>
        <v>108.83084319960453</v>
      </c>
      <c r="E357" s="11">
        <f t="shared" si="19"/>
        <v>915.3996156976084</v>
      </c>
      <c r="F357" s="11">
        <f>'Speed Calc'!B$5*E357</f>
        <v>823.85965412784753</v>
      </c>
      <c r="G357" s="15">
        <f>'Speed Calc'!G$3+'Speed Calc'!G$5*A357^2</f>
        <v>20</v>
      </c>
      <c r="H357" s="7">
        <f>(F357-G357)/'Speed Calc'!G$2*9.806</f>
        <v>5.8389983469464237</v>
      </c>
      <c r="I357" s="4">
        <f t="shared" si="20"/>
        <v>8.9166666666666661</v>
      </c>
    </row>
    <row r="358" spans="1:9" x14ac:dyDescent="0.2">
      <c r="A358" s="11">
        <v>32.200000000000003</v>
      </c>
      <c r="B358" s="15">
        <v>3.133</v>
      </c>
      <c r="C358" s="11">
        <f t="shared" si="21"/>
        <v>4172.7960098958119</v>
      </c>
      <c r="D358" s="11">
        <f t="shared" si="22"/>
        <v>109.19780336132965</v>
      </c>
      <c r="E358" s="11">
        <f t="shared" ref="E358:E421" si="23">D358*75*B358*B$31*B$32/B$23/C358/2/PI()*60</f>
        <v>915.63375489313682</v>
      </c>
      <c r="F358" s="11">
        <f>'Speed Calc'!B$5*E358</f>
        <v>824.07037940382315</v>
      </c>
      <c r="G358" s="15">
        <f>'Speed Calc'!G$3+'Speed Calc'!G$5*A358^2</f>
        <v>20</v>
      </c>
      <c r="H358" s="7">
        <f>(F358-G358)/'Speed Calc'!G$2*9.806</f>
        <v>5.8405289929139919</v>
      </c>
      <c r="I358" s="4">
        <f t="shared" ref="I358:I421" si="24">A358/3.6</f>
        <v>8.9444444444444446</v>
      </c>
    </row>
    <row r="359" spans="1:9" x14ac:dyDescent="0.2">
      <c r="A359" s="11">
        <v>32.299999999999997</v>
      </c>
      <c r="B359" s="15">
        <v>3.133</v>
      </c>
      <c r="C359" s="11">
        <f t="shared" si="21"/>
        <v>4185.7550037153642</v>
      </c>
      <c r="D359" s="11">
        <f t="shared" si="22"/>
        <v>109.56543795982844</v>
      </c>
      <c r="E359" s="11">
        <f t="shared" si="23"/>
        <v>915.87208201714168</v>
      </c>
      <c r="F359" s="11">
        <f>'Speed Calc'!B$5*E359</f>
        <v>824.28487381542755</v>
      </c>
      <c r="G359" s="15">
        <f>'Speed Calc'!G$3+'Speed Calc'!G$5*A359^2</f>
        <v>20</v>
      </c>
      <c r="H359" s="7">
        <f>(F359-G359)/'Speed Calc'!G$2*9.806</f>
        <v>5.8420870167659862</v>
      </c>
      <c r="I359" s="4">
        <f t="shared" si="24"/>
        <v>8.9722222222222214</v>
      </c>
    </row>
    <row r="360" spans="1:9" x14ac:dyDescent="0.2">
      <c r="A360" s="11">
        <v>32.4</v>
      </c>
      <c r="B360" s="15">
        <v>3.133</v>
      </c>
      <c r="C360" s="11">
        <f t="shared" si="21"/>
        <v>4198.7139975349164</v>
      </c>
      <c r="D360" s="11">
        <f t="shared" si="22"/>
        <v>109.93375874107846</v>
      </c>
      <c r="E360" s="11">
        <f t="shared" si="23"/>
        <v>916.11465617565386</v>
      </c>
      <c r="F360" s="11">
        <f>'Speed Calc'!B$5*E360</f>
        <v>824.50319055808848</v>
      </c>
      <c r="G360" s="15">
        <f>'Speed Calc'!G$3+'Speed Calc'!G$5*A360^2</f>
        <v>20</v>
      </c>
      <c r="H360" s="7">
        <f>(F360-G360)/'Speed Calc'!G$2*9.806</f>
        <v>5.843672804898234</v>
      </c>
      <c r="I360" s="4">
        <f t="shared" si="24"/>
        <v>9</v>
      </c>
    </row>
    <row r="361" spans="1:9" x14ac:dyDescent="0.2">
      <c r="A361" s="11">
        <v>32.5</v>
      </c>
      <c r="B361" s="15">
        <v>3.133</v>
      </c>
      <c r="C361" s="11">
        <f t="shared" si="21"/>
        <v>4211.6729913544677</v>
      </c>
      <c r="D361" s="11">
        <f t="shared" si="22"/>
        <v>110.30277740500989</v>
      </c>
      <c r="E361" s="11">
        <f t="shared" si="23"/>
        <v>916.36153536469772</v>
      </c>
      <c r="F361" s="11">
        <f>'Speed Calc'!B$5*E361</f>
        <v>824.72538182822791</v>
      </c>
      <c r="G361" s="15">
        <f>'Speed Calc'!G$3+'Speed Calc'!G$5*A361^2</f>
        <v>20</v>
      </c>
      <c r="H361" s="7">
        <f>(F361-G361)/'Speed Calc'!G$2*9.806</f>
        <v>5.8452867364500758</v>
      </c>
      <c r="I361" s="4">
        <f t="shared" si="24"/>
        <v>9.0277777777777768</v>
      </c>
    </row>
    <row r="362" spans="1:9" x14ac:dyDescent="0.2">
      <c r="A362" s="11">
        <v>32.6</v>
      </c>
      <c r="B362" s="15">
        <v>3.133</v>
      </c>
      <c r="C362" s="11">
        <f t="shared" si="21"/>
        <v>4224.6319851740209</v>
      </c>
      <c r="D362" s="11">
        <f t="shared" si="22"/>
        <v>110.67250560344939</v>
      </c>
      <c r="E362" s="11">
        <f t="shared" si="23"/>
        <v>916.61277647028635</v>
      </c>
      <c r="F362" s="11">
        <f>'Speed Calc'!B$5*E362</f>
        <v>824.95149882325768</v>
      </c>
      <c r="G362" s="15">
        <f>'Speed Calc'!G$3+'Speed Calc'!G$5*A362^2</f>
        <v>20</v>
      </c>
      <c r="H362" s="7">
        <f>(F362-G362)/'Speed Calc'!G$2*9.806</f>
        <v>5.8469291833043444</v>
      </c>
      <c r="I362" s="4">
        <f t="shared" si="24"/>
        <v>9.0555555555555554</v>
      </c>
    </row>
    <row r="363" spans="1:9" x14ac:dyDescent="0.2">
      <c r="A363" s="11">
        <v>32.700000000000003</v>
      </c>
      <c r="B363" s="15">
        <v>3.133</v>
      </c>
      <c r="C363" s="11">
        <f t="shared" ref="C363:C426" si="25">A363/3.6/B$23/2/PI()*B$32*B$31*B363*60</f>
        <v>4237.590978993574</v>
      </c>
      <c r="D363" s="11">
        <f t="shared" si="22"/>
        <v>111.04295493806501</v>
      </c>
      <c r="E363" s="11">
        <f t="shared" si="23"/>
        <v>916.86843526842642</v>
      </c>
      <c r="F363" s="11">
        <f>'Speed Calc'!B$5*E363</f>
        <v>825.18159174158382</v>
      </c>
      <c r="G363" s="15">
        <f>'Speed Calc'!G$3+'Speed Calc'!G$5*A363^2</f>
        <v>20</v>
      </c>
      <c r="H363" s="7">
        <f>(F363-G363)/'Speed Calc'!G$2*9.806</f>
        <v>5.848600510087385</v>
      </c>
      <c r="I363" s="4">
        <f t="shared" si="24"/>
        <v>9.0833333333333339</v>
      </c>
    </row>
    <row r="364" spans="1:9" x14ac:dyDescent="0.2">
      <c r="A364" s="11">
        <v>32.799999999999997</v>
      </c>
      <c r="B364" s="15">
        <v>3.133</v>
      </c>
      <c r="C364" s="11">
        <f t="shared" si="25"/>
        <v>4250.5499728131244</v>
      </c>
      <c r="D364" s="11">
        <f t="shared" si="22"/>
        <v>111.41413695831021</v>
      </c>
      <c r="E364" s="11">
        <f t="shared" si="23"/>
        <v>917.12856642511474</v>
      </c>
      <c r="F364" s="11">
        <f>'Speed Calc'!B$5*E364</f>
        <v>825.41570978260324</v>
      </c>
      <c r="G364" s="15">
        <f>'Speed Calc'!G$3+'Speed Calc'!G$5*A364^2</f>
        <v>20</v>
      </c>
      <c r="H364" s="7">
        <f>(F364-G364)/'Speed Calc'!G$2*9.806</f>
        <v>5.8503010741690424</v>
      </c>
      <c r="I364" s="4">
        <f t="shared" si="24"/>
        <v>9.1111111111111107</v>
      </c>
    </row>
    <row r="365" spans="1:9" x14ac:dyDescent="0.2">
      <c r="A365" s="11">
        <v>32.9</v>
      </c>
      <c r="B365" s="15">
        <v>3.133</v>
      </c>
      <c r="C365" s="11">
        <f t="shared" si="25"/>
        <v>4263.5089666326767</v>
      </c>
      <c r="D365" s="11">
        <f t="shared" si="22"/>
        <v>111.78606315936872</v>
      </c>
      <c r="E365" s="11">
        <f t="shared" si="23"/>
        <v>917.39322349633915</v>
      </c>
      <c r="F365" s="11">
        <f>'Speed Calc'!B$5*E365</f>
        <v>825.65390114670527</v>
      </c>
      <c r="G365" s="15">
        <f>'Speed Calc'!G$3+'Speed Calc'!G$5*A365^2</f>
        <v>20</v>
      </c>
      <c r="H365" s="7">
        <f>(F365-G365)/'Speed Calc'!G$2*9.806</f>
        <v>5.8520312256626594</v>
      </c>
      <c r="I365" s="4">
        <f t="shared" si="24"/>
        <v>9.1388888888888875</v>
      </c>
    </row>
    <row r="366" spans="1:9" x14ac:dyDescent="0.2">
      <c r="A366" s="11">
        <v>33</v>
      </c>
      <c r="B366" s="15">
        <v>3.133</v>
      </c>
      <c r="C366" s="11">
        <f t="shared" si="25"/>
        <v>4276.4679604522289</v>
      </c>
      <c r="D366" s="11">
        <f t="shared" si="22"/>
        <v>112.15874498009873</v>
      </c>
      <c r="E366" s="11">
        <f t="shared" si="23"/>
        <v>917.6624589280807</v>
      </c>
      <c r="F366" s="11">
        <f>'Speed Calc'!B$5*E366</f>
        <v>825.89621303527269</v>
      </c>
      <c r="G366" s="15">
        <f>'Speed Calc'!G$3+'Speed Calc'!G$5*A366^2</f>
        <v>20</v>
      </c>
      <c r="H366" s="7">
        <f>(F366-G366)/'Speed Calc'!G$2*9.806</f>
        <v>5.853791307425098</v>
      </c>
      <c r="I366" s="4">
        <f t="shared" si="24"/>
        <v>9.1666666666666661</v>
      </c>
    </row>
    <row r="367" spans="1:9" x14ac:dyDescent="0.2">
      <c r="A367" s="11">
        <v>33.1</v>
      </c>
      <c r="B367" s="15">
        <v>3.133</v>
      </c>
      <c r="C367" s="11">
        <f t="shared" si="25"/>
        <v>4289.426954271783</v>
      </c>
      <c r="D367" s="11">
        <f t="shared" si="22"/>
        <v>112.53219380097737</v>
      </c>
      <c r="E367" s="11">
        <f t="shared" si="23"/>
        <v>917.9363240563107</v>
      </c>
      <c r="F367" s="11">
        <f>'Speed Calc'!B$5*E367</f>
        <v>826.14269165067969</v>
      </c>
      <c r="G367" s="15">
        <f>'Speed Calc'!G$3+'Speed Calc'!G$5*A367^2</f>
        <v>20</v>
      </c>
      <c r="H367" s="7">
        <f>(F367-G367)/'Speed Calc'!G$2*9.806</f>
        <v>5.8555816550567146</v>
      </c>
      <c r="I367" s="4">
        <f t="shared" si="24"/>
        <v>9.1944444444444446</v>
      </c>
    </row>
    <row r="368" spans="1:9" x14ac:dyDescent="0.2">
      <c r="A368" s="11">
        <v>33.200000000000003</v>
      </c>
      <c r="B368" s="15">
        <v>3.133</v>
      </c>
      <c r="C368" s="11">
        <f t="shared" si="25"/>
        <v>4302.3859480913343</v>
      </c>
      <c r="D368" s="11">
        <f t="shared" si="22"/>
        <v>112.90642094204466</v>
      </c>
      <c r="E368" s="11">
        <f t="shared" si="23"/>
        <v>918.21486910698968</v>
      </c>
      <c r="F368" s="11">
        <f>'Speed Calc'!B$5*E368</f>
        <v>826.39338219629076</v>
      </c>
      <c r="G368" s="15">
        <f>'Speed Calc'!G$3+'Speed Calc'!G$5*A368^2</f>
        <v>20</v>
      </c>
      <c r="H368" s="7">
        <f>(F368-G368)/'Speed Calc'!G$2*9.806</f>
        <v>5.8574025969013528</v>
      </c>
      <c r="I368" s="4">
        <f t="shared" si="24"/>
        <v>9.2222222222222232</v>
      </c>
    </row>
    <row r="369" spans="1:9" x14ac:dyDescent="0.2">
      <c r="A369" s="11">
        <v>33.299999999999997</v>
      </c>
      <c r="B369" s="15">
        <v>3.133</v>
      </c>
      <c r="C369" s="11">
        <f t="shared" si="25"/>
        <v>4315.3449419108865</v>
      </c>
      <c r="D369" s="11">
        <f t="shared" si="22"/>
        <v>113.28143766084906</v>
      </c>
      <c r="E369" s="11">
        <f t="shared" si="23"/>
        <v>918.49814319607344</v>
      </c>
      <c r="F369" s="11">
        <f>'Speed Calc'!B$5*E369</f>
        <v>826.64832887646617</v>
      </c>
      <c r="G369" s="15">
        <f>'Speed Calc'!G$3+'Speed Calc'!G$5*A369^2</f>
        <v>20</v>
      </c>
      <c r="H369" s="7">
        <f>(F369-G369)/'Speed Calc'!G$2*9.806</f>
        <v>5.8592544540463898</v>
      </c>
      <c r="I369" s="4">
        <f t="shared" si="24"/>
        <v>9.2499999999999982</v>
      </c>
    </row>
    <row r="370" spans="1:9" x14ac:dyDescent="0.2">
      <c r="A370" s="11">
        <v>33.4</v>
      </c>
      <c r="B370" s="15">
        <v>3.133</v>
      </c>
      <c r="C370" s="11">
        <f t="shared" si="25"/>
        <v>4328.3039357304378</v>
      </c>
      <c r="D370" s="11">
        <f t="shared" si="22"/>
        <v>113.6572551503908</v>
      </c>
      <c r="E370" s="11">
        <f t="shared" si="23"/>
        <v>918.78619432950654</v>
      </c>
      <c r="F370" s="11">
        <f>'Speed Calc'!B$5*E370</f>
        <v>826.90757489655596</v>
      </c>
      <c r="G370" s="15">
        <f>'Speed Calc'!G$3+'Speed Calc'!G$5*A370^2</f>
        <v>20</v>
      </c>
      <c r="H370" s="7">
        <f>(F370-G370)/'Speed Calc'!G$2*9.806</f>
        <v>5.8611375403226864</v>
      </c>
      <c r="I370" s="4">
        <f t="shared" si="24"/>
        <v>9.2777777777777768</v>
      </c>
    </row>
    <row r="371" spans="1:9" x14ac:dyDescent="0.2">
      <c r="A371" s="11">
        <v>33.5</v>
      </c>
      <c r="B371" s="15">
        <v>3.133</v>
      </c>
      <c r="C371" s="11">
        <f t="shared" si="25"/>
        <v>4341.262929549991</v>
      </c>
      <c r="D371" s="11">
        <f t="shared" si="22"/>
        <v>114.03388453706668</v>
      </c>
      <c r="E371" s="11">
        <f t="shared" si="23"/>
        <v>919.0790694032238</v>
      </c>
      <c r="F371" s="11">
        <f>'Speed Calc'!B$5*E371</f>
        <v>827.17116246290141</v>
      </c>
      <c r="G371" s="15">
        <f>'Speed Calc'!G$3+'Speed Calc'!G$5*A371^2</f>
        <v>20</v>
      </c>
      <c r="H371" s="7">
        <f>(F371-G371)/'Speed Calc'!G$2*9.806</f>
        <v>5.8630521623045997</v>
      </c>
      <c r="I371" s="4">
        <f t="shared" si="24"/>
        <v>9.3055555555555554</v>
      </c>
    </row>
    <row r="372" spans="1:9" x14ac:dyDescent="0.2">
      <c r="A372" s="11">
        <v>33.6</v>
      </c>
      <c r="B372" s="15">
        <v>3.133</v>
      </c>
      <c r="C372" s="11">
        <f t="shared" si="25"/>
        <v>4354.2219233695432</v>
      </c>
      <c r="D372" s="11">
        <f t="shared" si="22"/>
        <v>114.41133687861489</v>
      </c>
      <c r="E372" s="11">
        <f t="shared" si="23"/>
        <v>919.37681420315539</v>
      </c>
      <c r="F372" s="11">
        <f>'Speed Calc'!B$5*E372</f>
        <v>827.43913278283992</v>
      </c>
      <c r="G372" s="15">
        <f>'Speed Calc'!G$3+'Speed Calc'!G$5*A372^2</f>
        <v>20</v>
      </c>
      <c r="H372" s="7">
        <f>(F372-G372)/'Speed Calc'!G$2*9.806</f>
        <v>5.864998619310021</v>
      </c>
      <c r="I372" s="4">
        <f t="shared" si="24"/>
        <v>9.3333333333333339</v>
      </c>
    </row>
    <row r="373" spans="1:9" x14ac:dyDescent="0.2">
      <c r="A373" s="11">
        <v>33.700000000000003</v>
      </c>
      <c r="B373" s="15">
        <v>3.133</v>
      </c>
      <c r="C373" s="11">
        <f t="shared" si="25"/>
        <v>4367.1809171890964</v>
      </c>
      <c r="D373" s="11">
        <f t="shared" si="22"/>
        <v>114.78962316205877</v>
      </c>
      <c r="E373" s="11">
        <f t="shared" si="23"/>
        <v>919.67947340521846</v>
      </c>
      <c r="F373" s="11">
        <f>'Speed Calc'!B$5*E373</f>
        <v>827.71152606469661</v>
      </c>
      <c r="G373" s="15">
        <f>'Speed Calc'!G$3+'Speed Calc'!G$5*A373^2</f>
        <v>20</v>
      </c>
      <c r="H373" s="7">
        <f>(F373-G373)/'Speed Calc'!G$2*9.806</f>
        <v>5.8669772034003076</v>
      </c>
      <c r="I373" s="4">
        <f t="shared" si="24"/>
        <v>9.3611111111111125</v>
      </c>
    </row>
    <row r="374" spans="1:9" x14ac:dyDescent="0.2">
      <c r="A374" s="11">
        <v>33.799999999999997</v>
      </c>
      <c r="B374" s="15">
        <v>3.133</v>
      </c>
      <c r="C374" s="11">
        <f t="shared" si="25"/>
        <v>4380.1399110086468</v>
      </c>
      <c r="D374" s="11">
        <f t="shared" si="22"/>
        <v>115.16875430165157</v>
      </c>
      <c r="E374" s="11">
        <f t="shared" si="23"/>
        <v>919.98709057532346</v>
      </c>
      <c r="F374" s="11">
        <f>'Speed Calc'!B$5*E374</f>
        <v>827.98838151779114</v>
      </c>
      <c r="G374" s="15">
        <f>'Speed Calc'!G$3+'Speed Calc'!G$5*A374^2</f>
        <v>20</v>
      </c>
      <c r="H374" s="7">
        <f>(F374-G374)/'Speed Calc'!G$2*9.806</f>
        <v>5.8689881993803406</v>
      </c>
      <c r="I374" s="4">
        <f t="shared" si="24"/>
        <v>9.3888888888888875</v>
      </c>
    </row>
    <row r="375" spans="1:9" x14ac:dyDescent="0.2">
      <c r="A375" s="11">
        <v>33.9</v>
      </c>
      <c r="B375" s="15">
        <v>3.133</v>
      </c>
      <c r="C375" s="11">
        <f t="shared" si="25"/>
        <v>4393.0989048281999</v>
      </c>
      <c r="D375" s="11">
        <f t="shared" si="22"/>
        <v>115.54874113682148</v>
      </c>
      <c r="E375" s="11">
        <f t="shared" si="23"/>
        <v>920.29970816937464</v>
      </c>
      <c r="F375" s="11">
        <f>'Speed Calc'!B$5*E375</f>
        <v>828.26973735243723</v>
      </c>
      <c r="G375" s="15">
        <f>'Speed Calc'!G$3+'Speed Calc'!G$5*A375^2</f>
        <v>20</v>
      </c>
      <c r="H375" s="7">
        <f>(F375-G375)/'Speed Calc'!G$2*9.806</f>
        <v>5.8710318847985175</v>
      </c>
      <c r="I375" s="4">
        <f t="shared" si="24"/>
        <v>9.4166666666666661</v>
      </c>
    </row>
    <row r="376" spans="1:9" x14ac:dyDescent="0.2">
      <c r="A376" s="11">
        <v>34</v>
      </c>
      <c r="B376" s="15">
        <v>3.133</v>
      </c>
      <c r="C376" s="11">
        <f t="shared" si="25"/>
        <v>4406.0578986477522</v>
      </c>
      <c r="D376" s="11">
        <f t="shared" si="22"/>
        <v>115.92959443011432</v>
      </c>
      <c r="E376" s="11">
        <f t="shared" si="23"/>
        <v>920.61736753326079</v>
      </c>
      <c r="F376" s="11">
        <f>'Speed Calc'!B$5*E376</f>
        <v>828.55563077993475</v>
      </c>
      <c r="G376" s="15">
        <f>'Speed Calc'!G$3+'Speed Calc'!G$5*A376^2</f>
        <v>20</v>
      </c>
      <c r="H376" s="7">
        <f>(F376-G376)/'Speed Calc'!G$2*9.806</f>
        <v>5.8731085299466965</v>
      </c>
      <c r="I376" s="4">
        <f t="shared" si="24"/>
        <v>9.4444444444444446</v>
      </c>
    </row>
    <row r="377" spans="1:9" x14ac:dyDescent="0.2">
      <c r="A377" s="11">
        <v>34.1</v>
      </c>
      <c r="B377" s="15">
        <v>3.133</v>
      </c>
      <c r="C377" s="11">
        <f t="shared" si="25"/>
        <v>4419.0168924673044</v>
      </c>
      <c r="D377" s="11">
        <f t="shared" si="22"/>
        <v>116.31132486514028</v>
      </c>
      <c r="E377" s="11">
        <f t="shared" si="23"/>
        <v>920.94010890286995</v>
      </c>
      <c r="F377" s="11">
        <f>'Speed Calc'!B$5*E377</f>
        <v>828.84609801258296</v>
      </c>
      <c r="G377" s="15">
        <f>'Speed Calc'!G$3+'Speed Calc'!G$5*A377^2</f>
        <v>20</v>
      </c>
      <c r="H377" s="7">
        <f>(F377-G377)/'Speed Calc'!G$2*9.806</f>
        <v>5.8752183978602872</v>
      </c>
      <c r="I377" s="4">
        <f t="shared" si="24"/>
        <v>9.4722222222222232</v>
      </c>
    </row>
    <row r="378" spans="1:9" x14ac:dyDescent="0.2">
      <c r="A378" s="11">
        <v>34.200000000000003</v>
      </c>
      <c r="B378" s="15">
        <v>3.133</v>
      </c>
      <c r="C378" s="11">
        <f t="shared" si="25"/>
        <v>4431.9758862868557</v>
      </c>
      <c r="D378" s="11">
        <f t="shared" si="22"/>
        <v>116.69394304451629</v>
      </c>
      <c r="E378" s="11">
        <f t="shared" si="23"/>
        <v>921.26797140407609</v>
      </c>
      <c r="F378" s="11">
        <f>'Speed Calc'!B$5*E378</f>
        <v>829.14117426366852</v>
      </c>
      <c r="G378" s="15">
        <f>'Speed Calc'!G$3+'Speed Calc'!G$5*A378^2</f>
        <v>20</v>
      </c>
      <c r="H378" s="7">
        <f>(F378-G378)/'Speed Calc'!G$2*9.806</f>
        <v>5.8773617443181729</v>
      </c>
      <c r="I378" s="4">
        <f t="shared" si="24"/>
        <v>9.5</v>
      </c>
    </row>
    <row r="379" spans="1:9" x14ac:dyDescent="0.2">
      <c r="A379" s="11">
        <v>34.299999999999997</v>
      </c>
      <c r="B379" s="15">
        <v>3.133</v>
      </c>
      <c r="C379" s="11">
        <f t="shared" si="25"/>
        <v>4444.9348801064089</v>
      </c>
      <c r="D379" s="11">
        <f t="shared" si="22"/>
        <v>117.07745948781186</v>
      </c>
      <c r="E379" s="11">
        <f t="shared" si="23"/>
        <v>921.6009930527465</v>
      </c>
      <c r="F379" s="11">
        <f>'Speed Calc'!B$5*E379</f>
        <v>829.44089374747182</v>
      </c>
      <c r="G379" s="15">
        <f>'Speed Calc'!G$3+'Speed Calc'!G$5*A379^2</f>
        <v>20</v>
      </c>
      <c r="H379" s="7">
        <f>(F379-G379)/'Speed Calc'!G$2*9.806</f>
        <v>5.8795388178427466</v>
      </c>
      <c r="I379" s="4">
        <f t="shared" si="24"/>
        <v>9.5277777777777768</v>
      </c>
    </row>
    <row r="380" spans="1:9" x14ac:dyDescent="0.2">
      <c r="A380" s="11">
        <v>34.4</v>
      </c>
      <c r="B380" s="15">
        <v>3.133</v>
      </c>
      <c r="C380" s="11">
        <f t="shared" si="25"/>
        <v>4457.8938739259602</v>
      </c>
      <c r="D380" s="11">
        <f t="shared" si="22"/>
        <v>117.46188462949276</v>
      </c>
      <c r="E380" s="11">
        <f t="shared" si="23"/>
        <v>921.93921075473952</v>
      </c>
      <c r="F380" s="11">
        <f>'Speed Calc'!B$5*E380</f>
        <v>829.74528967926562</v>
      </c>
      <c r="G380" s="15">
        <f>'Speed Calc'!G$3+'Speed Calc'!G$5*A380^2</f>
        <v>20</v>
      </c>
      <c r="H380" s="7">
        <f>(F380-G380)/'Speed Calc'!G$2*9.806</f>
        <v>5.8817498596999096</v>
      </c>
      <c r="I380" s="4">
        <f t="shared" si="24"/>
        <v>9.5555555555555554</v>
      </c>
    </row>
    <row r="381" spans="1:9" x14ac:dyDescent="0.2">
      <c r="A381" s="11">
        <v>34.5</v>
      </c>
      <c r="B381" s="15">
        <v>3.133</v>
      </c>
      <c r="C381" s="11">
        <f t="shared" si="25"/>
        <v>4470.8528677455133</v>
      </c>
      <c r="D381" s="11">
        <f t="shared" si="22"/>
        <v>117.84722881686574</v>
      </c>
      <c r="E381" s="11">
        <f t="shared" si="23"/>
        <v>922.28266030590555</v>
      </c>
      <c r="F381" s="11">
        <f>'Speed Calc'!B$5*E381</f>
        <v>830.05439427531496</v>
      </c>
      <c r="G381" s="15">
        <f>'Speed Calc'!G$3+'Speed Calc'!G$5*A381^2</f>
        <v>20</v>
      </c>
      <c r="H381" s="7">
        <f>(F381-G381)/'Speed Calc'!G$2*9.806</f>
        <v>5.8839951038990659</v>
      </c>
      <c r="I381" s="4">
        <f t="shared" si="24"/>
        <v>9.5833333333333339</v>
      </c>
    </row>
    <row r="382" spans="1:9" x14ac:dyDescent="0.2">
      <c r="A382" s="11">
        <v>34.6</v>
      </c>
      <c r="B382" s="15">
        <v>3.133</v>
      </c>
      <c r="C382" s="11">
        <f t="shared" si="25"/>
        <v>4483.8118615650646</v>
      </c>
      <c r="D382" s="11">
        <f t="shared" si="22"/>
        <v>118.23350230802269</v>
      </c>
      <c r="E382" s="11">
        <f t="shared" si="23"/>
        <v>922.63137639208469</v>
      </c>
      <c r="F382" s="11">
        <f>'Speed Calc'!B$5*E382</f>
        <v>830.36823875287621</v>
      </c>
      <c r="G382" s="15">
        <f>'Speed Calc'!G$3+'Speed Calc'!G$5*A382^2</f>
        <v>20</v>
      </c>
      <c r="H382" s="7">
        <f>(F382-G382)/'Speed Calc'!G$2*9.806</f>
        <v>5.8862747771931136</v>
      </c>
      <c r="I382" s="4">
        <f t="shared" si="24"/>
        <v>9.6111111111111107</v>
      </c>
    </row>
    <row r="383" spans="1:9" x14ac:dyDescent="0.2">
      <c r="A383" s="11">
        <v>34.700000000000003</v>
      </c>
      <c r="B383" s="15">
        <v>3.133</v>
      </c>
      <c r="C383" s="11">
        <f t="shared" si="25"/>
        <v>4496.7708553846169</v>
      </c>
      <c r="D383" s="11">
        <f t="shared" si="22"/>
        <v>118.62071526978553</v>
      </c>
      <c r="E383" s="11">
        <f t="shared" si="23"/>
        <v>922.98539258910932</v>
      </c>
      <c r="F383" s="11">
        <f>'Speed Calc'!B$5*E383</f>
        <v>830.68685333019846</v>
      </c>
      <c r="G383" s="15">
        <f>'Speed Calc'!G$3+'Speed Calc'!G$5*A383^2</f>
        <v>20</v>
      </c>
      <c r="H383" s="7">
        <f>(F383-G383)/'Speed Calc'!G$2*9.806</f>
        <v>5.8885890990784633</v>
      </c>
      <c r="I383" s="4">
        <f t="shared" si="24"/>
        <v>9.6388888888888893</v>
      </c>
    </row>
    <row r="384" spans="1:9" x14ac:dyDescent="0.2">
      <c r="A384" s="11">
        <v>34.799999999999997</v>
      </c>
      <c r="B384" s="15">
        <v>3.133</v>
      </c>
      <c r="C384" s="11">
        <f t="shared" si="25"/>
        <v>4509.7298492041691</v>
      </c>
      <c r="D384" s="11">
        <f t="shared" si="22"/>
        <v>119.00887777565006</v>
      </c>
      <c r="E384" s="11">
        <f t="shared" si="23"/>
        <v>923.3447413628021</v>
      </c>
      <c r="F384" s="11">
        <f>'Speed Calc'!B$5*E384</f>
        <v>831.01026722652193</v>
      </c>
      <c r="G384" s="15">
        <f>'Speed Calc'!G$3+'Speed Calc'!G$5*A384^2</f>
        <v>20</v>
      </c>
      <c r="H384" s="7">
        <f>(F384-G384)/'Speed Calc'!G$2*9.806</f>
        <v>5.8909382817950178</v>
      </c>
      <c r="I384" s="4">
        <f t="shared" si="24"/>
        <v>9.6666666666666661</v>
      </c>
    </row>
    <row r="385" spans="1:9" x14ac:dyDescent="0.2">
      <c r="A385" s="11">
        <v>34.9</v>
      </c>
      <c r="B385" s="15">
        <v>3.133</v>
      </c>
      <c r="C385" s="11">
        <f t="shared" si="25"/>
        <v>4522.6888430237223</v>
      </c>
      <c r="D385" s="11">
        <f t="shared" si="22"/>
        <v>119.39799980373124</v>
      </c>
      <c r="E385" s="11">
        <f t="shared" si="23"/>
        <v>923.7094540689809</v>
      </c>
      <c r="F385" s="11">
        <f>'Speed Calc'!B$5*E385</f>
        <v>831.33850866208286</v>
      </c>
      <c r="G385" s="15">
        <f>'Speed Calc'!G$3+'Speed Calc'!G$5*A385^2</f>
        <v>20</v>
      </c>
      <c r="H385" s="7">
        <f>(F385-G385)/'Speed Calc'!G$2*9.806</f>
        <v>5.8933225303262109</v>
      </c>
      <c r="I385" s="4">
        <f t="shared" si="24"/>
        <v>9.6944444444444446</v>
      </c>
    </row>
    <row r="386" spans="1:9" x14ac:dyDescent="0.2">
      <c r="A386" s="11">
        <v>35</v>
      </c>
      <c r="B386" s="15">
        <v>3.133</v>
      </c>
      <c r="C386" s="11">
        <f t="shared" si="25"/>
        <v>4535.6478368432727</v>
      </c>
      <c r="D386" s="11">
        <f t="shared" si="22"/>
        <v>119.7880912347064</v>
      </c>
      <c r="E386" s="11">
        <f t="shared" si="23"/>
        <v>924.07956095344969</v>
      </c>
      <c r="F386" s="11">
        <f>'Speed Calc'!B$5*E386</f>
        <v>831.67160485810473</v>
      </c>
      <c r="G386" s="15">
        <f>'Speed Calc'!G$3+'Speed Calc'!G$5*A386^2</f>
        <v>20</v>
      </c>
      <c r="H386" s="7">
        <f>(F386-G386)/'Speed Calc'!G$2*9.806</f>
        <v>5.8957420423989442</v>
      </c>
      <c r="I386" s="4">
        <f t="shared" si="24"/>
        <v>9.7222222222222214</v>
      </c>
    </row>
    <row r="387" spans="1:9" x14ac:dyDescent="0.2">
      <c r="A387" s="11">
        <v>35.1</v>
      </c>
      <c r="B387" s="15">
        <v>3.133</v>
      </c>
      <c r="C387" s="11">
        <f t="shared" si="25"/>
        <v>4548.6068306628258</v>
      </c>
      <c r="D387" s="11">
        <f t="shared" si="22"/>
        <v>120.17916184976076</v>
      </c>
      <c r="E387" s="11">
        <f t="shared" si="23"/>
        <v>924.45509115200605</v>
      </c>
      <c r="F387" s="11">
        <f>'Speed Calc'!B$5*E387</f>
        <v>832.00958203680545</v>
      </c>
      <c r="G387" s="15">
        <f>'Speed Calc'!G$3+'Speed Calc'!G$5*A387^2</f>
        <v>20</v>
      </c>
      <c r="H387" s="7">
        <f>(F387-G387)/'Speed Calc'!G$2*9.806</f>
        <v>5.8981970084836393</v>
      </c>
      <c r="I387" s="4">
        <f t="shared" si="24"/>
        <v>9.75</v>
      </c>
    </row>
    <row r="388" spans="1:9" x14ac:dyDescent="0.2">
      <c r="A388" s="11">
        <v>35.200000000000003</v>
      </c>
      <c r="B388" s="15">
        <v>3.133</v>
      </c>
      <c r="C388" s="11">
        <f t="shared" si="25"/>
        <v>4561.5658244823799</v>
      </c>
      <c r="D388" s="11">
        <f t="shared" si="22"/>
        <v>120.57122132853144</v>
      </c>
      <c r="E388" s="11">
        <f t="shared" si="23"/>
        <v>924.83607269043955</v>
      </c>
      <c r="F388" s="11">
        <f>'Speed Calc'!B$5*E388</f>
        <v>832.35246542139566</v>
      </c>
      <c r="G388" s="15">
        <f>'Speed Calc'!G$3+'Speed Calc'!G$5*A388^2</f>
        <v>20</v>
      </c>
      <c r="H388" s="7">
        <f>(F388-G388)/'Speed Calc'!G$2*9.806</f>
        <v>5.9006876117942255</v>
      </c>
      <c r="I388" s="4">
        <f t="shared" si="24"/>
        <v>9.7777777777777786</v>
      </c>
    </row>
    <row r="389" spans="1:9" x14ac:dyDescent="0.2">
      <c r="A389" s="11">
        <v>35.299999999999997</v>
      </c>
      <c r="B389" s="15">
        <v>3.133</v>
      </c>
      <c r="C389" s="11">
        <f t="shared" si="25"/>
        <v>4574.5248183019303</v>
      </c>
      <c r="D389" s="11">
        <f t="shared" si="22"/>
        <v>120.96427924705169</v>
      </c>
      <c r="E389" s="11">
        <f t="shared" si="23"/>
        <v>925.22253248453148</v>
      </c>
      <c r="F389" s="11">
        <f>'Speed Calc'!B$5*E389</f>
        <v>832.70027923607836</v>
      </c>
      <c r="G389" s="15">
        <f>'Speed Calc'!G$3+'Speed Calc'!G$5*A389^2</f>
        <v>20</v>
      </c>
      <c r="H389" s="7">
        <f>(F389-G389)/'Speed Calc'!G$2*9.806</f>
        <v>5.9032140282881365</v>
      </c>
      <c r="I389" s="4">
        <f t="shared" si="24"/>
        <v>9.8055555555555554</v>
      </c>
    </row>
    <row r="390" spans="1:9" x14ac:dyDescent="0.2">
      <c r="A390" s="11">
        <v>35.4</v>
      </c>
      <c r="B390" s="15">
        <v>3.133</v>
      </c>
      <c r="C390" s="11">
        <f t="shared" si="25"/>
        <v>4587.4838121214825</v>
      </c>
      <c r="D390" s="11">
        <f t="shared" si="22"/>
        <v>121.35834507569542</v>
      </c>
      <c r="E390" s="11">
        <f t="shared" si="23"/>
        <v>925.61449634004975</v>
      </c>
      <c r="F390" s="11">
        <f>'Speed Calc'!B$5*E390</f>
        <v>833.05304670604482</v>
      </c>
      <c r="G390" s="15">
        <f>'Speed Calc'!G$3+'Speed Calc'!G$5*A390^2</f>
        <v>20</v>
      </c>
      <c r="H390" s="7">
        <f>(F390-G390)/'Speed Calc'!G$2*9.806</f>
        <v>5.9057764266662778</v>
      </c>
      <c r="I390" s="4">
        <f t="shared" si="24"/>
        <v>9.8333333333333321</v>
      </c>
    </row>
    <row r="391" spans="1:9" x14ac:dyDescent="0.2">
      <c r="A391" s="11">
        <v>35.5</v>
      </c>
      <c r="B391" s="15">
        <v>3.133</v>
      </c>
      <c r="C391" s="11">
        <f t="shared" si="25"/>
        <v>4600.4428059410347</v>
      </c>
      <c r="D391" s="11">
        <f t="shared" si="22"/>
        <v>121.75342817712242</v>
      </c>
      <c r="E391" s="11">
        <f t="shared" si="23"/>
        <v>926.01198895276195</v>
      </c>
      <c r="F391" s="11">
        <f>'Speed Calc'!B$5*E391</f>
        <v>833.41079005748577</v>
      </c>
      <c r="G391" s="15">
        <f>'Speed Calc'!G$3+'Speed Calc'!G$5*A391^2</f>
        <v>20</v>
      </c>
      <c r="H391" s="7">
        <f>(F391-G391)/'Speed Calc'!G$2*9.806</f>
        <v>5.9083749683731144</v>
      </c>
      <c r="I391" s="4">
        <f t="shared" si="24"/>
        <v>9.8611111111111107</v>
      </c>
    </row>
    <row r="392" spans="1:9" x14ac:dyDescent="0.2">
      <c r="A392" s="11">
        <v>35.6</v>
      </c>
      <c r="B392" s="15">
        <v>3.133</v>
      </c>
      <c r="C392" s="11">
        <f t="shared" si="25"/>
        <v>4613.4017997605861</v>
      </c>
      <c r="D392" s="11">
        <f t="shared" si="22"/>
        <v>122.14953780422104</v>
      </c>
      <c r="E392" s="11">
        <f t="shared" si="23"/>
        <v>926.4150339084182</v>
      </c>
      <c r="F392" s="11">
        <f>'Speed Calc'!B$5*E392</f>
        <v>833.77353051757643</v>
      </c>
      <c r="G392" s="15">
        <f>'Speed Calc'!G$3+'Speed Calc'!G$5*A392^2</f>
        <v>20</v>
      </c>
      <c r="H392" s="7">
        <f>(F392-G392)/'Speed Calc'!G$2*9.806</f>
        <v>5.9110098075965576</v>
      </c>
      <c r="I392" s="4">
        <f t="shared" si="24"/>
        <v>9.8888888888888893</v>
      </c>
    </row>
    <row r="393" spans="1:9" x14ac:dyDescent="0.2">
      <c r="A393" s="11">
        <v>35.700000000000003</v>
      </c>
      <c r="B393" s="15">
        <v>3.133</v>
      </c>
      <c r="C393" s="11">
        <f t="shared" si="25"/>
        <v>4626.3607935801392</v>
      </c>
      <c r="D393" s="11">
        <f t="shared" si="22"/>
        <v>122.54668309805479</v>
      </c>
      <c r="E393" s="11">
        <f t="shared" si="23"/>
        <v>926.82365368276737</v>
      </c>
      <c r="F393" s="11">
        <f>'Speed Calc'!B$5*E393</f>
        <v>834.14128831449068</v>
      </c>
      <c r="G393" s="15">
        <f>'Speed Calc'!G$3+'Speed Calc'!G$5*A393^2</f>
        <v>20</v>
      </c>
      <c r="H393" s="7">
        <f>(F393-G393)/'Speed Calc'!G$2*9.806</f>
        <v>5.9136810912680708</v>
      </c>
      <c r="I393" s="4">
        <f t="shared" si="24"/>
        <v>9.9166666666666679</v>
      </c>
    </row>
    <row r="394" spans="1:9" x14ac:dyDescent="0.2">
      <c r="A394" s="11">
        <v>35.799999999999997</v>
      </c>
      <c r="B394" s="15">
        <v>3.133</v>
      </c>
      <c r="C394" s="11">
        <f t="shared" si="25"/>
        <v>4639.3197873996905</v>
      </c>
      <c r="D394" s="11">
        <f t="shared" si="22"/>
        <v>122.94487308580489</v>
      </c>
      <c r="E394" s="11">
        <f t="shared" si="23"/>
        <v>927.23786964154533</v>
      </c>
      <c r="F394" s="11">
        <f>'Speed Calc'!B$5*E394</f>
        <v>834.51408267739077</v>
      </c>
      <c r="G394" s="15">
        <f>'Speed Calc'!G$3+'Speed Calc'!G$5*A394^2</f>
        <v>20</v>
      </c>
      <c r="H394" s="7">
        <f>(F394-G394)/'Speed Calc'!G$2*9.806</f>
        <v>5.916388959062588</v>
      </c>
      <c r="I394" s="4">
        <f t="shared" si="24"/>
        <v>9.9444444444444429</v>
      </c>
    </row>
    <row r="395" spans="1:9" x14ac:dyDescent="0.2">
      <c r="A395" s="11">
        <v>35.9</v>
      </c>
      <c r="B395" s="15">
        <v>3.133</v>
      </c>
      <c r="C395" s="11">
        <f t="shared" si="25"/>
        <v>4652.2787812192428</v>
      </c>
      <c r="D395" s="11">
        <f t="shared" si="22"/>
        <v>123.34411667871544</v>
      </c>
      <c r="E395" s="11">
        <f t="shared" si="23"/>
        <v>927.65770204047828</v>
      </c>
      <c r="F395" s="11">
        <f>'Speed Calc'!B$5*E395</f>
        <v>834.89193183643044</v>
      </c>
      <c r="G395" s="15">
        <f>'Speed Calc'!G$3+'Speed Calc'!G$5*A395^2</f>
        <v>20</v>
      </c>
      <c r="H395" s="7">
        <f>(F395-G395)/'Speed Calc'!G$2*9.806</f>
        <v>5.9191335433985452</v>
      </c>
      <c r="I395" s="4">
        <f t="shared" si="24"/>
        <v>9.9722222222222214</v>
      </c>
    </row>
    <row r="396" spans="1:9" x14ac:dyDescent="0.2">
      <c r="A396" s="11">
        <v>36</v>
      </c>
      <c r="B396" s="15">
        <v>3.133</v>
      </c>
      <c r="C396" s="11">
        <f t="shared" si="25"/>
        <v>4665.2377750387959</v>
      </c>
      <c r="D396" s="11">
        <f t="shared" si="22"/>
        <v>123.74442267003855</v>
      </c>
      <c r="E396" s="11">
        <f t="shared" si="23"/>
        <v>928.08317002528929</v>
      </c>
      <c r="F396" s="11">
        <f>'Speed Calc'!B$5*E396</f>
        <v>835.27485302276034</v>
      </c>
      <c r="G396" s="15">
        <f>'Speed Calc'!G$3+'Speed Calc'!G$5*A396^2</f>
        <v>20</v>
      </c>
      <c r="H396" s="7">
        <f>(F396-G396)/'Speed Calc'!G$2*9.806</f>
        <v>5.9219149694379167</v>
      </c>
      <c r="I396" s="4">
        <f t="shared" si="24"/>
        <v>10</v>
      </c>
    </row>
    <row r="397" spans="1:9" x14ac:dyDescent="0.2">
      <c r="A397" s="11">
        <v>36.1</v>
      </c>
      <c r="B397" s="15">
        <v>3.133</v>
      </c>
      <c r="C397" s="11">
        <f t="shared" si="25"/>
        <v>4678.1967688583491</v>
      </c>
      <c r="D397" s="11">
        <f t="shared" si="22"/>
        <v>124.14579973297728</v>
      </c>
      <c r="E397" s="11">
        <f t="shared" si="23"/>
        <v>928.51429163168586</v>
      </c>
      <c r="F397" s="11">
        <f>'Speed Calc'!B$5*E397</f>
        <v>835.66286246851735</v>
      </c>
      <c r="G397" s="15">
        <f>'Speed Calc'!G$3+'Speed Calc'!G$5*A397^2</f>
        <v>20</v>
      </c>
      <c r="H397" s="7">
        <f>(F397-G397)/'Speed Calc'!G$2*9.806</f>
        <v>5.9247333550861336</v>
      </c>
      <c r="I397" s="4">
        <f t="shared" si="24"/>
        <v>10.027777777777779</v>
      </c>
    </row>
    <row r="398" spans="1:9" x14ac:dyDescent="0.2">
      <c r="A398" s="11">
        <v>36.200000000000003</v>
      </c>
      <c r="B398" s="15">
        <v>3.133</v>
      </c>
      <c r="C398" s="11">
        <f t="shared" si="25"/>
        <v>4691.1557626778995</v>
      </c>
      <c r="D398" s="11">
        <f t="shared" si="22"/>
        <v>124.54825641863123</v>
      </c>
      <c r="E398" s="11">
        <f t="shared" si="23"/>
        <v>928.95108378537122</v>
      </c>
      <c r="F398" s="11">
        <f>'Speed Calc'!B$5*E398</f>
        <v>836.05597540683414</v>
      </c>
      <c r="G398" s="15">
        <f>'Speed Calc'!G$3+'Speed Calc'!G$5*A398^2</f>
        <v>20</v>
      </c>
      <c r="H398" s="7">
        <f>(F398-G398)/'Speed Calc'!G$2*9.806</f>
        <v>5.9275888109921588</v>
      </c>
      <c r="I398" s="4">
        <f t="shared" si="24"/>
        <v>10.055555555555555</v>
      </c>
    </row>
    <row r="399" spans="1:9" x14ac:dyDescent="0.2">
      <c r="A399" s="11">
        <v>36.299999999999997</v>
      </c>
      <c r="B399" s="15">
        <v>3.133</v>
      </c>
      <c r="C399" s="11">
        <f t="shared" si="25"/>
        <v>4704.1147564974535</v>
      </c>
      <c r="D399" s="11">
        <f t="shared" si="22"/>
        <v>124.95180115394091</v>
      </c>
      <c r="E399" s="11">
        <f t="shared" si="23"/>
        <v>929.39356230203975</v>
      </c>
      <c r="F399" s="11">
        <f>'Speed Calc'!B$5*E399</f>
        <v>836.45420607183576</v>
      </c>
      <c r="G399" s="15">
        <f>'Speed Calc'!G$3+'Speed Calc'!G$5*A399^2</f>
        <v>20</v>
      </c>
      <c r="H399" s="7">
        <f>(F399-G399)/'Speed Calc'!G$2*9.806</f>
        <v>5.9304814405484603</v>
      </c>
      <c r="I399" s="4">
        <f t="shared" si="24"/>
        <v>10.083333333333332</v>
      </c>
    </row>
    <row r="400" spans="1:9" x14ac:dyDescent="0.2">
      <c r="A400" s="11">
        <v>36.4</v>
      </c>
      <c r="B400" s="15">
        <v>3.133</v>
      </c>
      <c r="C400" s="11">
        <f t="shared" si="25"/>
        <v>4717.0737503170049</v>
      </c>
      <c r="D400" s="11">
        <f t="shared" si="22"/>
        <v>125.35644223963139</v>
      </c>
      <c r="E400" s="11">
        <f t="shared" si="23"/>
        <v>929.84174188737563</v>
      </c>
      <c r="F400" s="11">
        <f>'Speed Calc'!B$5*E400</f>
        <v>836.85756769863804</v>
      </c>
      <c r="G400" s="15">
        <f>'Speed Calc'!G$3+'Speed Calc'!G$5*A400^2</f>
        <v>20</v>
      </c>
      <c r="H400" s="7">
        <f>(F400-G400)/'Speed Calc'!G$2*9.806</f>
        <v>5.9334113398909958</v>
      </c>
      <c r="I400" s="4">
        <f t="shared" si="24"/>
        <v>10.111111111111111</v>
      </c>
    </row>
    <row r="401" spans="1:9" x14ac:dyDescent="0.2">
      <c r="A401" s="11">
        <v>36.5</v>
      </c>
      <c r="B401" s="15">
        <v>3.133</v>
      </c>
      <c r="C401" s="11">
        <f t="shared" si="25"/>
        <v>4730.0327441365562</v>
      </c>
      <c r="D401" s="11">
        <f t="shared" si="22"/>
        <v>125.76218784815751</v>
      </c>
      <c r="E401" s="11">
        <f t="shared" si="23"/>
        <v>930.29563613705557</v>
      </c>
      <c r="F401" s="11">
        <f>'Speed Calc'!B$5*E401</f>
        <v>837.26607252334998</v>
      </c>
      <c r="G401" s="15">
        <f>'Speed Calc'!G$3+'Speed Calc'!G$5*A401^2</f>
        <v>20</v>
      </c>
      <c r="H401" s="7">
        <f>(F401-G401)/'Speed Calc'!G$2*9.806</f>
        <v>5.9363785978992372</v>
      </c>
      <c r="I401" s="4">
        <f t="shared" si="24"/>
        <v>10.138888888888889</v>
      </c>
    </row>
    <row r="402" spans="1:9" x14ac:dyDescent="0.2">
      <c r="A402" s="11">
        <v>36.6</v>
      </c>
      <c r="B402" s="15">
        <v>3.133</v>
      </c>
      <c r="C402" s="11">
        <f t="shared" si="25"/>
        <v>4742.9917379561093</v>
      </c>
      <c r="D402" s="11">
        <f t="shared" si="22"/>
        <v>126.16904602164769</v>
      </c>
      <c r="E402" s="11">
        <f t="shared" si="23"/>
        <v>930.75525753674549</v>
      </c>
      <c r="F402" s="11">
        <f>'Speed Calc'!B$5*E402</f>
        <v>837.67973178307091</v>
      </c>
      <c r="G402" s="15">
        <f>'Speed Calc'!G$3+'Speed Calc'!G$5*A402^2</f>
        <v>20</v>
      </c>
      <c r="H402" s="7">
        <f>(F402-G402)/'Speed Calc'!G$2*9.806</f>
        <v>5.9393832961961435</v>
      </c>
      <c r="I402" s="4">
        <f t="shared" si="24"/>
        <v>10.166666666666666</v>
      </c>
    </row>
    <row r="403" spans="1:9" x14ac:dyDescent="0.2">
      <c r="A403" s="11">
        <v>36.700000000000003</v>
      </c>
      <c r="B403" s="15">
        <v>3.133</v>
      </c>
      <c r="C403" s="11">
        <f t="shared" si="25"/>
        <v>4755.9507317756616</v>
      </c>
      <c r="D403" s="11">
        <f t="shared" si="22"/>
        <v>126.57702466984921</v>
      </c>
      <c r="E403" s="11">
        <f t="shared" si="23"/>
        <v>931.22061746210591</v>
      </c>
      <c r="F403" s="11">
        <f>'Speed Calc'!B$5*E403</f>
        <v>838.09855571589537</v>
      </c>
      <c r="G403" s="15">
        <f>'Speed Calc'!G$3+'Speed Calc'!G$5*A403^2</f>
        <v>20</v>
      </c>
      <c r="H403" s="7">
        <f>(F403-G403)/'Speed Calc'!G$2*9.806</f>
        <v>5.9424255091481992</v>
      </c>
      <c r="I403" s="4">
        <f t="shared" si="24"/>
        <v>10.194444444444445</v>
      </c>
    </row>
    <row r="404" spans="1:9" x14ac:dyDescent="0.2">
      <c r="A404" s="11">
        <v>36.799999999999997</v>
      </c>
      <c r="B404" s="15">
        <v>3.133</v>
      </c>
      <c r="C404" s="11">
        <f t="shared" si="25"/>
        <v>4768.9097255952129</v>
      </c>
      <c r="D404" s="11">
        <f t="shared" si="22"/>
        <v>126.98613156807161</v>
      </c>
      <c r="E404" s="11">
        <f t="shared" si="23"/>
        <v>931.69172617878655</v>
      </c>
      <c r="F404" s="11">
        <f>'Speed Calc'!B$5*E404</f>
        <v>838.52255356090791</v>
      </c>
      <c r="G404" s="15">
        <f>'Speed Calc'!G$3+'Speed Calc'!G$5*A404^2</f>
        <v>20</v>
      </c>
      <c r="H404" s="7">
        <f>(F404-G404)/'Speed Calc'!G$2*9.806</f>
        <v>5.9455053038653798</v>
      </c>
      <c r="I404" s="4">
        <f t="shared" si="24"/>
        <v>10.222222222222221</v>
      </c>
    </row>
    <row r="405" spans="1:9" x14ac:dyDescent="0.2">
      <c r="A405" s="11">
        <v>36.9</v>
      </c>
      <c r="B405" s="15">
        <v>3.133</v>
      </c>
      <c r="C405" s="11">
        <f t="shared" si="25"/>
        <v>4781.868719414766</v>
      </c>
      <c r="D405" s="11">
        <f t="shared" si="22"/>
        <v>127.39637435513174</v>
      </c>
      <c r="E405" s="11">
        <f t="shared" si="23"/>
        <v>932.16859284242742</v>
      </c>
      <c r="F405" s="11">
        <f>'Speed Calc'!B$5*E405</f>
        <v>838.95173355818474</v>
      </c>
      <c r="G405" s="15">
        <f>'Speed Calc'!G$3+'Speed Calc'!G$5*A405^2</f>
        <v>20</v>
      </c>
      <c r="H405" s="7">
        <f>(F405-G405)/'Speed Calc'!G$2*9.806</f>
        <v>5.9486227402011549</v>
      </c>
      <c r="I405" s="4">
        <f t="shared" si="24"/>
        <v>10.25</v>
      </c>
    </row>
    <row r="406" spans="1:9" x14ac:dyDescent="0.2">
      <c r="A406" s="11">
        <v>37</v>
      </c>
      <c r="B406" s="15">
        <v>3.133</v>
      </c>
      <c r="C406" s="11">
        <f t="shared" si="25"/>
        <v>4794.8277132343183</v>
      </c>
      <c r="D406" s="11">
        <f t="shared" si="22"/>
        <v>127.80776053129837</v>
      </c>
      <c r="E406" s="11">
        <f t="shared" si="23"/>
        <v>932.65122549866396</v>
      </c>
      <c r="F406" s="11">
        <f>'Speed Calc'!B$5*E406</f>
        <v>839.38610294879754</v>
      </c>
      <c r="G406" s="15">
        <f>'Speed Calc'!G$3+'Speed Calc'!G$5*A406^2</f>
        <v>20</v>
      </c>
      <c r="H406" s="7">
        <f>(F406-G406)/'Speed Calc'!G$2*9.806</f>
        <v>5.9517778707525242</v>
      </c>
      <c r="I406" s="4">
        <f t="shared" si="24"/>
        <v>10.277777777777777</v>
      </c>
    </row>
    <row r="407" spans="1:9" x14ac:dyDescent="0.2">
      <c r="A407" s="11">
        <v>37.1</v>
      </c>
      <c r="B407" s="15">
        <v>3.133</v>
      </c>
      <c r="C407" s="11">
        <f t="shared" si="25"/>
        <v>4807.7867070538696</v>
      </c>
      <c r="D407" s="11">
        <f t="shared" si="22"/>
        <v>128.2202974562359</v>
      </c>
      <c r="E407" s="11">
        <f t="shared" si="23"/>
        <v>933.1396310831185</v>
      </c>
      <c r="F407" s="11">
        <f>'Speed Calc'!B$5*E407</f>
        <v>839.82566797480672</v>
      </c>
      <c r="G407" s="15">
        <f>'Speed Calc'!G$3+'Speed Calc'!G$5*A407^2</f>
        <v>20</v>
      </c>
      <c r="H407" s="7">
        <f>(F407-G407)/'Speed Calc'!G$2*9.806</f>
        <v>5.9549707408599657</v>
      </c>
      <c r="I407" s="4">
        <f t="shared" si="24"/>
        <v>10.305555555555555</v>
      </c>
    </row>
    <row r="408" spans="1:9" x14ac:dyDescent="0.2">
      <c r="A408" s="11">
        <v>37.200000000000003</v>
      </c>
      <c r="B408" s="15">
        <v>3.133</v>
      </c>
      <c r="C408" s="11">
        <f t="shared" si="25"/>
        <v>4820.7457008734227</v>
      </c>
      <c r="D408" s="11">
        <f t="shared" si="22"/>
        <v>128.63399234694919</v>
      </c>
      <c r="E408" s="11">
        <f t="shared" si="23"/>
        <v>933.63381542140542</v>
      </c>
      <c r="F408" s="11">
        <f>'Speed Calc'!B$5*E408</f>
        <v>840.27043387926494</v>
      </c>
      <c r="G408" s="15">
        <f>'Speed Calc'!G$3+'Speed Calc'!G$5*A408^2</f>
        <v>20</v>
      </c>
      <c r="H408" s="7">
        <f>(F408-G408)/'Speed Calc'!G$2*9.806</f>
        <v>5.9582013886074598</v>
      </c>
      <c r="I408" s="4">
        <f t="shared" si="24"/>
        <v>10.333333333333334</v>
      </c>
    </row>
    <row r="409" spans="1:9" x14ac:dyDescent="0.2">
      <c r="A409" s="11">
        <v>37.299999999999997</v>
      </c>
      <c r="B409" s="15">
        <v>3.133</v>
      </c>
      <c r="C409" s="11">
        <f t="shared" si="25"/>
        <v>4833.704694692975</v>
      </c>
      <c r="D409" s="11">
        <f t="shared" si="22"/>
        <v>129.04885227572859</v>
      </c>
      <c r="E409" s="11">
        <f t="shared" si="23"/>
        <v>934.13378322913445</v>
      </c>
      <c r="F409" s="11">
        <f>'Speed Calc'!B$5*E409</f>
        <v>840.72040490622101</v>
      </c>
      <c r="G409" s="15">
        <f>'Speed Calc'!G$3+'Speed Calc'!G$5*A409^2</f>
        <v>20</v>
      </c>
      <c r="H409" s="7">
        <f>(F409-G409)/'Speed Calc'!G$2*9.806</f>
        <v>5.9614698448225205</v>
      </c>
      <c r="I409" s="4">
        <f t="shared" si="24"/>
        <v>10.361111111111111</v>
      </c>
    </row>
    <row r="410" spans="1:9" x14ac:dyDescent="0.2">
      <c r="A410" s="11">
        <v>37.4</v>
      </c>
      <c r="B410" s="15">
        <v>3.133</v>
      </c>
      <c r="C410" s="11">
        <f t="shared" si="25"/>
        <v>4846.6636885125254</v>
      </c>
      <c r="D410" s="11">
        <f t="shared" si="22"/>
        <v>129.46488416809296</v>
      </c>
      <c r="E410" s="11">
        <f t="shared" si="23"/>
        <v>934.63953811190163</v>
      </c>
      <c r="F410" s="11">
        <f>'Speed Calc'!B$5*E410</f>
        <v>841.17558430071153</v>
      </c>
      <c r="G410" s="15">
        <f>'Speed Calc'!G$3+'Speed Calc'!G$5*A410^2</f>
        <v>20</v>
      </c>
      <c r="H410" s="7">
        <f>(F410-G410)/'Speed Calc'!G$2*9.806</f>
        <v>5.9647761330761311</v>
      </c>
      <c r="I410" s="4">
        <f t="shared" si="24"/>
        <v>10.388888888888888</v>
      </c>
    </row>
    <row r="411" spans="1:9" x14ac:dyDescent="0.2">
      <c r="A411" s="11">
        <v>37.5</v>
      </c>
      <c r="B411" s="15">
        <v>3.133</v>
      </c>
      <c r="C411" s="11">
        <f t="shared" si="25"/>
        <v>4859.6226823320794</v>
      </c>
      <c r="D411" s="11">
        <f t="shared" si="22"/>
        <v>129.88209480073559</v>
      </c>
      <c r="E411" s="11">
        <f t="shared" si="23"/>
        <v>935.15108256529606</v>
      </c>
      <c r="F411" s="11">
        <f>'Speed Calc'!B$5*E411</f>
        <v>841.63597430876644</v>
      </c>
      <c r="G411" s="15">
        <f>'Speed Calc'!G$3+'Speed Calc'!G$5*A411^2</f>
        <v>20</v>
      </c>
      <c r="H411" s="7">
        <f>(F411-G411)/'Speed Calc'!G$2*9.806</f>
        <v>5.9681202696827871</v>
      </c>
      <c r="I411" s="4">
        <f t="shared" si="24"/>
        <v>10.416666666666666</v>
      </c>
    </row>
    <row r="412" spans="1:9" x14ac:dyDescent="0.2">
      <c r="A412" s="11">
        <v>37.6</v>
      </c>
      <c r="B412" s="15">
        <v>3.133</v>
      </c>
      <c r="C412" s="11">
        <f t="shared" si="25"/>
        <v>4872.5816761516317</v>
      </c>
      <c r="D412" s="11">
        <f t="shared" si="22"/>
        <v>130.30049079946735</v>
      </c>
      <c r="E412" s="11">
        <f t="shared" si="23"/>
        <v>935.66841797489838</v>
      </c>
      <c r="F412" s="11">
        <f>'Speed Calc'!B$5*E412</f>
        <v>842.10157617740856</v>
      </c>
      <c r="G412" s="15">
        <f>'Speed Calc'!G$3+'Speed Calc'!G$5*A412^2</f>
        <v>20</v>
      </c>
      <c r="H412" s="7">
        <f>(F412-G412)/'Speed Calc'!G$2*9.806</f>
        <v>5.9715022637004944</v>
      </c>
      <c r="I412" s="4">
        <f t="shared" si="24"/>
        <v>10.444444444444445</v>
      </c>
    </row>
    <row r="413" spans="1:9" x14ac:dyDescent="0.2">
      <c r="A413" s="11">
        <v>37.700000000000003</v>
      </c>
      <c r="B413" s="15">
        <v>3.133</v>
      </c>
      <c r="C413" s="11">
        <f t="shared" si="25"/>
        <v>4885.5406699711839</v>
      </c>
      <c r="D413" s="11">
        <f t="shared" si="22"/>
        <v>130.72007863716252</v>
      </c>
      <c r="E413" s="11">
        <f t="shared" si="23"/>
        <v>936.19154461628318</v>
      </c>
      <c r="F413" s="11">
        <f>'Speed Calc'!B$5*E413</f>
        <v>842.57239015465484</v>
      </c>
      <c r="G413" s="15">
        <f>'Speed Calc'!G$3+'Speed Calc'!G$5*A413^2</f>
        <v>20</v>
      </c>
      <c r="H413" s="7">
        <f>(F413-G413)/'Speed Calc'!G$2*9.806</f>
        <v>5.9749221169307738</v>
      </c>
      <c r="I413" s="4">
        <f t="shared" si="24"/>
        <v>10.472222222222223</v>
      </c>
    </row>
    <row r="414" spans="1:9" x14ac:dyDescent="0.2">
      <c r="A414" s="11">
        <v>37.799999999999997</v>
      </c>
      <c r="B414" s="15">
        <v>3.133</v>
      </c>
      <c r="C414" s="11">
        <f t="shared" si="25"/>
        <v>4898.4996637907361</v>
      </c>
      <c r="D414" s="11">
        <f t="shared" si="22"/>
        <v>131.14086463170162</v>
      </c>
      <c r="E414" s="11">
        <f t="shared" si="23"/>
        <v>936.72046165501149</v>
      </c>
      <c r="F414" s="11">
        <f>'Speed Calc'!B$5*E414</f>
        <v>843.04841548951038</v>
      </c>
      <c r="G414" s="15">
        <f>'Speed Calc'!G$3+'Speed Calc'!G$5*A414^2</f>
        <v>20</v>
      </c>
      <c r="H414" s="7">
        <f>(F414-G414)/'Speed Calc'!G$2*9.806</f>
        <v>5.9783798239186208</v>
      </c>
      <c r="I414" s="4">
        <f t="shared" si="24"/>
        <v>10.499999999999998</v>
      </c>
    </row>
    <row r="415" spans="1:9" x14ac:dyDescent="0.2">
      <c r="A415" s="11">
        <v>37.9</v>
      </c>
      <c r="B415" s="15">
        <v>3.133</v>
      </c>
      <c r="C415" s="11">
        <f t="shared" si="25"/>
        <v>4911.4586576102884</v>
      </c>
      <c r="D415" s="11">
        <f t="shared" si="22"/>
        <v>131.56285494391685</v>
      </c>
      <c r="E415" s="11">
        <f t="shared" si="23"/>
        <v>937.25516714663706</v>
      </c>
      <c r="F415" s="11">
        <f>'Speed Calc'!B$5*E415</f>
        <v>843.52965043197332</v>
      </c>
      <c r="G415" s="15">
        <f>'Speed Calc'!G$3+'Speed Calc'!G$5*A415^2</f>
        <v>20</v>
      </c>
      <c r="H415" s="7">
        <f>(F415-G415)/'Speed Calc'!G$2*9.806</f>
        <v>5.9818753719525404</v>
      </c>
      <c r="I415" s="4">
        <f t="shared" si="24"/>
        <v>10.527777777777777</v>
      </c>
    </row>
    <row r="416" spans="1:9" x14ac:dyDescent="0.2">
      <c r="A416" s="11">
        <v>38</v>
      </c>
      <c r="B416" s="15">
        <v>3.133</v>
      </c>
      <c r="C416" s="11">
        <f t="shared" si="25"/>
        <v>4924.4176514298397</v>
      </c>
      <c r="D416" s="11">
        <f t="shared" si="22"/>
        <v>131.98605557553671</v>
      </c>
      <c r="E416" s="11">
        <f t="shared" si="23"/>
        <v>937.79565803670846</v>
      </c>
      <c r="F416" s="11">
        <f>'Speed Calc'!B$5*E416</f>
        <v>844.01609223303763</v>
      </c>
      <c r="G416" s="15">
        <f>'Speed Calc'!G$3+'Speed Calc'!G$5*A416^2</f>
        <v>20</v>
      </c>
      <c r="H416" s="7">
        <f>(F416-G416)/'Speed Calc'!G$2*9.806</f>
        <v>5.9854087410645676</v>
      </c>
      <c r="I416" s="4">
        <f t="shared" si="24"/>
        <v>10.555555555555555</v>
      </c>
    </row>
    <row r="417" spans="1:9" x14ac:dyDescent="0.2">
      <c r="A417" s="11">
        <v>38.1</v>
      </c>
      <c r="B417" s="15">
        <v>3.133</v>
      </c>
      <c r="C417" s="11">
        <f t="shared" si="25"/>
        <v>4937.3766452493937</v>
      </c>
      <c r="D417" s="11">
        <f t="shared" si="22"/>
        <v>132.41047236712981</v>
      </c>
      <c r="E417" s="11">
        <f t="shared" si="23"/>
        <v>938.34193016076222</v>
      </c>
      <c r="F417" s="11">
        <f>'Speed Calc'!B$5*E417</f>
        <v>844.50773714468596</v>
      </c>
      <c r="G417" s="15">
        <f>'Speed Calc'!G$3+'Speed Calc'!G$5*A417^2</f>
        <v>20</v>
      </c>
      <c r="H417" s="7">
        <f>(F417-G417)/'Speed Calc'!G$2*9.806</f>
        <v>5.9889799040302147</v>
      </c>
      <c r="I417" s="4">
        <f t="shared" si="24"/>
        <v>10.583333333333334</v>
      </c>
    </row>
    <row r="418" spans="1:9" x14ac:dyDescent="0.2">
      <c r="A418" s="11">
        <v>38.200000000000003</v>
      </c>
      <c r="B418" s="15">
        <v>3.133</v>
      </c>
      <c r="C418" s="11">
        <f t="shared" si="25"/>
        <v>4950.335639068946</v>
      </c>
      <c r="D418" s="11">
        <f t="shared" si="22"/>
        <v>132.83611099604923</v>
      </c>
      <c r="E418" s="11">
        <f t="shared" si="23"/>
        <v>938.89397824432683</v>
      </c>
      <c r="F418" s="11">
        <f>'Speed Calc'!B$5*E418</f>
        <v>845.00458041989418</v>
      </c>
      <c r="G418" s="15">
        <f>'Speed Calc'!G$3+'Speed Calc'!G$5*A418^2</f>
        <v>20</v>
      </c>
      <c r="H418" s="7">
        <f>(F418-G418)/'Speed Calc'!G$2*9.806</f>
        <v>5.9925888263685048</v>
      </c>
      <c r="I418" s="4">
        <f t="shared" si="24"/>
        <v>10.611111111111112</v>
      </c>
    </row>
    <row r="419" spans="1:9" x14ac:dyDescent="0.2">
      <c r="A419" s="11">
        <v>38.299999999999997</v>
      </c>
      <c r="B419" s="15">
        <v>3.133</v>
      </c>
      <c r="C419" s="11">
        <f t="shared" si="25"/>
        <v>4963.2946328884955</v>
      </c>
      <c r="D419" s="11">
        <f t="shared" si="22"/>
        <v>133.26297697437724</v>
      </c>
      <c r="E419" s="11">
        <f t="shared" si="23"/>
        <v>939.45179590292059</v>
      </c>
      <c r="F419" s="11">
        <f>'Speed Calc'!B$5*E419</f>
        <v>845.50661631262858</v>
      </c>
      <c r="G419" s="15">
        <f>'Speed Calc'!G$3+'Speed Calc'!G$5*A419^2</f>
        <v>20</v>
      </c>
      <c r="H419" s="7">
        <f>(F419-G419)/'Speed Calc'!G$2*9.806</f>
        <v>5.9962354663419521</v>
      </c>
      <c r="I419" s="4">
        <f t="shared" si="24"/>
        <v>10.638888888888888</v>
      </c>
    </row>
    <row r="420" spans="1:9" x14ac:dyDescent="0.2">
      <c r="A420" s="11">
        <v>38.4</v>
      </c>
      <c r="B420" s="15">
        <v>3.133</v>
      </c>
      <c r="C420" s="11">
        <f t="shared" si="25"/>
        <v>4976.2536267080486</v>
      </c>
      <c r="D420" s="11">
        <f t="shared" si="22"/>
        <v>133.69107564687025</v>
      </c>
      <c r="E420" s="11">
        <f t="shared" si="23"/>
        <v>940.01537564205648</v>
      </c>
      <c r="F420" s="11">
        <f>'Speed Calc'!B$5*E420</f>
        <v>846.01383807785089</v>
      </c>
      <c r="G420" s="15">
        <f>'Speed Calc'!G$3+'Speed Calc'!G$5*A420^2</f>
        <v>20</v>
      </c>
      <c r="H420" s="7">
        <f>(F420-G420)/'Speed Calc'!G$2*9.806</f>
        <v>5.9999197749565969</v>
      </c>
      <c r="I420" s="4">
        <f t="shared" si="24"/>
        <v>10.666666666666666</v>
      </c>
    </row>
    <row r="421" spans="1:9" x14ac:dyDescent="0.2">
      <c r="A421" s="11">
        <v>38.5</v>
      </c>
      <c r="B421" s="15">
        <v>3.133</v>
      </c>
      <c r="C421" s="11">
        <f t="shared" si="25"/>
        <v>4989.2126205276018</v>
      </c>
      <c r="D421" s="11">
        <f t="shared" ref="D421:D484" si="26">-4.687*10^(-17)*C421^5+9.129*10^(-13)*C421^4-6.175*10^(-9)*C421^3+1.799*10^(-5)*C421^2+6.502*10^(-3)*C421</f>
        <v>134.12041218890255</v>
      </c>
      <c r="E421" s="11">
        <f t="shared" si="23"/>
        <v>940.58470885723841</v>
      </c>
      <c r="F421" s="11">
        <f>'Speed Calc'!B$5*E421</f>
        <v>846.52623797151455</v>
      </c>
      <c r="G421" s="15">
        <f>'Speed Calc'!G$3+'Speed Calc'!G$5*A421^2</f>
        <v>20</v>
      </c>
      <c r="H421" s="7">
        <f>(F421-G421)/'Speed Calc'!G$2*9.806</f>
        <v>6.0036416959619787</v>
      </c>
      <c r="I421" s="4">
        <f t="shared" si="24"/>
        <v>10.694444444444445</v>
      </c>
    </row>
    <row r="422" spans="1:9" x14ac:dyDescent="0.2">
      <c r="A422" s="11">
        <v>38.6</v>
      </c>
      <c r="B422" s="15">
        <v>3.133</v>
      </c>
      <c r="C422" s="11">
        <f t="shared" si="25"/>
        <v>5002.1716143471531</v>
      </c>
      <c r="D422" s="11">
        <f t="shared" si="26"/>
        <v>134.55099160441031</v>
      </c>
      <c r="E422" s="11">
        <f t="shared" ref="E422:E485" si="27">D422*75*B422*B$31*B$32/B$23/C422/2/PI()*60</f>
        <v>941.15978583395815</v>
      </c>
      <c r="F422" s="11">
        <f>'Speed Calc'!B$5*E422</f>
        <v>847.04380725056239</v>
      </c>
      <c r="G422" s="15">
        <f>'Speed Calc'!G$3+'Speed Calc'!G$5*A422^2</f>
        <v>20</v>
      </c>
      <c r="H422" s="7">
        <f>(F422-G422)/'Speed Calc'!G$2*9.806</f>
        <v>6.0074011658511219</v>
      </c>
      <c r="I422" s="4">
        <f t="shared" ref="I422:I485" si="28">A422/3.6</f>
        <v>10.722222222222223</v>
      </c>
    </row>
    <row r="423" spans="1:9" x14ac:dyDescent="0.2">
      <c r="A423" s="11">
        <v>38.700000000000003</v>
      </c>
      <c r="B423" s="15">
        <v>3.133</v>
      </c>
      <c r="C423" s="11">
        <f t="shared" si="25"/>
        <v>5015.1306081667062</v>
      </c>
      <c r="D423" s="11">
        <f t="shared" si="26"/>
        <v>134.98281872383751</v>
      </c>
      <c r="E423" s="11">
        <f t="shared" si="27"/>
        <v>941.74059574770365</v>
      </c>
      <c r="F423" s="11">
        <f>'Speed Calc'!B$5*E423</f>
        <v>847.5665361729333</v>
      </c>
      <c r="G423" s="15">
        <f>'Speed Calc'!G$3+'Speed Calc'!G$5*A423^2</f>
        <v>20</v>
      </c>
      <c r="H423" s="7">
        <f>(F423-G423)/'Speed Calc'!G$2*9.806</f>
        <v>6.0111981138605799</v>
      </c>
      <c r="I423" s="4">
        <f t="shared" si="28"/>
        <v>10.75</v>
      </c>
    </row>
    <row r="424" spans="1:9" x14ac:dyDescent="0.2">
      <c r="A424" s="11">
        <v>38.799999999999997</v>
      </c>
      <c r="B424" s="15">
        <v>3.133</v>
      </c>
      <c r="C424" s="11">
        <f t="shared" si="25"/>
        <v>5028.0896019862575</v>
      </c>
      <c r="D424" s="11">
        <f t="shared" si="26"/>
        <v>135.41589820207827</v>
      </c>
      <c r="E424" s="11">
        <f t="shared" si="27"/>
        <v>942.32712666394673</v>
      </c>
      <c r="F424" s="11">
        <f>'Speed Calc'!B$5*E424</f>
        <v>848.09441399755212</v>
      </c>
      <c r="G424" s="15">
        <f>'Speed Calc'!G$3+'Speed Calc'!G$5*A424^2</f>
        <v>20</v>
      </c>
      <c r="H424" s="7">
        <f>(F424-G424)/'Speed Calc'!G$2*9.806</f>
        <v>6.0150324619703675</v>
      </c>
      <c r="I424" s="4">
        <f t="shared" si="28"/>
        <v>10.777777777777777</v>
      </c>
    </row>
    <row r="425" spans="1:9" x14ac:dyDescent="0.2">
      <c r="A425" s="11">
        <v>38.9</v>
      </c>
      <c r="B425" s="15">
        <v>3.133</v>
      </c>
      <c r="C425" s="11">
        <f t="shared" si="25"/>
        <v>5041.0485958058098</v>
      </c>
      <c r="D425" s="11">
        <f t="shared" si="26"/>
        <v>135.85023451642368</v>
      </c>
      <c r="E425" s="11">
        <f t="shared" si="27"/>
        <v>942.91936553815935</v>
      </c>
      <c r="F425" s="11">
        <f>'Speed Calc'!B$5*E425</f>
        <v>848.6274289843434</v>
      </c>
      <c r="G425" s="15">
        <f>'Speed Calc'!G$3+'Speed Calc'!G$5*A425^2</f>
        <v>20</v>
      </c>
      <c r="H425" s="7">
        <f>(F425-G425)/'Speed Calc'!G$2*9.806</f>
        <v>6.0189041249040516</v>
      </c>
      <c r="I425" s="4">
        <f t="shared" si="28"/>
        <v>10.805555555555555</v>
      </c>
    </row>
    <row r="426" spans="1:9" x14ac:dyDescent="0.2">
      <c r="A426" s="11">
        <v>39</v>
      </c>
      <c r="B426" s="15">
        <v>3.133</v>
      </c>
      <c r="C426" s="11">
        <f t="shared" si="25"/>
        <v>5054.0075896253629</v>
      </c>
      <c r="D426" s="11">
        <f t="shared" si="26"/>
        <v>136.28583196450455</v>
      </c>
      <c r="E426" s="11">
        <f t="shared" si="27"/>
        <v>943.51729821580057</v>
      </c>
      <c r="F426" s="11">
        <f>'Speed Calc'!B$5*E426</f>
        <v>849.16556839422049</v>
      </c>
      <c r="G426" s="15">
        <f>'Speed Calc'!G$3+'Speed Calc'!G$5*A426^2</f>
        <v>20</v>
      </c>
      <c r="H426" s="7">
        <f>(F426-G426)/'Speed Calc'!G$2*9.806</f>
        <v>6.0228130101286856</v>
      </c>
      <c r="I426" s="4">
        <f t="shared" si="28"/>
        <v>10.833333333333334</v>
      </c>
    </row>
    <row r="427" spans="1:9" x14ac:dyDescent="0.2">
      <c r="A427" s="11">
        <v>39.1</v>
      </c>
      <c r="B427" s="15">
        <v>3.133</v>
      </c>
      <c r="C427" s="11">
        <f t="shared" ref="C427:C490" si="29">A427/3.6/B$23/2/PI()*B$32*B$31*B427*60</f>
        <v>5066.9665834449152</v>
      </c>
      <c r="D427" s="11">
        <f t="shared" si="26"/>
        <v>136.72269466223585</v>
      </c>
      <c r="E427" s="11">
        <f t="shared" si="27"/>
        <v>944.12090943231908</v>
      </c>
      <c r="F427" s="11">
        <f>'Speed Calc'!B$5*E427</f>
        <v>849.70881848908721</v>
      </c>
      <c r="G427" s="15">
        <f>'Speed Calc'!G$3+'Speed Calc'!G$5*A427^2</f>
        <v>20</v>
      </c>
      <c r="H427" s="7">
        <f>(F427-G427)/'Speed Calc'!G$2*9.806</f>
        <v>6.0267590178548067</v>
      </c>
      <c r="I427" s="4">
        <f t="shared" si="28"/>
        <v>10.861111111111111</v>
      </c>
    </row>
    <row r="428" spans="1:9" x14ac:dyDescent="0.2">
      <c r="A428" s="11">
        <v>39.200000000000003</v>
      </c>
      <c r="B428" s="15">
        <v>3.133</v>
      </c>
      <c r="C428" s="11">
        <f t="shared" si="29"/>
        <v>5079.9255772644665</v>
      </c>
      <c r="D428" s="11">
        <f t="shared" si="26"/>
        <v>137.16082654176222</v>
      </c>
      <c r="E428" s="11">
        <f t="shared" si="27"/>
        <v>944.73018281315819</v>
      </c>
      <c r="F428" s="11">
        <f>'Speed Calc'!B$5*E428</f>
        <v>850.25716453184236</v>
      </c>
      <c r="G428" s="15">
        <f>'Speed Calc'!G$3+'Speed Calc'!G$5*A428^2</f>
        <v>20</v>
      </c>
      <c r="H428" s="7">
        <f>(F428-G428)/'Speed Calc'!G$2*9.806</f>
        <v>6.0307420410364783</v>
      </c>
      <c r="I428" s="4">
        <f t="shared" si="28"/>
        <v>10.888888888888889</v>
      </c>
    </row>
    <row r="429" spans="1:9" x14ac:dyDescent="0.2">
      <c r="A429" s="11">
        <v>39.299999999999997</v>
      </c>
      <c r="B429" s="15">
        <v>3.133</v>
      </c>
      <c r="C429" s="11">
        <f t="shared" si="29"/>
        <v>5092.8845710840187</v>
      </c>
      <c r="D429" s="11">
        <f t="shared" si="26"/>
        <v>137.60023134940141</v>
      </c>
      <c r="E429" s="11">
        <f t="shared" si="27"/>
        <v>945.3451008737502</v>
      </c>
      <c r="F429" s="11">
        <f>'Speed Calc'!B$5*E429</f>
        <v>850.8105907863752</v>
      </c>
      <c r="G429" s="15">
        <f>'Speed Calc'!G$3+'Speed Calc'!G$5*A429^2</f>
        <v>20</v>
      </c>
      <c r="H429" s="7">
        <f>(F429-G429)/'Speed Calc'!G$2*9.806</f>
        <v>6.0347619653712554</v>
      </c>
      <c r="I429" s="4">
        <f t="shared" si="28"/>
        <v>10.916666666666666</v>
      </c>
    </row>
    <row r="430" spans="1:9" x14ac:dyDescent="0.2">
      <c r="A430" s="11">
        <v>39.4</v>
      </c>
      <c r="B430" s="15">
        <v>3.133</v>
      </c>
      <c r="C430" s="11">
        <f t="shared" si="29"/>
        <v>5105.8435649035719</v>
      </c>
      <c r="D430" s="11">
        <f t="shared" si="26"/>
        <v>138.04091264358931</v>
      </c>
      <c r="E430" s="11">
        <f t="shared" si="27"/>
        <v>945.96564501952059</v>
      </c>
      <c r="F430" s="11">
        <f>'Speed Calc'!B$5*E430</f>
        <v>851.36908051756859</v>
      </c>
      <c r="G430" s="15">
        <f>'Speed Calc'!G$3+'Speed Calc'!G$5*A430^2</f>
        <v>20</v>
      </c>
      <c r="H430" s="7">
        <f>(F430-G430)/'Speed Calc'!G$2*9.806</f>
        <v>6.0388186693002046</v>
      </c>
      <c r="I430" s="4">
        <f t="shared" si="28"/>
        <v>10.944444444444445</v>
      </c>
    </row>
    <row r="431" spans="1:9" x14ac:dyDescent="0.2">
      <c r="A431" s="11">
        <v>39.5</v>
      </c>
      <c r="B431" s="15">
        <v>3.133</v>
      </c>
      <c r="C431" s="11">
        <f t="shared" si="29"/>
        <v>5118.8025587231223</v>
      </c>
      <c r="D431" s="11">
        <f t="shared" si="26"/>
        <v>138.4828737928238</v>
      </c>
      <c r="E431" s="11">
        <f t="shared" si="27"/>
        <v>946.59179554588445</v>
      </c>
      <c r="F431" s="11">
        <f>'Speed Calc'!B$5*E431</f>
        <v>851.93261599129607</v>
      </c>
      <c r="G431" s="15">
        <f>'Speed Calc'!G$3+'Speed Calc'!G$5*A431^2</f>
        <v>20</v>
      </c>
      <c r="H431" s="7">
        <f>(F431-G431)/'Speed Calc'!G$2*9.806</f>
        <v>6.0429120240078875</v>
      </c>
      <c r="I431" s="4">
        <f t="shared" si="28"/>
        <v>10.972222222222221</v>
      </c>
    </row>
    <row r="432" spans="1:9" x14ac:dyDescent="0.2">
      <c r="A432" s="11">
        <v>39.6</v>
      </c>
      <c r="B432" s="15">
        <v>3.133</v>
      </c>
      <c r="C432" s="11">
        <f t="shared" si="29"/>
        <v>5131.7615525426754</v>
      </c>
      <c r="D432" s="11">
        <f t="shared" si="26"/>
        <v>138.92611797361019</v>
      </c>
      <c r="E432" s="11">
        <f t="shared" si="27"/>
        <v>947.22353163825119</v>
      </c>
      <c r="F432" s="11">
        <f>'Speed Calc'!B$5*E432</f>
        <v>852.50117847442607</v>
      </c>
      <c r="G432" s="15">
        <f>'Speed Calc'!G$3+'Speed Calc'!G$5*A432^2</f>
        <v>20</v>
      </c>
      <c r="H432" s="7">
        <f>(F432-G432)/'Speed Calc'!G$2*9.806</f>
        <v>6.047041893422386</v>
      </c>
      <c r="I432" s="4">
        <f t="shared" si="28"/>
        <v>11</v>
      </c>
    </row>
    <row r="433" spans="1:9" x14ac:dyDescent="0.2">
      <c r="A433" s="11">
        <v>39.700000000000003</v>
      </c>
      <c r="B433" s="15">
        <v>3.133</v>
      </c>
      <c r="C433" s="11">
        <f t="shared" si="29"/>
        <v>5144.7205463622277</v>
      </c>
      <c r="D433" s="11">
        <f t="shared" si="26"/>
        <v>139.37064816840376</v>
      </c>
      <c r="E433" s="11">
        <f t="shared" si="27"/>
        <v>947.86083137201547</v>
      </c>
      <c r="F433" s="11">
        <f>'Speed Calc'!B$5*E433</f>
        <v>853.07474823481391</v>
      </c>
      <c r="G433" s="15">
        <f>'Speed Calc'!G$3+'Speed Calc'!G$5*A433^2</f>
        <v>20</v>
      </c>
      <c r="H433" s="7">
        <f>(F433-G433)/'Speed Calc'!G$2*9.806</f>
        <v>6.0512081342152477</v>
      </c>
      <c r="I433" s="4">
        <f t="shared" si="28"/>
        <v>11.027777777777779</v>
      </c>
    </row>
    <row r="434" spans="1:9" x14ac:dyDescent="0.2">
      <c r="A434" s="11">
        <v>39.799999999999997</v>
      </c>
      <c r="B434" s="15">
        <v>3.133</v>
      </c>
      <c r="C434" s="11">
        <f t="shared" si="29"/>
        <v>5157.6795401817799</v>
      </c>
      <c r="D434" s="11">
        <f t="shared" si="26"/>
        <v>139.81646716355667</v>
      </c>
      <c r="E434" s="11">
        <f t="shared" si="27"/>
        <v>948.50367171257051</v>
      </c>
      <c r="F434" s="11">
        <f>'Speed Calc'!B$5*E434</f>
        <v>853.65330454131345</v>
      </c>
      <c r="G434" s="15">
        <f>'Speed Calc'!G$3+'Speed Calc'!G$5*A434^2</f>
        <v>20</v>
      </c>
      <c r="H434" s="7">
        <f>(F434-G434)/'Speed Calc'!G$2*9.806</f>
        <v>6.05541059580157</v>
      </c>
      <c r="I434" s="4">
        <f t="shared" si="28"/>
        <v>11.055555555555555</v>
      </c>
    </row>
    <row r="435" spans="1:9" x14ac:dyDescent="0.2">
      <c r="A435" s="11">
        <v>39.9</v>
      </c>
      <c r="B435" s="15">
        <v>3.133</v>
      </c>
      <c r="C435" s="11">
        <f t="shared" si="29"/>
        <v>5170.6385340013321</v>
      </c>
      <c r="D435" s="11">
        <f t="shared" si="26"/>
        <v>140.2635775472603</v>
      </c>
      <c r="E435" s="11">
        <f t="shared" si="27"/>
        <v>949.15202851529523</v>
      </c>
      <c r="F435" s="11">
        <f>'Speed Calc'!B$5*E435</f>
        <v>854.23682566376567</v>
      </c>
      <c r="G435" s="15">
        <f>'Speed Calc'!G$3+'Speed Calc'!G$5*A435^2</f>
        <v>20</v>
      </c>
      <c r="H435" s="7">
        <f>(F435-G435)/'Speed Calc'!G$2*9.806</f>
        <v>6.0596491203399152</v>
      </c>
      <c r="I435" s="4">
        <f t="shared" si="28"/>
        <v>11.083333333333332</v>
      </c>
    </row>
    <row r="436" spans="1:9" x14ac:dyDescent="0.2">
      <c r="A436" s="11">
        <v>40</v>
      </c>
      <c r="B436" s="15">
        <v>3.133</v>
      </c>
      <c r="C436" s="11">
        <f t="shared" si="29"/>
        <v>5183.5975278208844</v>
      </c>
      <c r="D436" s="11">
        <f t="shared" si="26"/>
        <v>140.71198170749065</v>
      </c>
      <c r="E436" s="11">
        <f t="shared" si="27"/>
        <v>949.80587652556198</v>
      </c>
      <c r="F436" s="11">
        <f>'Speed Calc'!B$5*E436</f>
        <v>854.82528887300577</v>
      </c>
      <c r="G436" s="15">
        <f>'Speed Calc'!G$3+'Speed Calc'!G$5*A436^2</f>
        <v>20</v>
      </c>
      <c r="H436" s="7">
        <f>(F436-G436)/'Speed Calc'!G$2*9.806</f>
        <v>6.0639235427323657</v>
      </c>
      <c r="I436" s="4">
        <f t="shared" si="28"/>
        <v>11.111111111111111</v>
      </c>
    </row>
    <row r="437" spans="1:9" x14ac:dyDescent="0.2">
      <c r="A437" s="11">
        <v>40.1</v>
      </c>
      <c r="B437" s="15">
        <v>3.133</v>
      </c>
      <c r="C437" s="11">
        <f t="shared" si="29"/>
        <v>5196.5565216404375</v>
      </c>
      <c r="D437" s="11">
        <f t="shared" si="26"/>
        <v>141.16168182995324</v>
      </c>
      <c r="E437" s="11">
        <f t="shared" si="27"/>
        <v>950.46518937873736</v>
      </c>
      <c r="F437" s="11">
        <f>'Speed Calc'!B$5*E437</f>
        <v>855.41867044086359</v>
      </c>
      <c r="G437" s="15">
        <f>'Speed Calc'!G$3+'Speed Calc'!G$5*A437^2</f>
        <v>20</v>
      </c>
      <c r="H437" s="7">
        <f>(F437-G437)/'Speed Calc'!G$2*9.806</f>
        <v>6.068233690624524</v>
      </c>
      <c r="I437" s="4">
        <f t="shared" si="28"/>
        <v>11.138888888888889</v>
      </c>
    </row>
    <row r="438" spans="1:9" x14ac:dyDescent="0.2">
      <c r="A438" s="11">
        <v>40.200000000000003</v>
      </c>
      <c r="B438" s="15">
        <v>3.133</v>
      </c>
      <c r="C438" s="11">
        <f t="shared" si="29"/>
        <v>5209.5155154599897</v>
      </c>
      <c r="D438" s="11">
        <f t="shared" si="26"/>
        <v>141.61267989602609</v>
      </c>
      <c r="E438" s="11">
        <f t="shared" si="27"/>
        <v>951.12993960017513</v>
      </c>
      <c r="F438" s="11">
        <f>'Speed Calc'!B$5*E438</f>
        <v>856.01694564015759</v>
      </c>
      <c r="G438" s="15">
        <f>'Speed Calc'!G$3+'Speed Calc'!G$5*A438^2</f>
        <v>20</v>
      </c>
      <c r="H438" s="7">
        <f>(F438-G438)/'Speed Calc'!G$2*9.806</f>
        <v>6.0725793844054694</v>
      </c>
      <c r="I438" s="4">
        <f t="shared" si="28"/>
        <v>11.166666666666668</v>
      </c>
    </row>
    <row r="439" spans="1:9" x14ac:dyDescent="0.2">
      <c r="A439" s="11">
        <v>40.299999999999997</v>
      </c>
      <c r="B439" s="15">
        <v>3.133</v>
      </c>
      <c r="C439" s="11">
        <f t="shared" si="29"/>
        <v>5222.4745092795401</v>
      </c>
      <c r="D439" s="11">
        <f t="shared" si="26"/>
        <v>142.06497768070534</v>
      </c>
      <c r="E439" s="11">
        <f t="shared" si="27"/>
        <v>951.80009860522205</v>
      </c>
      <c r="F439" s="11">
        <f>'Speed Calc'!B$5*E439</f>
        <v>856.62008874469984</v>
      </c>
      <c r="G439" s="15">
        <f>'Speed Calc'!G$3+'Speed Calc'!G$5*A439^2</f>
        <v>20</v>
      </c>
      <c r="H439" s="7">
        <f>(F439-G439)/'Speed Calc'!G$2*9.806</f>
        <v>6.0769604372077968</v>
      </c>
      <c r="I439" s="4">
        <f t="shared" si="28"/>
        <v>11.194444444444443</v>
      </c>
    </row>
    <row r="440" spans="1:9" x14ac:dyDescent="0.2">
      <c r="A440" s="11">
        <v>40.4</v>
      </c>
      <c r="B440" s="15">
        <v>3.133</v>
      </c>
      <c r="C440" s="11">
        <f t="shared" si="29"/>
        <v>5235.4335030990924</v>
      </c>
      <c r="D440" s="11">
        <f t="shared" si="26"/>
        <v>142.5185767505489</v>
      </c>
      <c r="E440" s="11">
        <f t="shared" si="27"/>
        <v>952.47563669921294</v>
      </c>
      <c r="F440" s="11">
        <f>'Speed Calc'!B$5*E440</f>
        <v>857.22807302929164</v>
      </c>
      <c r="G440" s="15">
        <f>'Speed Calc'!G$3+'Speed Calc'!G$5*A440^2</f>
        <v>20</v>
      </c>
      <c r="H440" s="7">
        <f>(F440-G440)/'Speed Calc'!G$2*9.806</f>
        <v>6.0813766549075803</v>
      </c>
      <c r="I440" s="4">
        <f t="shared" si="28"/>
        <v>11.222222222222221</v>
      </c>
    </row>
    <row r="441" spans="1:9" x14ac:dyDescent="0.2">
      <c r="A441" s="11">
        <v>40.5</v>
      </c>
      <c r="B441" s="15">
        <v>3.133</v>
      </c>
      <c r="C441" s="11">
        <f t="shared" si="29"/>
        <v>5248.3924969186455</v>
      </c>
      <c r="D441" s="11">
        <f t="shared" si="26"/>
        <v>142.97347846162239</v>
      </c>
      <c r="E441" s="11">
        <f t="shared" si="27"/>
        <v>953.15652307748257</v>
      </c>
      <c r="F441" s="11">
        <f>'Speed Calc'!B$5*E441</f>
        <v>857.84087076973435</v>
      </c>
      <c r="G441" s="15">
        <f>'Speed Calc'!G$3+'Speed Calc'!G$5*A441^2</f>
        <v>20</v>
      </c>
      <c r="H441" s="7">
        <f>(F441-G441)/'Speed Calc'!G$2*9.806</f>
        <v>6.0858278361244551</v>
      </c>
      <c r="I441" s="4">
        <f t="shared" si="28"/>
        <v>11.25</v>
      </c>
    </row>
    <row r="442" spans="1:9" x14ac:dyDescent="0.2">
      <c r="A442" s="11">
        <v>40.6</v>
      </c>
      <c r="B442" s="15">
        <v>3.133</v>
      </c>
      <c r="C442" s="11">
        <f t="shared" si="29"/>
        <v>5261.3514907381968</v>
      </c>
      <c r="D442" s="11">
        <f t="shared" si="26"/>
        <v>143.42968395744094</v>
      </c>
      <c r="E442" s="11">
        <f t="shared" si="27"/>
        <v>953.84272582534629</v>
      </c>
      <c r="F442" s="11">
        <f>'Speed Calc'!B$5*E442</f>
        <v>858.45845324281163</v>
      </c>
      <c r="G442" s="15">
        <f>'Speed Calc'!G$3+'Speed Calc'!G$5*A442^2</f>
        <v>20</v>
      </c>
      <c r="H442" s="7">
        <f>(F442-G442)/'Speed Calc'!G$2*9.806</f>
        <v>6.0903137722214886</v>
      </c>
      <c r="I442" s="4">
        <f t="shared" si="28"/>
        <v>11.277777777777779</v>
      </c>
    </row>
    <row r="443" spans="1:9" x14ac:dyDescent="0.2">
      <c r="A443" s="11">
        <v>40.700000000000003</v>
      </c>
      <c r="B443" s="15">
        <v>3.133</v>
      </c>
      <c r="C443" s="11">
        <f t="shared" si="29"/>
        <v>5274.31048455775</v>
      </c>
      <c r="D443" s="11">
        <f t="shared" si="26"/>
        <v>143.88719416691626</v>
      </c>
      <c r="E443" s="11">
        <f t="shared" si="27"/>
        <v>954.53421191811765</v>
      </c>
      <c r="F443" s="11">
        <f>'Speed Calc'!B$5*E443</f>
        <v>859.08079072630585</v>
      </c>
      <c r="G443" s="15">
        <f>'Speed Calc'!G$3+'Speed Calc'!G$5*A443^2</f>
        <v>20</v>
      </c>
      <c r="H443" s="7">
        <f>(F443-G443)/'Speed Calc'!G$2*9.806</f>
        <v>6.0948342473052994</v>
      </c>
      <c r="I443" s="4">
        <f t="shared" si="28"/>
        <v>11.305555555555555</v>
      </c>
    </row>
    <row r="444" spans="1:9" x14ac:dyDescent="0.2">
      <c r="A444" s="11">
        <v>40.799999999999997</v>
      </c>
      <c r="B444" s="15">
        <v>3.133</v>
      </c>
      <c r="C444" s="11">
        <f t="shared" si="29"/>
        <v>5287.2694783773013</v>
      </c>
      <c r="D444" s="11">
        <f t="shared" si="26"/>
        <v>144.34600980229931</v>
      </c>
      <c r="E444" s="11">
        <f t="shared" si="27"/>
        <v>955.23094722109829</v>
      </c>
      <c r="F444" s="11">
        <f>'Speed Calc'!B$5*E444</f>
        <v>859.70785249898847</v>
      </c>
      <c r="G444" s="15">
        <f>'Speed Calc'!G$3+'Speed Calc'!G$5*A444^2</f>
        <v>20</v>
      </c>
      <c r="H444" s="7">
        <f>(F444-G444)/'Speed Calc'!G$2*9.806</f>
        <v>6.0993890382259854</v>
      </c>
      <c r="I444" s="4">
        <f t="shared" si="28"/>
        <v>11.333333333333332</v>
      </c>
    </row>
    <row r="445" spans="1:9" x14ac:dyDescent="0.2">
      <c r="A445" s="11">
        <v>40.9</v>
      </c>
      <c r="B445" s="15">
        <v>3.133</v>
      </c>
      <c r="C445" s="11">
        <f t="shared" si="29"/>
        <v>5300.2284721968545</v>
      </c>
      <c r="D445" s="11">
        <f t="shared" si="26"/>
        <v>144.80613135712653</v>
      </c>
      <c r="E445" s="11">
        <f t="shared" si="27"/>
        <v>955.93289648958842</v>
      </c>
      <c r="F445" s="11">
        <f>'Speed Calc'!B$5*E445</f>
        <v>860.33960684062959</v>
      </c>
      <c r="G445" s="15">
        <f>'Speed Calc'!G$3+'Speed Calc'!G$5*A445^2</f>
        <v>20</v>
      </c>
      <c r="H445" s="7">
        <f>(F445-G445)/'Speed Calc'!G$2*9.806</f>
        <v>6.1039779145771949</v>
      </c>
      <c r="I445" s="4">
        <f t="shared" si="28"/>
        <v>11.361111111111111</v>
      </c>
    </row>
    <row r="446" spans="1:9" x14ac:dyDescent="0.2">
      <c r="A446" s="11">
        <v>41</v>
      </c>
      <c r="B446" s="15">
        <v>3.133</v>
      </c>
      <c r="C446" s="11">
        <f t="shared" si="29"/>
        <v>5313.1874660164067</v>
      </c>
      <c r="D446" s="11">
        <f t="shared" si="26"/>
        <v>145.26755910416136</v>
      </c>
      <c r="E446" s="11">
        <f t="shared" si="27"/>
        <v>956.64002336886733</v>
      </c>
      <c r="F446" s="11">
        <f>'Speed Calc'!B$5*E446</f>
        <v>860.97602103198062</v>
      </c>
      <c r="G446" s="15">
        <f>'Speed Calc'!G$3+'Speed Calc'!G$5*A446^2</f>
        <v>20</v>
      </c>
      <c r="H446" s="7">
        <f>(F446-G446)/'Speed Calc'!G$2*9.806</f>
        <v>6.108600638696001</v>
      </c>
      <c r="I446" s="4">
        <f t="shared" si="28"/>
        <v>11.388888888888889</v>
      </c>
    </row>
    <row r="447" spans="1:9" x14ac:dyDescent="0.2">
      <c r="A447" s="11">
        <v>41.1</v>
      </c>
      <c r="B447" s="15">
        <v>3.133</v>
      </c>
      <c r="C447" s="11">
        <f t="shared" si="29"/>
        <v>5326.1464598359589</v>
      </c>
      <c r="D447" s="11">
        <f t="shared" si="26"/>
        <v>145.73029309334154</v>
      </c>
      <c r="E447" s="11">
        <f t="shared" si="27"/>
        <v>957.35229039421426</v>
      </c>
      <c r="F447" s="11">
        <f>'Speed Calc'!B$5*E447</f>
        <v>861.6170613547929</v>
      </c>
      <c r="G447" s="15">
        <f>'Speed Calc'!G$3+'Speed Calc'!G$5*A447^2</f>
        <v>20</v>
      </c>
      <c r="H447" s="7">
        <f>(F447-G447)/'Speed Calc'!G$2*9.806</f>
        <v>6.1132569656630364</v>
      </c>
      <c r="I447" s="4">
        <f t="shared" si="28"/>
        <v>11.416666666666666</v>
      </c>
    </row>
    <row r="448" spans="1:9" x14ac:dyDescent="0.2">
      <c r="A448" s="11">
        <v>41.2</v>
      </c>
      <c r="B448" s="15">
        <v>3.133</v>
      </c>
      <c r="C448" s="11">
        <f t="shared" si="29"/>
        <v>5339.1054536555102</v>
      </c>
      <c r="D448" s="11">
        <f t="shared" si="26"/>
        <v>146.19433314972218</v>
      </c>
      <c r="E448" s="11">
        <f t="shared" si="27"/>
        <v>958.06965899089789</v>
      </c>
      <c r="F448" s="11">
        <f>'Speed Calc'!B$5*E448</f>
        <v>862.26269309180816</v>
      </c>
      <c r="G448" s="15">
        <f>'Speed Calc'!G$3+'Speed Calc'!G$5*A448^2</f>
        <v>20</v>
      </c>
      <c r="H448" s="7">
        <f>(F448-G448)/'Speed Calc'!G$2*9.806</f>
        <v>6.1179466433024219</v>
      </c>
      <c r="I448" s="4">
        <f t="shared" si="28"/>
        <v>11.444444444444445</v>
      </c>
    </row>
    <row r="449" spans="1:9" x14ac:dyDescent="0.2">
      <c r="A449" s="11">
        <v>41.3</v>
      </c>
      <c r="B449" s="15">
        <v>3.133</v>
      </c>
      <c r="C449" s="11">
        <f t="shared" si="29"/>
        <v>5352.0644474750625</v>
      </c>
      <c r="D449" s="11">
        <f t="shared" si="26"/>
        <v>146.65967887142057</v>
      </c>
      <c r="E449" s="11">
        <f t="shared" si="27"/>
        <v>958.79208947417828</v>
      </c>
      <c r="F449" s="11">
        <f>'Speed Calc'!B$5*E449</f>
        <v>862.91288052676043</v>
      </c>
      <c r="G449" s="15">
        <f>'Speed Calc'!G$3+'Speed Calc'!G$5*A449^2</f>
        <v>20</v>
      </c>
      <c r="H449" s="7">
        <f>(F449-G449)/'Speed Calc'!G$2*9.806</f>
        <v>6.1226694121817866</v>
      </c>
      <c r="I449" s="4">
        <f t="shared" si="28"/>
        <v>11.472222222222221</v>
      </c>
    </row>
    <row r="450" spans="1:9" x14ac:dyDescent="0.2">
      <c r="A450" s="11">
        <v>41.4</v>
      </c>
      <c r="B450" s="15">
        <v>3.133</v>
      </c>
      <c r="C450" s="11">
        <f t="shared" si="29"/>
        <v>5365.0234412946147</v>
      </c>
      <c r="D450" s="11">
        <f t="shared" si="26"/>
        <v>147.12632962755995</v>
      </c>
      <c r="E450" s="11">
        <f t="shared" si="27"/>
        <v>959.51954104930417</v>
      </c>
      <c r="F450" s="11">
        <f>'Speed Calc'!B$5*E450</f>
        <v>863.56758694437372</v>
      </c>
      <c r="G450" s="15">
        <f>'Speed Calc'!G$3+'Speed Calc'!G$5*A450^2</f>
        <v>20</v>
      </c>
      <c r="H450" s="7">
        <f>(F450-G450)/'Speed Calc'!G$2*9.806</f>
        <v>6.1274250056122428</v>
      </c>
      <c r="I450" s="4">
        <f t="shared" si="28"/>
        <v>11.5</v>
      </c>
    </row>
    <row r="451" spans="1:9" x14ac:dyDescent="0.2">
      <c r="A451" s="11">
        <v>41.5</v>
      </c>
      <c r="B451" s="15">
        <v>3.133</v>
      </c>
      <c r="C451" s="11">
        <f t="shared" si="29"/>
        <v>5377.9824351141669</v>
      </c>
      <c r="D451" s="11">
        <f t="shared" si="26"/>
        <v>147.59428455621537</v>
      </c>
      <c r="E451" s="11">
        <f t="shared" si="27"/>
        <v>960.25197181152191</v>
      </c>
      <c r="F451" s="11">
        <f>'Speed Calc'!B$5*E451</f>
        <v>864.22677463036973</v>
      </c>
      <c r="G451" s="15">
        <f>'Speed Calc'!G$3+'Speed Calc'!G$5*A451^2</f>
        <v>20</v>
      </c>
      <c r="H451" s="7">
        <f>(F451-G451)/'Speed Calc'!G$2*9.806</f>
        <v>6.1322131496484475</v>
      </c>
      <c r="I451" s="4">
        <f t="shared" si="28"/>
        <v>11.527777777777777</v>
      </c>
    </row>
    <row r="452" spans="1:9" x14ac:dyDescent="0.2">
      <c r="A452" s="11">
        <v>41.6</v>
      </c>
      <c r="B452" s="15">
        <v>3.133</v>
      </c>
      <c r="C452" s="11">
        <f t="shared" si="29"/>
        <v>5390.9414289337192</v>
      </c>
      <c r="D452" s="11">
        <f t="shared" si="26"/>
        <v>148.06354256235622</v>
      </c>
      <c r="E452" s="11">
        <f t="shared" si="27"/>
        <v>960.989338746062</v>
      </c>
      <c r="F452" s="11">
        <f>'Speed Calc'!B$5*E452</f>
        <v>864.89040487145587</v>
      </c>
      <c r="G452" s="15">
        <f>'Speed Calc'!G$3+'Speed Calc'!G$5*A452^2</f>
        <v>20</v>
      </c>
      <c r="H452" s="7">
        <f>(F452-G452)/'Speed Calc'!G$2*9.806</f>
        <v>6.1370335630885151</v>
      </c>
      <c r="I452" s="4">
        <f t="shared" si="28"/>
        <v>11.555555555555555</v>
      </c>
    </row>
    <row r="453" spans="1:9" x14ac:dyDescent="0.2">
      <c r="A453" s="11">
        <v>41.7</v>
      </c>
      <c r="B453" s="15">
        <v>3.133</v>
      </c>
      <c r="C453" s="11">
        <f t="shared" si="29"/>
        <v>5403.9004227532723</v>
      </c>
      <c r="D453" s="11">
        <f t="shared" si="26"/>
        <v>148.53410231579204</v>
      </c>
      <c r="E453" s="11">
        <f t="shared" si="27"/>
        <v>961.73159772814972</v>
      </c>
      <c r="F453" s="11">
        <f>'Speed Calc'!B$5*E453</f>
        <v>865.55843795533474</v>
      </c>
      <c r="G453" s="15">
        <f>'Speed Calc'!G$3+'Speed Calc'!G$5*A453^2</f>
        <v>20</v>
      </c>
      <c r="H453" s="7">
        <f>(F453-G453)/'Speed Calc'!G$2*9.806</f>
        <v>6.1418859574740834</v>
      </c>
      <c r="I453" s="4">
        <f t="shared" si="28"/>
        <v>11.583333333333334</v>
      </c>
    </row>
    <row r="454" spans="1:9" x14ac:dyDescent="0.2">
      <c r="A454" s="11">
        <v>41.8</v>
      </c>
      <c r="B454" s="15">
        <v>3.133</v>
      </c>
      <c r="C454" s="11">
        <f t="shared" si="29"/>
        <v>5416.8594165728236</v>
      </c>
      <c r="D454" s="11">
        <f t="shared" si="26"/>
        <v>149.00596224911672</v>
      </c>
      <c r="E454" s="11">
        <f t="shared" si="27"/>
        <v>962.47870352300265</v>
      </c>
      <c r="F454" s="11">
        <f>'Speed Calc'!B$5*E454</f>
        <v>866.23083317070245</v>
      </c>
      <c r="G454" s="15">
        <f>'Speed Calc'!G$3+'Speed Calc'!G$5*A454^2</f>
        <v>20</v>
      </c>
      <c r="H454" s="7">
        <f>(F454-G454)/'Speed Calc'!G$2*9.806</f>
        <v>6.1467700370903016</v>
      </c>
      <c r="I454" s="4">
        <f t="shared" si="28"/>
        <v>11.611111111111111</v>
      </c>
    </row>
    <row r="455" spans="1:9" x14ac:dyDescent="0.2">
      <c r="A455" s="11">
        <v>41.9</v>
      </c>
      <c r="B455" s="15">
        <v>3.133</v>
      </c>
      <c r="C455" s="11">
        <f t="shared" si="29"/>
        <v>5429.8184103923759</v>
      </c>
      <c r="D455" s="11">
        <f t="shared" si="26"/>
        <v>149.4791205556528</v>
      </c>
      <c r="E455" s="11">
        <f t="shared" si="27"/>
        <v>963.23060978582953</v>
      </c>
      <c r="F455" s="11">
        <f>'Speed Calc'!B$5*E455</f>
        <v>866.9075488072466</v>
      </c>
      <c r="G455" s="15">
        <f>'Speed Calc'!G$3+'Speed Calc'!G$5*A455^2</f>
        <v>20</v>
      </c>
      <c r="H455" s="7">
        <f>(F455-G455)/'Speed Calc'!G$2*9.806</f>
        <v>6.1516854989658212</v>
      </c>
      <c r="I455" s="4">
        <f t="shared" si="28"/>
        <v>11.638888888888888</v>
      </c>
    </row>
    <row r="456" spans="1:9" x14ac:dyDescent="0.2">
      <c r="A456" s="11">
        <v>42</v>
      </c>
      <c r="B456" s="15">
        <v>3.133</v>
      </c>
      <c r="C456" s="11">
        <f t="shared" si="29"/>
        <v>5442.777404211929</v>
      </c>
      <c r="D456" s="11">
        <f t="shared" si="26"/>
        <v>149.95357518739522</v>
      </c>
      <c r="E456" s="11">
        <f t="shared" si="27"/>
        <v>963.98726906182605</v>
      </c>
      <c r="F456" s="11">
        <f>'Speed Calc'!B$5*E456</f>
        <v>867.58854215564349</v>
      </c>
      <c r="G456" s="15">
        <f>'Speed Calc'!G$3+'Speed Calc'!G$5*A456^2</f>
        <v>20</v>
      </c>
      <c r="H456" s="7">
        <f>(F456-G456)/'Speed Calc'!G$2*9.806</f>
        <v>6.1566320328727695</v>
      </c>
      <c r="I456" s="4">
        <f t="shared" si="28"/>
        <v>11.666666666666666</v>
      </c>
    </row>
    <row r="457" spans="1:9" x14ac:dyDescent="0.2">
      <c r="A457" s="11">
        <v>42.1</v>
      </c>
      <c r="B457" s="15">
        <v>3.133</v>
      </c>
      <c r="C457" s="11">
        <f t="shared" si="29"/>
        <v>5455.7363980314803</v>
      </c>
      <c r="D457" s="11">
        <f t="shared" si="26"/>
        <v>150.429323852957</v>
      </c>
      <c r="E457" s="11">
        <f t="shared" si="27"/>
        <v>964.74863278618511</v>
      </c>
      <c r="F457" s="11">
        <f>'Speed Calc'!B$5*E457</f>
        <v>868.27376950756661</v>
      </c>
      <c r="G457" s="15">
        <f>'Speed Calc'!G$3+'Speed Calc'!G$5*A457^2</f>
        <v>20</v>
      </c>
      <c r="H457" s="7">
        <f>(F457-G457)/'Speed Calc'!G$2*9.806</f>
        <v>6.1616093213268126</v>
      </c>
      <c r="I457" s="4">
        <f t="shared" si="28"/>
        <v>11.694444444444445</v>
      </c>
    </row>
    <row r="458" spans="1:9" x14ac:dyDescent="0.2">
      <c r="A458" s="11">
        <v>42.2</v>
      </c>
      <c r="B458" s="15">
        <v>3.133</v>
      </c>
      <c r="C458" s="11">
        <f t="shared" si="29"/>
        <v>5468.6953918510335</v>
      </c>
      <c r="D458" s="11">
        <f t="shared" si="26"/>
        <v>150.90636401551299</v>
      </c>
      <c r="E458" s="11">
        <f t="shared" si="27"/>
        <v>965.5146512840879</v>
      </c>
      <c r="F458" s="11">
        <f>'Speed Calc'!B$5*E458</f>
        <v>868.96318615567918</v>
      </c>
      <c r="G458" s="15">
        <f>'Speed Calc'!G$3+'Speed Calc'!G$5*A458^2</f>
        <v>20</v>
      </c>
      <c r="H458" s="7">
        <f>(F458-G458)/'Speed Calc'!G$2*9.806</f>
        <v>6.1666170395871029</v>
      </c>
      <c r="I458" s="4">
        <f t="shared" si="28"/>
        <v>11.722222222222223</v>
      </c>
    </row>
    <row r="459" spans="1:9" x14ac:dyDescent="0.2">
      <c r="A459" s="11">
        <v>42.3</v>
      </c>
      <c r="B459" s="15">
        <v>3.133</v>
      </c>
      <c r="C459" s="11">
        <f t="shared" si="29"/>
        <v>5481.6543856705839</v>
      </c>
      <c r="D459" s="11">
        <f t="shared" si="26"/>
        <v>151.38469289074382</v>
      </c>
      <c r="E459" s="11">
        <f t="shared" si="27"/>
        <v>966.28527377070566</v>
      </c>
      <c r="F459" s="11">
        <f>'Speed Calc'!B$5*E459</f>
        <v>869.6567463936351</v>
      </c>
      <c r="G459" s="15">
        <f>'Speed Calc'!G$3+'Speed Calc'!G$5*A459^2</f>
        <v>20</v>
      </c>
      <c r="H459" s="7">
        <f>(F459-G459)/'Speed Calc'!G$2*9.806</f>
        <v>6.1716548556562847</v>
      </c>
      <c r="I459" s="4">
        <f t="shared" si="28"/>
        <v>11.749999999999998</v>
      </c>
    </row>
    <row r="460" spans="1:9" x14ac:dyDescent="0.2">
      <c r="A460" s="11">
        <v>42.4</v>
      </c>
      <c r="B460" s="15">
        <v>3.133</v>
      </c>
      <c r="C460" s="11">
        <f t="shared" si="29"/>
        <v>5494.6133794901361</v>
      </c>
      <c r="D460" s="11">
        <f t="shared" si="26"/>
        <v>151.86430744478167</v>
      </c>
      <c r="E460" s="11">
        <f t="shared" si="27"/>
        <v>967.0604483512044</v>
      </c>
      <c r="F460" s="11">
        <f>'Speed Calc'!B$5*E460</f>
        <v>870.35440351608395</v>
      </c>
      <c r="G460" s="15">
        <f>'Speed Calc'!G$3+'Speed Calc'!G$5*A460^2</f>
        <v>20</v>
      </c>
      <c r="H460" s="7">
        <f>(F460-G460)/'Speed Calc'!G$2*9.806</f>
        <v>6.1767224302805328</v>
      </c>
      <c r="I460" s="4">
        <f t="shared" si="28"/>
        <v>11.777777777777777</v>
      </c>
    </row>
    <row r="461" spans="1:9" x14ac:dyDescent="0.2">
      <c r="A461" s="11">
        <v>42.5</v>
      </c>
      <c r="B461" s="15">
        <v>3.133</v>
      </c>
      <c r="C461" s="11">
        <f t="shared" si="29"/>
        <v>5507.5723733096893</v>
      </c>
      <c r="D461" s="11">
        <f t="shared" si="26"/>
        <v>152.34520439215376</v>
      </c>
      <c r="E461" s="11">
        <f t="shared" si="27"/>
        <v>967.84012202074166</v>
      </c>
      <c r="F461" s="11">
        <f>'Speed Calc'!B$5*E461</f>
        <v>871.05610981866755</v>
      </c>
      <c r="G461" s="15">
        <f>'Speed Calc'!G$3+'Speed Calc'!G$5*A461^2</f>
        <v>20</v>
      </c>
      <c r="H461" s="7">
        <f>(F461-G461)/'Speed Calc'!G$2*9.806</f>
        <v>6.1818194169495211</v>
      </c>
      <c r="I461" s="4">
        <f t="shared" si="28"/>
        <v>11.805555555555555</v>
      </c>
    </row>
    <row r="462" spans="1:9" x14ac:dyDescent="0.2">
      <c r="A462" s="11">
        <v>42.6</v>
      </c>
      <c r="B462" s="15">
        <v>3.133</v>
      </c>
      <c r="C462" s="11">
        <f t="shared" si="29"/>
        <v>5520.5313671292424</v>
      </c>
      <c r="D462" s="11">
        <f t="shared" si="26"/>
        <v>152.82738019372573</v>
      </c>
      <c r="E462" s="11">
        <f t="shared" si="27"/>
        <v>968.62424066445885</v>
      </c>
      <c r="F462" s="11">
        <f>'Speed Calc'!B$5*E462</f>
        <v>871.76181659801296</v>
      </c>
      <c r="G462" s="15">
        <f>'Speed Calc'!G$3+'Speed Calc'!G$5*A462^2</f>
        <v>20</v>
      </c>
      <c r="H462" s="7">
        <f>(F462-G462)/'Speed Calc'!G$2*9.806</f>
        <v>6.1869454618963804</v>
      </c>
      <c r="I462" s="4">
        <f t="shared" si="28"/>
        <v>11.833333333333334</v>
      </c>
    </row>
    <row r="463" spans="1:9" x14ac:dyDescent="0.2">
      <c r="A463" s="11">
        <v>42.7</v>
      </c>
      <c r="B463" s="15">
        <v>3.133</v>
      </c>
      <c r="C463" s="11">
        <f t="shared" si="29"/>
        <v>5533.4903609487947</v>
      </c>
      <c r="D463" s="11">
        <f t="shared" si="26"/>
        <v>153.31083105464924</v>
      </c>
      <c r="E463" s="11">
        <f t="shared" si="27"/>
        <v>969.41274905750095</v>
      </c>
      <c r="F463" s="11">
        <f>'Speed Calc'!B$5*E463</f>
        <v>872.47147415175084</v>
      </c>
      <c r="G463" s="15">
        <f>'Speed Calc'!G$3+'Speed Calc'!G$5*A463^2</f>
        <v>20</v>
      </c>
      <c r="H463" s="7">
        <f>(F463-G463)/'Speed Calc'!G$2*9.806</f>
        <v>6.1921002040978284</v>
      </c>
      <c r="I463" s="4">
        <f t="shared" si="28"/>
        <v>11.861111111111112</v>
      </c>
    </row>
    <row r="464" spans="1:9" x14ac:dyDescent="0.2">
      <c r="A464" s="11">
        <v>42.8</v>
      </c>
      <c r="B464" s="15">
        <v>3.133</v>
      </c>
      <c r="C464" s="11">
        <f t="shared" si="29"/>
        <v>5546.449354768346</v>
      </c>
      <c r="D464" s="11">
        <f t="shared" si="26"/>
        <v>153.79555292230242</v>
      </c>
      <c r="E464" s="11">
        <f t="shared" si="27"/>
        <v>970.20559086499202</v>
      </c>
      <c r="F464" s="11">
        <f>'Speed Calc'!B$5*E464</f>
        <v>873.18503177849288</v>
      </c>
      <c r="G464" s="15">
        <f>'Speed Calc'!G$3+'Speed Calc'!G$5*A464^2</f>
        <v>20</v>
      </c>
      <c r="H464" s="7">
        <f>(F464-G464)/'Speed Calc'!G$2*9.806</f>
        <v>6.1972832752740006</v>
      </c>
      <c r="I464" s="4">
        <f t="shared" si="28"/>
        <v>11.888888888888888</v>
      </c>
    </row>
    <row r="465" spans="1:9" x14ac:dyDescent="0.2">
      <c r="A465" s="11">
        <v>42.9</v>
      </c>
      <c r="B465" s="15">
        <v>3.133</v>
      </c>
      <c r="C465" s="11">
        <f t="shared" si="29"/>
        <v>5559.4083485878991</v>
      </c>
      <c r="D465" s="11">
        <f t="shared" si="26"/>
        <v>154.28154148423747</v>
      </c>
      <c r="E465" s="11">
        <f t="shared" si="27"/>
        <v>971.0027086420539</v>
      </c>
      <c r="F465" s="11">
        <f>'Speed Calc'!B$5*E465</f>
        <v>873.90243777784849</v>
      </c>
      <c r="G465" s="15">
        <f>'Speed Calc'!G$3+'Speed Calc'!G$5*A465^2</f>
        <v>20</v>
      </c>
      <c r="H465" s="7">
        <f>(F465-G465)/'Speed Calc'!G$2*9.806</f>
        <v>6.2024942998885795</v>
      </c>
      <c r="I465" s="4">
        <f t="shared" si="28"/>
        <v>11.916666666666666</v>
      </c>
    </row>
    <row r="466" spans="1:9" x14ac:dyDescent="0.2">
      <c r="A466" s="11">
        <v>43</v>
      </c>
      <c r="B466" s="15">
        <v>3.133</v>
      </c>
      <c r="C466" s="11">
        <f t="shared" si="29"/>
        <v>5572.3673424074514</v>
      </c>
      <c r="D466" s="11">
        <f t="shared" si="26"/>
        <v>154.76879216612417</v>
      </c>
      <c r="E466" s="11">
        <f t="shared" si="27"/>
        <v>971.80404383380278</v>
      </c>
      <c r="F466" s="11">
        <f>'Speed Calc'!B$5*E466</f>
        <v>874.6236394504225</v>
      </c>
      <c r="G466" s="15">
        <f>'Speed Calc'!G$3+'Speed Calc'!G$5*A466^2</f>
        <v>20</v>
      </c>
      <c r="H466" s="7">
        <f>(F466-G466)/'Speed Calc'!G$2*9.806</f>
        <v>6.207732895148772</v>
      </c>
      <c r="I466" s="4">
        <f t="shared" si="28"/>
        <v>11.944444444444445</v>
      </c>
    </row>
    <row r="467" spans="1:9" x14ac:dyDescent="0.2">
      <c r="A467" s="11">
        <v>43.1</v>
      </c>
      <c r="B467" s="15">
        <v>3.133</v>
      </c>
      <c r="C467" s="11">
        <f t="shared" si="29"/>
        <v>5585.3263362270036</v>
      </c>
      <c r="D467" s="11">
        <f t="shared" si="26"/>
        <v>155.25730012969277</v>
      </c>
      <c r="E467" s="11">
        <f t="shared" si="27"/>
        <v>972.60953677533712</v>
      </c>
      <c r="F467" s="11">
        <f>'Speed Calc'!B$5*E467</f>
        <v>875.34858309780338</v>
      </c>
      <c r="G467" s="15">
        <f>'Speed Calc'!G$3+'Speed Calc'!G$5*A467^2</f>
        <v>20</v>
      </c>
      <c r="H467" s="7">
        <f>(F467-G467)/'Speed Calc'!G$2*9.806</f>
        <v>6.212998671005229</v>
      </c>
      <c r="I467" s="4">
        <f t="shared" si="28"/>
        <v>11.972222222222223</v>
      </c>
    </row>
    <row r="468" spans="1:9" x14ac:dyDescent="0.2">
      <c r="A468" s="11">
        <v>43.2</v>
      </c>
      <c r="B468" s="15">
        <v>3.133</v>
      </c>
      <c r="C468" s="11">
        <f t="shared" si="29"/>
        <v>5598.2853300465558</v>
      </c>
      <c r="D468" s="11">
        <f t="shared" si="26"/>
        <v>155.74706027068095</v>
      </c>
      <c r="E468" s="11">
        <f t="shared" si="27"/>
        <v>973.41912669175588</v>
      </c>
      <c r="F468" s="11">
        <f>'Speed Calc'!B$5*E468</f>
        <v>876.07721402258028</v>
      </c>
      <c r="G468" s="15">
        <f>'Speed Calc'!G$3+'Speed Calc'!G$5*A468^2</f>
        <v>20</v>
      </c>
      <c r="H468" s="7">
        <f>(F468-G468)/'Speed Calc'!G$2*9.806</f>
        <v>6.2182912301521647</v>
      </c>
      <c r="I468" s="4">
        <f t="shared" si="28"/>
        <v>12</v>
      </c>
    </row>
    <row r="469" spans="1:9" x14ac:dyDescent="0.2">
      <c r="A469" s="11">
        <v>43.3</v>
      </c>
      <c r="B469" s="15">
        <v>3.133</v>
      </c>
      <c r="C469" s="11">
        <f t="shared" si="29"/>
        <v>5611.2443238661053</v>
      </c>
      <c r="D469" s="11">
        <f t="shared" si="26"/>
        <v>156.23806721677624</v>
      </c>
      <c r="E469" s="11">
        <f t="shared" si="27"/>
        <v>974.23275169814337</v>
      </c>
      <c r="F469" s="11">
        <f>'Speed Calc'!B$5*E469</f>
        <v>876.80947652832901</v>
      </c>
      <c r="G469" s="15">
        <f>'Speed Calc'!G$3+'Speed Calc'!G$5*A469^2</f>
        <v>20</v>
      </c>
      <c r="H469" s="7">
        <f>(F469-G469)/'Speed Calc'!G$2*9.806</f>
        <v>6.2236101680272542</v>
      </c>
      <c r="I469" s="4">
        <f t="shared" si="28"/>
        <v>12.027777777777777</v>
      </c>
    </row>
    <row r="470" spans="1:9" x14ac:dyDescent="0.2">
      <c r="A470" s="11">
        <v>43.4</v>
      </c>
      <c r="B470" s="15">
        <v>3.133</v>
      </c>
      <c r="C470" s="11">
        <f t="shared" si="29"/>
        <v>5624.2033176856594</v>
      </c>
      <c r="D470" s="11">
        <f t="shared" si="26"/>
        <v>156.73031532556146</v>
      </c>
      <c r="E470" s="11">
        <f t="shared" si="27"/>
        <v>975.05034879957611</v>
      </c>
      <c r="F470" s="11">
        <f>'Speed Calc'!B$5*E470</f>
        <v>877.54531391961848</v>
      </c>
      <c r="G470" s="15">
        <f>'Speed Calc'!G$3+'Speed Calc'!G$5*A470^2</f>
        <v>20</v>
      </c>
      <c r="H470" s="7">
        <f>(F470-G470)/'Speed Calc'!G$2*9.806</f>
        <v>6.2289550728116874</v>
      </c>
      <c r="I470" s="4">
        <f t="shared" si="28"/>
        <v>12.055555555555555</v>
      </c>
    </row>
    <row r="471" spans="1:9" x14ac:dyDescent="0.2">
      <c r="A471" s="11">
        <v>43.5</v>
      </c>
      <c r="B471" s="15">
        <v>3.133</v>
      </c>
      <c r="C471" s="11">
        <f t="shared" si="29"/>
        <v>5637.1623115052116</v>
      </c>
      <c r="D471" s="11">
        <f t="shared" si="26"/>
        <v>157.22379868245906</v>
      </c>
      <c r="E471" s="11">
        <f t="shared" si="27"/>
        <v>975.87185389112562</v>
      </c>
      <c r="F471" s="11">
        <f>'Speed Calc'!B$5*E471</f>
        <v>878.28466850201312</v>
      </c>
      <c r="G471" s="15">
        <f>'Speed Calc'!G$3+'Speed Calc'!G$5*A471^2</f>
        <v>20</v>
      </c>
      <c r="H471" s="7">
        <f>(F471-G471)/'Speed Calc'!G$2*9.806</f>
        <v>6.2343255254301777</v>
      </c>
      <c r="I471" s="4">
        <f t="shared" si="28"/>
        <v>12.083333333333332</v>
      </c>
    </row>
    <row r="472" spans="1:9" x14ac:dyDescent="0.2">
      <c r="A472" s="11">
        <v>43.6</v>
      </c>
      <c r="B472" s="15">
        <v>3.133</v>
      </c>
      <c r="C472" s="11">
        <f t="shared" si="29"/>
        <v>5650.1213053247639</v>
      </c>
      <c r="D472" s="11">
        <f t="shared" si="26"/>
        <v>157.71851109867501</v>
      </c>
      <c r="E472" s="11">
        <f t="shared" si="27"/>
        <v>976.69720175784971</v>
      </c>
      <c r="F472" s="11">
        <f>'Speed Calc'!B$5*E472</f>
        <v>879.02748158206475</v>
      </c>
      <c r="G472" s="15">
        <f>'Speed Calc'!G$3+'Speed Calc'!G$5*A472^2</f>
        <v>20</v>
      </c>
      <c r="H472" s="7">
        <f>(F472-G472)/'Speed Calc'!G$2*9.806</f>
        <v>6.2397210995509083</v>
      </c>
      <c r="I472" s="4">
        <f t="shared" si="28"/>
        <v>12.111111111111111</v>
      </c>
    </row>
    <row r="473" spans="1:9" x14ac:dyDescent="0.2">
      <c r="A473" s="11">
        <v>43.7</v>
      </c>
      <c r="B473" s="15">
        <v>3.133</v>
      </c>
      <c r="C473" s="11">
        <f t="shared" si="29"/>
        <v>5663.080299144317</v>
      </c>
      <c r="D473" s="11">
        <f t="shared" si="26"/>
        <v>158.21444610914375</v>
      </c>
      <c r="E473" s="11">
        <f t="shared" si="27"/>
        <v>977.52632607480098</v>
      </c>
      <c r="F473" s="11">
        <f>'Speed Calc'!B$5*E473</f>
        <v>879.77369346732087</v>
      </c>
      <c r="G473" s="15">
        <f>'Speed Calc'!G$3+'Speed Calc'!G$5*A473^2</f>
        <v>20</v>
      </c>
      <c r="H473" s="7">
        <f>(F473-G473)/'Speed Calc'!G$2*9.806</f>
        <v>6.2451413615855911</v>
      </c>
      <c r="I473" s="4">
        <f t="shared" si="28"/>
        <v>12.138888888888889</v>
      </c>
    </row>
    <row r="474" spans="1:9" x14ac:dyDescent="0.2">
      <c r="A474" s="11">
        <v>43.8</v>
      </c>
      <c r="B474" s="15">
        <v>3.133</v>
      </c>
      <c r="C474" s="11">
        <f t="shared" si="29"/>
        <v>5676.0392929638683</v>
      </c>
      <c r="D474" s="11">
        <f t="shared" si="26"/>
        <v>158.71159697047253</v>
      </c>
      <c r="E474" s="11">
        <f t="shared" si="27"/>
        <v>978.35915940702239</v>
      </c>
      <c r="F474" s="11">
        <f>'Speed Calc'!B$5*E474</f>
        <v>880.5232434663202</v>
      </c>
      <c r="G474" s="15">
        <f>'Speed Calc'!G$3+'Speed Calc'!G$5*A474^2</f>
        <v>20</v>
      </c>
      <c r="H474" s="7">
        <f>(F474-G474)/'Speed Calc'!G$2*9.806</f>
        <v>6.2505858706894335</v>
      </c>
      <c r="I474" s="4">
        <f t="shared" si="28"/>
        <v>12.166666666666666</v>
      </c>
    </row>
    <row r="475" spans="1:9" x14ac:dyDescent="0.2">
      <c r="A475" s="11">
        <v>43.9</v>
      </c>
      <c r="B475" s="15">
        <v>3.133</v>
      </c>
      <c r="C475" s="11">
        <f t="shared" si="29"/>
        <v>5688.9982867834206</v>
      </c>
      <c r="D475" s="11">
        <f t="shared" si="26"/>
        <v>159.20995665888569</v>
      </c>
      <c r="E475" s="11">
        <f t="shared" si="27"/>
        <v>979.19563320954762</v>
      </c>
      <c r="F475" s="11">
        <f>'Speed Calc'!B$5*E475</f>
        <v>881.27606988859293</v>
      </c>
      <c r="G475" s="15">
        <f>'Speed Calc'!G$3+'Speed Calc'!G$5*A475^2</f>
        <v>20</v>
      </c>
      <c r="H475" s="7">
        <f>(F475-G475)/'Speed Calc'!G$2*9.806</f>
        <v>6.2560541787611417</v>
      </c>
      <c r="I475" s="4">
        <f t="shared" si="28"/>
        <v>12.194444444444443</v>
      </c>
    </row>
    <row r="476" spans="1:9" x14ac:dyDescent="0.2">
      <c r="A476" s="11">
        <v>44</v>
      </c>
      <c r="B476" s="15">
        <v>3.133</v>
      </c>
      <c r="C476" s="11">
        <f t="shared" si="29"/>
        <v>5701.9572806029728</v>
      </c>
      <c r="D476" s="11">
        <f t="shared" si="26"/>
        <v>159.7095178681692</v>
      </c>
      <c r="E476" s="11">
        <f t="shared" si="27"/>
        <v>980.03567782740197</v>
      </c>
      <c r="F476" s="11">
        <f>'Speed Calc'!B$5*E476</f>
        <v>882.03211004466175</v>
      </c>
      <c r="G476" s="15">
        <f>'Speed Calc'!G$3+'Speed Calc'!G$5*A476^2</f>
        <v>20</v>
      </c>
      <c r="H476" s="7">
        <f>(F476-G476)/'Speed Calc'!G$2*9.806</f>
        <v>6.2615458304429277</v>
      </c>
      <c r="I476" s="4">
        <f t="shared" si="28"/>
        <v>12.222222222222221</v>
      </c>
    </row>
    <row r="477" spans="1:9" x14ac:dyDescent="0.2">
      <c r="A477" s="11">
        <v>44.1</v>
      </c>
      <c r="B477" s="15">
        <v>3.133</v>
      </c>
      <c r="C477" s="11">
        <f t="shared" si="29"/>
        <v>5714.9162744225259</v>
      </c>
      <c r="D477" s="11">
        <f t="shared" si="26"/>
        <v>160.21027300761546</v>
      </c>
      <c r="E477" s="11">
        <f t="shared" si="27"/>
        <v>980.87922249560461</v>
      </c>
      <c r="F477" s="11">
        <f>'Speed Calc'!B$5*E477</f>
        <v>882.79130024604422</v>
      </c>
      <c r="G477" s="15">
        <f>'Speed Calc'!G$3+'Speed Calc'!G$5*A477^2</f>
        <v>20</v>
      </c>
      <c r="H477" s="7">
        <f>(F477-G477)/'Speed Calc'!G$2*9.806</f>
        <v>6.2670603631205255</v>
      </c>
      <c r="I477" s="4">
        <f t="shared" si="28"/>
        <v>12.25</v>
      </c>
    </row>
    <row r="478" spans="1:9" x14ac:dyDescent="0.2">
      <c r="A478" s="11">
        <v>44.2</v>
      </c>
      <c r="B478" s="15">
        <v>3.133</v>
      </c>
      <c r="C478" s="11">
        <f t="shared" si="29"/>
        <v>5727.8752682420782</v>
      </c>
      <c r="D478" s="11">
        <f t="shared" si="26"/>
        <v>160.7122141999659</v>
      </c>
      <c r="E478" s="11">
        <f t="shared" si="27"/>
        <v>981.72619533915804</v>
      </c>
      <c r="F478" s="11">
        <f>'Speed Calc'!B$5*E478</f>
        <v>883.5535758052423</v>
      </c>
      <c r="G478" s="15">
        <f>'Speed Calc'!G$3+'Speed Calc'!G$5*A478^2</f>
        <v>20</v>
      </c>
      <c r="H478" s="7">
        <f>(F478-G478)/'Speed Calc'!G$2*9.806</f>
        <v>6.2725973069231147</v>
      </c>
      <c r="I478" s="4">
        <f t="shared" si="28"/>
        <v>12.277777777777779</v>
      </c>
    </row>
    <row r="479" spans="1:9" x14ac:dyDescent="0.2">
      <c r="A479" s="11">
        <v>44.3</v>
      </c>
      <c r="B479" s="15">
        <v>3.133</v>
      </c>
      <c r="C479" s="11">
        <f t="shared" si="29"/>
        <v>5740.8342620616286</v>
      </c>
      <c r="D479" s="11">
        <f t="shared" si="26"/>
        <v>161.21533327935893</v>
      </c>
      <c r="E479" s="11">
        <f t="shared" si="27"/>
        <v>982.57652337306797</v>
      </c>
      <c r="F479" s="11">
        <f>'Speed Calc'!B$5*E479</f>
        <v>884.31887103576116</v>
      </c>
      <c r="G479" s="15">
        <f>'Speed Calc'!G$3+'Speed Calc'!G$5*A479^2</f>
        <v>20</v>
      </c>
      <c r="H479" s="7">
        <f>(F479-G479)/'Speed Calc'!G$2*9.806</f>
        <v>6.2781561847234624</v>
      </c>
      <c r="I479" s="4">
        <f t="shared" si="28"/>
        <v>12.305555555555554</v>
      </c>
    </row>
    <row r="480" spans="1:9" x14ac:dyDescent="0.2">
      <c r="A480" s="11">
        <v>44.4</v>
      </c>
      <c r="B480" s="15">
        <v>3.133</v>
      </c>
      <c r="C480" s="11">
        <f t="shared" si="29"/>
        <v>5753.7932558811808</v>
      </c>
      <c r="D480" s="11">
        <f t="shared" si="26"/>
        <v>161.71962178927072</v>
      </c>
      <c r="E480" s="11">
        <f t="shared" si="27"/>
        <v>983.43013250232229</v>
      </c>
      <c r="F480" s="11">
        <f>'Speed Calc'!B$5*E480</f>
        <v>885.08711925209013</v>
      </c>
      <c r="G480" s="15">
        <f>'Speed Calc'!G$3+'Speed Calc'!G$5*A480^2</f>
        <v>20</v>
      </c>
      <c r="H480" s="7">
        <f>(F480-G480)/'Speed Calc'!G$2*9.806</f>
        <v>6.2837365121377742</v>
      </c>
      <c r="I480" s="4">
        <f t="shared" si="28"/>
        <v>12.333333333333332</v>
      </c>
    </row>
    <row r="481" spans="1:9" x14ac:dyDescent="0.2">
      <c r="A481" s="11">
        <v>44.5</v>
      </c>
      <c r="B481" s="15">
        <v>3.133</v>
      </c>
      <c r="C481" s="11">
        <f t="shared" si="29"/>
        <v>5766.752249700734</v>
      </c>
      <c r="D481" s="11">
        <f t="shared" si="26"/>
        <v>162.22507098046182</v>
      </c>
      <c r="E481" s="11">
        <f t="shared" si="27"/>
        <v>984.28694752190336</v>
      </c>
      <c r="F481" s="11">
        <f>'Speed Calc'!B$5*E481</f>
        <v>885.85825276971309</v>
      </c>
      <c r="G481" s="15">
        <f>'Speed Calc'!G$3+'Speed Calc'!G$5*A481^2</f>
        <v>20</v>
      </c>
      <c r="H481" s="7">
        <f>(F481-G481)/'Speed Calc'!G$2*9.806</f>
        <v>6.289337797525782</v>
      </c>
      <c r="I481" s="4">
        <f t="shared" si="28"/>
        <v>12.361111111111111</v>
      </c>
    </row>
    <row r="482" spans="1:9" x14ac:dyDescent="0.2">
      <c r="A482" s="11">
        <v>44.6</v>
      </c>
      <c r="B482" s="15">
        <v>3.133</v>
      </c>
      <c r="C482" s="11">
        <f t="shared" si="29"/>
        <v>5779.7112435202862</v>
      </c>
      <c r="D482" s="11">
        <f t="shared" si="26"/>
        <v>162.73167180892045</v>
      </c>
      <c r="E482" s="11">
        <f t="shared" si="27"/>
        <v>985.14689211678296</v>
      </c>
      <c r="F482" s="11">
        <f>'Speed Calc'!B$5*E482</f>
        <v>886.63220290510469</v>
      </c>
      <c r="G482" s="15">
        <f>'Speed Calc'!G$3+'Speed Calc'!G$5*A482^2</f>
        <v>20</v>
      </c>
      <c r="H482" s="7">
        <f>(F482-G482)/'Speed Calc'!G$2*9.806</f>
        <v>6.2949595419907078</v>
      </c>
      <c r="I482" s="4">
        <f t="shared" si="28"/>
        <v>12.388888888888889</v>
      </c>
    </row>
    <row r="483" spans="1:9" x14ac:dyDescent="0.2">
      <c r="A483" s="11">
        <v>44.7</v>
      </c>
      <c r="B483" s="15">
        <v>3.133</v>
      </c>
      <c r="C483" s="11">
        <f t="shared" si="29"/>
        <v>5792.6702373398393</v>
      </c>
      <c r="D483" s="11">
        <f t="shared" si="26"/>
        <v>163.23941493380838</v>
      </c>
      <c r="E483" s="11">
        <f t="shared" si="27"/>
        <v>986.00988886192965</v>
      </c>
      <c r="F483" s="11">
        <f>'Speed Calc'!B$5*E483</f>
        <v>887.40889997573674</v>
      </c>
      <c r="G483" s="15">
        <f>'Speed Calc'!G$3+'Speed Calc'!G$5*A483^2</f>
        <v>20</v>
      </c>
      <c r="H483" s="7">
        <f>(F483-G483)/'Speed Calc'!G$2*9.806</f>
        <v>6.300601239379314</v>
      </c>
      <c r="I483" s="4">
        <f t="shared" si="28"/>
        <v>12.416666666666668</v>
      </c>
    </row>
    <row r="484" spans="1:9" x14ac:dyDescent="0.2">
      <c r="A484" s="11">
        <v>44.8</v>
      </c>
      <c r="B484" s="15">
        <v>3.133</v>
      </c>
      <c r="C484" s="11">
        <f t="shared" si="29"/>
        <v>5805.6292311593897</v>
      </c>
      <c r="D484" s="11">
        <f t="shared" si="26"/>
        <v>163.74829071540361</v>
      </c>
      <c r="E484" s="11">
        <f t="shared" si="27"/>
        <v>986.87585922229869</v>
      </c>
      <c r="F484" s="11">
        <f>'Speed Calc'!B$5*E484</f>
        <v>888.18827330006889</v>
      </c>
      <c r="G484" s="15">
        <f>'Speed Calc'!G$3+'Speed Calc'!G$5*A484^2</f>
        <v>20</v>
      </c>
      <c r="H484" s="7">
        <f>(F484-G484)/'Speed Calc'!G$2*9.806</f>
        <v>6.3062623762818335</v>
      </c>
      <c r="I484" s="4">
        <f t="shared" si="28"/>
        <v>12.444444444444443</v>
      </c>
    </row>
    <row r="485" spans="1:9" x14ac:dyDescent="0.2">
      <c r="A485" s="11">
        <v>44.9</v>
      </c>
      <c r="B485" s="15">
        <v>3.133</v>
      </c>
      <c r="C485" s="11">
        <f t="shared" si="29"/>
        <v>5818.5882249789429</v>
      </c>
      <c r="D485" s="11">
        <f t="shared" ref="D485:D548" si="30">-4.687*10^(-17)*C485^5+9.129*10^(-13)*C485^4-6.175*10^(-9)*C485^3+1.799*10^(-5)*C485^2+6.502*10^(-3)*C485</f>
        <v>164.25828921304532</v>
      </c>
      <c r="E485" s="11">
        <f t="shared" si="27"/>
        <v>987.74472355283353</v>
      </c>
      <c r="F485" s="11">
        <f>'Speed Calc'!B$5*E485</f>
        <v>888.97025119755017</v>
      </c>
      <c r="G485" s="15">
        <f>'Speed Calc'!G$3+'Speed Calc'!G$5*A485^2</f>
        <v>20</v>
      </c>
      <c r="H485" s="7">
        <f>(F485-G485)/'Speed Calc'!G$2*9.806</f>
        <v>6.3119424320319828</v>
      </c>
      <c r="I485" s="4">
        <f t="shared" si="28"/>
        <v>12.472222222222221</v>
      </c>
    </row>
    <row r="486" spans="1:9" x14ac:dyDescent="0.2">
      <c r="A486" s="11">
        <v>45</v>
      </c>
      <c r="B486" s="15">
        <v>3.133</v>
      </c>
      <c r="C486" s="11">
        <f t="shared" si="29"/>
        <v>5831.5472187984951</v>
      </c>
      <c r="D486" s="11">
        <f t="shared" si="30"/>
        <v>164.7694001830794</v>
      </c>
      <c r="E486" s="11">
        <f t="shared" ref="E486:E549" si="31">D486*75*B486*B$31*B$32/B$23/C486/2/PI()*60</f>
        <v>988.61640109847633</v>
      </c>
      <c r="F486" s="11">
        <f>'Speed Calc'!B$5*E486</f>
        <v>889.75476098862873</v>
      </c>
      <c r="G486" s="15">
        <f>'Speed Calc'!G$3+'Speed Calc'!G$5*A486^2</f>
        <v>20</v>
      </c>
      <c r="H486" s="7">
        <f>(F486-G486)/'Speed Calc'!G$2*9.806</f>
        <v>6.3176408787070315</v>
      </c>
      <c r="I486" s="4">
        <f t="shared" ref="I486:I549" si="32">A486/3.6</f>
        <v>12.5</v>
      </c>
    </row>
    <row r="487" spans="1:9" x14ac:dyDescent="0.2">
      <c r="A487" s="11">
        <v>45.1</v>
      </c>
      <c r="B487" s="15">
        <v>3.133</v>
      </c>
      <c r="C487" s="11">
        <f t="shared" si="29"/>
        <v>5844.5062126180483</v>
      </c>
      <c r="D487" s="11">
        <f t="shared" si="30"/>
        <v>165.2816130768017</v>
      </c>
      <c r="E487" s="11">
        <f t="shared" si="31"/>
        <v>989.49080999415639</v>
      </c>
      <c r="F487" s="11">
        <f>'Speed Calc'!B$5*E487</f>
        <v>890.54172899474077</v>
      </c>
      <c r="G487" s="15">
        <f>'Speed Calc'!G$3+'Speed Calc'!G$5*A487^2</f>
        <v>20</v>
      </c>
      <c r="H487" s="7">
        <f>(F487-G487)/'Speed Calc'!G$2*9.806</f>
        <v>6.323357181127724</v>
      </c>
      <c r="I487" s="4">
        <f t="shared" si="32"/>
        <v>12.527777777777779</v>
      </c>
    </row>
    <row r="488" spans="1:9" x14ac:dyDescent="0.2">
      <c r="A488" s="11">
        <v>45.2</v>
      </c>
      <c r="B488" s="15">
        <v>3.133</v>
      </c>
      <c r="C488" s="11">
        <f t="shared" si="29"/>
        <v>5857.4652064375996</v>
      </c>
      <c r="D488" s="11">
        <f t="shared" si="30"/>
        <v>165.79491703840287</v>
      </c>
      <c r="E488" s="11">
        <f t="shared" si="31"/>
        <v>990.3678672647959</v>
      </c>
      <c r="F488" s="11">
        <f>'Speed Calc'!B$5*E488</f>
        <v>891.33108053831631</v>
      </c>
      <c r="G488" s="15">
        <f>'Speed Calc'!G$3+'Speed Calc'!G$5*A488^2</f>
        <v>20</v>
      </c>
      <c r="H488" s="7">
        <f>(F488-G488)/'Speed Calc'!G$2*9.806</f>
        <v>6.329090796858317</v>
      </c>
      <c r="I488" s="4">
        <f t="shared" si="32"/>
        <v>12.555555555555555</v>
      </c>
    </row>
    <row r="489" spans="1:9" x14ac:dyDescent="0.2">
      <c r="A489" s="11">
        <v>45.3</v>
      </c>
      <c r="B489" s="15">
        <v>3.133</v>
      </c>
      <c r="C489" s="11">
        <f t="shared" si="29"/>
        <v>5870.4242002571509</v>
      </c>
      <c r="D489" s="11">
        <f t="shared" si="30"/>
        <v>166.30930090291287</v>
      </c>
      <c r="E489" s="11">
        <f t="shared" si="31"/>
        <v>991.24748882530878</v>
      </c>
      <c r="F489" s="11">
        <f>'Speed Calc'!B$5*E489</f>
        <v>892.12273994277791</v>
      </c>
      <c r="G489" s="15">
        <f>'Speed Calc'!G$3+'Speed Calc'!G$5*A489^2</f>
        <v>20</v>
      </c>
      <c r="H489" s="7">
        <f>(F489-G489)/'Speed Calc'!G$2*9.806</f>
        <v>6.3348411762065782</v>
      </c>
      <c r="I489" s="4">
        <f t="shared" si="32"/>
        <v>12.583333333333332</v>
      </c>
    </row>
    <row r="490" spans="1:9" x14ac:dyDescent="0.2">
      <c r="A490" s="11">
        <v>45.4</v>
      </c>
      <c r="B490" s="15">
        <v>3.133</v>
      </c>
      <c r="C490" s="11">
        <f t="shared" si="29"/>
        <v>5883.3831940767031</v>
      </c>
      <c r="D490" s="11">
        <f t="shared" si="30"/>
        <v>166.82475319414428</v>
      </c>
      <c r="E490" s="11">
        <f t="shared" si="31"/>
        <v>992.12958948059395</v>
      </c>
      <c r="F490" s="11">
        <f>'Speed Calc'!B$5*E490</f>
        <v>892.91663053253455</v>
      </c>
      <c r="G490" s="15">
        <f>'Speed Calc'!G$3+'Speed Calc'!G$5*A490^2</f>
        <v>20</v>
      </c>
      <c r="H490" s="7">
        <f>(F490-G490)/'Speed Calc'!G$2*9.806</f>
        <v>6.3406077622237289</v>
      </c>
      <c r="I490" s="4">
        <f t="shared" si="32"/>
        <v>12.611111111111111</v>
      </c>
    </row>
    <row r="491" spans="1:9" x14ac:dyDescent="0.2">
      <c r="A491" s="11">
        <v>45.5</v>
      </c>
      <c r="B491" s="15">
        <v>3.133</v>
      </c>
      <c r="C491" s="11">
        <f t="shared" ref="C491:C554" si="33">A491/3.6/B$23/2/PI()*B$32*B$31*B491*60</f>
        <v>5896.3421878962554</v>
      </c>
      <c r="D491" s="11">
        <f t="shared" si="30"/>
        <v>167.34126212263891</v>
      </c>
      <c r="E491" s="11">
        <f t="shared" si="31"/>
        <v>993.01408292554959</v>
      </c>
      <c r="F491" s="11">
        <f>'Speed Calc'!B$5*E491</f>
        <v>893.71267463299466</v>
      </c>
      <c r="G491" s="15">
        <f>'Speed Calc'!G$3+'Speed Calc'!G$5*A491^2</f>
        <v>20</v>
      </c>
      <c r="H491" s="7">
        <f>(F491-G491)/'Speed Calc'!G$2*9.806</f>
        <v>6.3463899907045516</v>
      </c>
      <c r="I491" s="4">
        <f t="shared" si="32"/>
        <v>12.638888888888889</v>
      </c>
    </row>
    <row r="492" spans="1:9" x14ac:dyDescent="0.2">
      <c r="A492" s="11">
        <v>45.6</v>
      </c>
      <c r="B492" s="15">
        <v>3.133</v>
      </c>
      <c r="C492" s="11">
        <f t="shared" si="33"/>
        <v>5909.3011817158076</v>
      </c>
      <c r="D492" s="11">
        <f t="shared" si="30"/>
        <v>167.85881558361058</v>
      </c>
      <c r="E492" s="11">
        <f t="shared" si="31"/>
        <v>993.90088174506252</v>
      </c>
      <c r="F492" s="11">
        <f>'Speed Calc'!B$5*E492</f>
        <v>894.5107935705563</v>
      </c>
      <c r="G492" s="15">
        <f>'Speed Calc'!G$3+'Speed Calc'!G$5*A492^2</f>
        <v>20</v>
      </c>
      <c r="H492" s="7">
        <f>(F492-G492)/'Speed Calc'!G$2*9.806</f>
        <v>6.352187290187314</v>
      </c>
      <c r="I492" s="4">
        <f t="shared" si="32"/>
        <v>12.666666666666666</v>
      </c>
    </row>
    <row r="493" spans="1:9" x14ac:dyDescent="0.2">
      <c r="A493" s="11">
        <v>45.7</v>
      </c>
      <c r="B493" s="15">
        <v>3.133</v>
      </c>
      <c r="C493" s="11">
        <f t="shared" si="33"/>
        <v>5922.2601755353608</v>
      </c>
      <c r="D493" s="11">
        <f t="shared" si="30"/>
        <v>168.37740115489049</v>
      </c>
      <c r="E493" s="11">
        <f t="shared" si="31"/>
        <v>994.78989741401381</v>
      </c>
      <c r="F493" s="11">
        <f>'Speed Calc'!B$5*E493</f>
        <v>895.31090767261242</v>
      </c>
      <c r="G493" s="15">
        <f>'Speed Calc'!G$3+'Speed Calc'!G$5*A493^2</f>
        <v>20</v>
      </c>
      <c r="H493" s="7">
        <f>(F493-G493)/'Speed Calc'!G$2*9.806</f>
        <v>6.3579990819538041</v>
      </c>
      <c r="I493" s="4">
        <f t="shared" si="32"/>
        <v>12.694444444444445</v>
      </c>
    </row>
    <row r="494" spans="1:9" x14ac:dyDescent="0.2">
      <c r="A494" s="11">
        <v>45.8</v>
      </c>
      <c r="B494" s="15">
        <v>3.133</v>
      </c>
      <c r="C494" s="11">
        <f t="shared" si="33"/>
        <v>5935.2191693549121</v>
      </c>
      <c r="D494" s="11">
        <f t="shared" si="30"/>
        <v>168.89700609486988</v>
      </c>
      <c r="E494" s="11">
        <f t="shared" si="31"/>
        <v>995.68104029726817</v>
      </c>
      <c r="F494" s="11">
        <f>'Speed Calc'!B$5*E494</f>
        <v>896.11293626754139</v>
      </c>
      <c r="G494" s="15">
        <f>'Speed Calc'!G$3+'Speed Calc'!G$5*A494^2</f>
        <v>20</v>
      </c>
      <c r="H494" s="7">
        <f>(F494-G494)/'Speed Calc'!G$2*9.806</f>
        <v>6.3638247800292671</v>
      </c>
      <c r="I494" s="4">
        <f t="shared" si="32"/>
        <v>12.722222222222221</v>
      </c>
    </row>
    <row r="495" spans="1:9" x14ac:dyDescent="0.2">
      <c r="A495" s="11">
        <v>45.9</v>
      </c>
      <c r="B495" s="15">
        <v>3.133</v>
      </c>
      <c r="C495" s="11">
        <f t="shared" si="33"/>
        <v>5948.1781631744652</v>
      </c>
      <c r="D495" s="11">
        <f t="shared" si="30"/>
        <v>169.41761734044709</v>
      </c>
      <c r="E495" s="11">
        <f t="shared" si="31"/>
        <v>996.57421964968887</v>
      </c>
      <c r="F495" s="11">
        <f>'Speed Calc'!B$5*E495</f>
        <v>896.91679768472</v>
      </c>
      <c r="G495" s="15">
        <f>'Speed Calc'!G$3+'Speed Calc'!G$5*A495^2</f>
        <v>20</v>
      </c>
      <c r="H495" s="7">
        <f>(F495-G495)/'Speed Calc'!G$2*9.806</f>
        <v>6.369663791182492</v>
      </c>
      <c r="I495" s="4">
        <f t="shared" si="32"/>
        <v>12.75</v>
      </c>
    </row>
    <row r="496" spans="1:9" x14ac:dyDescent="0.2">
      <c r="A496" s="11">
        <v>46</v>
      </c>
      <c r="B496" s="15">
        <v>3.133</v>
      </c>
      <c r="C496" s="11">
        <f t="shared" si="33"/>
        <v>5961.1371569940166</v>
      </c>
      <c r="D496" s="11">
        <f t="shared" si="30"/>
        <v>169.93922150496968</v>
      </c>
      <c r="E496" s="11">
        <f t="shared" si="31"/>
        <v>997.46934361612648</v>
      </c>
      <c r="F496" s="11">
        <f>'Speed Calc'!B$5*E496</f>
        <v>897.72240925451388</v>
      </c>
      <c r="G496" s="15">
        <f>'Speed Calc'!G$3+'Speed Calc'!G$5*A496^2</f>
        <v>20</v>
      </c>
      <c r="H496" s="7">
        <f>(F496-G496)/'Speed Calc'!G$2*9.806</f>
        <v>6.3755155149257501</v>
      </c>
      <c r="I496" s="4">
        <f t="shared" si="32"/>
        <v>12.777777777777777</v>
      </c>
    </row>
    <row r="497" spans="1:9" x14ac:dyDescent="0.2">
      <c r="A497" s="11">
        <v>46.1</v>
      </c>
      <c r="B497" s="15">
        <v>3.133</v>
      </c>
      <c r="C497" s="11">
        <f t="shared" si="33"/>
        <v>5974.0961508135679</v>
      </c>
      <c r="D497" s="11">
        <f t="shared" si="30"/>
        <v>170.46180487618031</v>
      </c>
      <c r="E497" s="11">
        <f t="shared" si="31"/>
        <v>998.36631923142488</v>
      </c>
      <c r="F497" s="11">
        <f>'Speed Calc'!B$5*E497</f>
        <v>898.5296873082824</v>
      </c>
      <c r="G497" s="15">
        <f>'Speed Calc'!G$3+'Speed Calc'!G$5*A497^2</f>
        <v>20</v>
      </c>
      <c r="H497" s="7">
        <f>(F497-G497)/'Speed Calc'!G$2*9.806</f>
        <v>6.3813793435148272</v>
      </c>
      <c r="I497" s="4">
        <f t="shared" si="32"/>
        <v>12.805555555555555</v>
      </c>
    </row>
    <row r="498" spans="1:9" x14ac:dyDescent="0.2">
      <c r="A498" s="11">
        <v>46.2</v>
      </c>
      <c r="B498" s="15">
        <v>3.133</v>
      </c>
      <c r="C498" s="11">
        <f t="shared" si="33"/>
        <v>5987.0551446331228</v>
      </c>
      <c r="D498" s="11">
        <f t="shared" si="30"/>
        <v>170.9853534141605</v>
      </c>
      <c r="E498" s="11">
        <f t="shared" si="31"/>
        <v>999.26505242041844</v>
      </c>
      <c r="F498" s="11">
        <f>'Speed Calc'!B$5*E498</f>
        <v>899.33854717837664</v>
      </c>
      <c r="G498" s="15">
        <f>'Speed Calc'!G$3+'Speed Calc'!G$5*A498^2</f>
        <v>20</v>
      </c>
      <c r="H498" s="7">
        <f>(F498-G498)/'Speed Calc'!G$2*9.806</f>
        <v>6.3872546619490072</v>
      </c>
      <c r="I498" s="4">
        <f t="shared" si="32"/>
        <v>12.833333333333334</v>
      </c>
    </row>
    <row r="499" spans="1:9" x14ac:dyDescent="0.2">
      <c r="A499" s="11">
        <v>46.3</v>
      </c>
      <c r="B499" s="15">
        <v>3.133</v>
      </c>
      <c r="C499" s="11">
        <f t="shared" si="33"/>
        <v>6000.0141384526733</v>
      </c>
      <c r="D499" s="11">
        <f t="shared" si="30"/>
        <v>171.50985274927527</v>
      </c>
      <c r="E499" s="11">
        <f t="shared" si="31"/>
        <v>1000.1654479979336</v>
      </c>
      <c r="F499" s="11">
        <f>'Speed Calc'!B$5*E499</f>
        <v>900.14890319814026</v>
      </c>
      <c r="G499" s="15">
        <f>'Speed Calc'!G$3+'Speed Calc'!G$5*A499^2</f>
        <v>20</v>
      </c>
      <c r="H499" s="7">
        <f>(F499-G499)/'Speed Calc'!G$2*9.806</f>
        <v>6.3931408479710834</v>
      </c>
      <c r="I499" s="4">
        <f t="shared" si="32"/>
        <v>12.861111111111111</v>
      </c>
    </row>
    <row r="500" spans="1:9" x14ac:dyDescent="0.2">
      <c r="A500" s="11">
        <v>46.4</v>
      </c>
      <c r="B500" s="15">
        <v>3.133</v>
      </c>
      <c r="C500" s="11">
        <f t="shared" si="33"/>
        <v>6012.9731322722255</v>
      </c>
      <c r="D500" s="11">
        <f t="shared" si="30"/>
        <v>172.03528818011767</v>
      </c>
      <c r="E500" s="11">
        <f t="shared" si="31"/>
        <v>1001.0674096687882</v>
      </c>
      <c r="F500" s="11">
        <f>'Speed Calc'!B$5*E500</f>
        <v>900.96066870190941</v>
      </c>
      <c r="G500" s="15">
        <f>'Speed Calc'!G$3+'Speed Calc'!G$5*A500^2</f>
        <v>20</v>
      </c>
      <c r="H500" s="7">
        <f>(F500-G500)/'Speed Calc'!G$2*9.806</f>
        <v>6.3990372720673507</v>
      </c>
      <c r="I500" s="4">
        <f t="shared" si="32"/>
        <v>12.888888888888888</v>
      </c>
    </row>
    <row r="501" spans="1:9" x14ac:dyDescent="0.2">
      <c r="A501" s="11">
        <v>46.5</v>
      </c>
      <c r="B501" s="15">
        <v>3.133</v>
      </c>
      <c r="C501" s="11">
        <f t="shared" si="33"/>
        <v>6025.9321260917777</v>
      </c>
      <c r="D501" s="11">
        <f t="shared" si="30"/>
        <v>172.5616446714522</v>
      </c>
      <c r="E501" s="11">
        <f t="shared" si="31"/>
        <v>1001.9708400277871</v>
      </c>
      <c r="F501" s="11">
        <f>'Speed Calc'!B$5*E501</f>
        <v>901.77375602500842</v>
      </c>
      <c r="G501" s="15">
        <f>'Speed Calc'!G$3+'Speed Calc'!G$5*A501^2</f>
        <v>20</v>
      </c>
      <c r="H501" s="7">
        <f>(F501-G501)/'Speed Calc'!G$2*9.806</f>
        <v>6.4049432974675797</v>
      </c>
      <c r="I501" s="4">
        <f t="shared" si="32"/>
        <v>12.916666666666666</v>
      </c>
    </row>
    <row r="502" spans="1:9" x14ac:dyDescent="0.2">
      <c r="A502" s="11">
        <v>46.6</v>
      </c>
      <c r="B502" s="15">
        <v>3.133</v>
      </c>
      <c r="C502" s="11">
        <f t="shared" si="33"/>
        <v>6038.8911199113309</v>
      </c>
      <c r="D502" s="11">
        <f t="shared" si="30"/>
        <v>173.0889068521617</v>
      </c>
      <c r="E502" s="11">
        <f t="shared" si="31"/>
        <v>1002.875640559735</v>
      </c>
      <c r="F502" s="11">
        <f>'Speed Calc'!B$5*E502</f>
        <v>902.5880765037615</v>
      </c>
      <c r="G502" s="15">
        <f>'Speed Calc'!G$3+'Speed Calc'!G$5*A502^2</f>
        <v>20</v>
      </c>
      <c r="H502" s="7">
        <f>(F502-G502)/'Speed Calc'!G$2*9.806</f>
        <v>6.4108582801451002</v>
      </c>
      <c r="I502" s="4">
        <f t="shared" si="32"/>
        <v>12.944444444444445</v>
      </c>
    </row>
    <row r="503" spans="1:9" x14ac:dyDescent="0.2">
      <c r="A503" s="11">
        <v>46.7</v>
      </c>
      <c r="B503" s="15">
        <v>3.133</v>
      </c>
      <c r="C503" s="11">
        <f t="shared" si="33"/>
        <v>6051.8501137308822</v>
      </c>
      <c r="D503" s="11">
        <f t="shared" si="30"/>
        <v>173.61705901318879</v>
      </c>
      <c r="E503" s="11">
        <f t="shared" si="31"/>
        <v>1003.7817116394214</v>
      </c>
      <c r="F503" s="11">
        <f>'Speed Calc'!B$5*E503</f>
        <v>903.40354047547919</v>
      </c>
      <c r="G503" s="15">
        <f>'Speed Calc'!G$3+'Speed Calc'!G$5*A503^2</f>
        <v>20</v>
      </c>
      <c r="H503" s="7">
        <f>(F503-G503)/'Speed Calc'!G$2*9.806</f>
        <v>6.4167815688167025</v>
      </c>
      <c r="I503" s="4">
        <f t="shared" si="32"/>
        <v>12.972222222222223</v>
      </c>
    </row>
    <row r="504" spans="1:9" x14ac:dyDescent="0.2">
      <c r="A504" s="11">
        <v>46.8</v>
      </c>
      <c r="B504" s="15">
        <v>3.133</v>
      </c>
      <c r="C504" s="11">
        <f t="shared" si="33"/>
        <v>6064.8091075504344</v>
      </c>
      <c r="D504" s="11">
        <f t="shared" si="30"/>
        <v>174.14608510548194</v>
      </c>
      <c r="E504" s="11">
        <f t="shared" si="31"/>
        <v>1004.6889525316268</v>
      </c>
      <c r="F504" s="11">
        <f>'Speed Calc'!B$5*E504</f>
        <v>904.22005727846408</v>
      </c>
      <c r="G504" s="15">
        <f>'Speed Calc'!G$3+'Speed Calc'!G$5*A504^2</f>
        <v>20</v>
      </c>
      <c r="H504" s="7">
        <f>(F504-G504)/'Speed Calc'!G$2*9.806</f>
        <v>6.4227125049426803</v>
      </c>
      <c r="I504" s="4">
        <f t="shared" si="32"/>
        <v>12.999999999999998</v>
      </c>
    </row>
    <row r="505" spans="1:9" x14ac:dyDescent="0.2">
      <c r="A505" s="11">
        <v>46.9</v>
      </c>
      <c r="B505" s="15">
        <v>3.133</v>
      </c>
      <c r="C505" s="11">
        <f t="shared" si="33"/>
        <v>6077.7681013699867</v>
      </c>
      <c r="D505" s="11">
        <f t="shared" si="30"/>
        <v>174.67596873794059</v>
      </c>
      <c r="E505" s="11">
        <f t="shared" si="31"/>
        <v>1005.5972613911293</v>
      </c>
      <c r="F505" s="11">
        <f>'Speed Calc'!B$5*E505</f>
        <v>905.03753525201637</v>
      </c>
      <c r="G505" s="15">
        <f>'Speed Calc'!G$3+'Speed Calc'!G$5*A505^2</f>
        <v>20</v>
      </c>
      <c r="H505" s="7">
        <f>(F505-G505)/'Speed Calc'!G$2*9.806</f>
        <v>6.4286504227268679</v>
      </c>
      <c r="I505" s="4">
        <f t="shared" si="32"/>
        <v>13.027777777777777</v>
      </c>
    </row>
    <row r="506" spans="1:9" x14ac:dyDescent="0.2">
      <c r="A506" s="11">
        <v>47</v>
      </c>
      <c r="B506" s="15">
        <v>3.133</v>
      </c>
      <c r="C506" s="11">
        <f t="shared" si="33"/>
        <v>6090.7270951895389</v>
      </c>
      <c r="D506" s="11">
        <f t="shared" si="30"/>
        <v>175.20669317535757</v>
      </c>
      <c r="E506" s="11">
        <f t="shared" si="31"/>
        <v>1006.5065352626925</v>
      </c>
      <c r="F506" s="11">
        <f>'Speed Calc'!B$5*E506</f>
        <v>905.85588173642327</v>
      </c>
      <c r="G506" s="15">
        <f>'Speed Calc'!G$3+'Speed Calc'!G$5*A506^2</f>
        <v>20</v>
      </c>
      <c r="H506" s="7">
        <f>(F506-G506)/'Speed Calc'!G$2*9.806</f>
        <v>6.4345946491165673</v>
      </c>
      <c r="I506" s="4">
        <f t="shared" si="32"/>
        <v>13.055555555555555</v>
      </c>
    </row>
    <row r="507" spans="1:9" x14ac:dyDescent="0.2">
      <c r="A507" s="11">
        <v>47.1</v>
      </c>
      <c r="B507" s="15">
        <v>3.133</v>
      </c>
      <c r="C507" s="11">
        <f t="shared" si="33"/>
        <v>6103.6860890090929</v>
      </c>
      <c r="D507" s="11">
        <f t="shared" si="30"/>
        <v>175.73824133636475</v>
      </c>
      <c r="E507" s="11">
        <f t="shared" si="31"/>
        <v>1007.4166700810716</v>
      </c>
      <c r="F507" s="11">
        <f>'Speed Calc'!B$5*E507</f>
        <v>906.6750030729645</v>
      </c>
      <c r="G507" s="15">
        <f>'Speed Calc'!G$3+'Speed Calc'!G$5*A507^2</f>
        <v>20</v>
      </c>
      <c r="H507" s="7">
        <f>(F507-G507)/'Speed Calc'!G$2*9.806</f>
        <v>6.4405445038025846</v>
      </c>
      <c r="I507" s="4">
        <f t="shared" si="32"/>
        <v>13.083333333333334</v>
      </c>
    </row>
    <row r="508" spans="1:9" x14ac:dyDescent="0.2">
      <c r="A508" s="11">
        <v>47.2</v>
      </c>
      <c r="B508" s="15">
        <v>3.133</v>
      </c>
      <c r="C508" s="11">
        <f t="shared" si="33"/>
        <v>6116.6450828286434</v>
      </c>
      <c r="D508" s="11">
        <f t="shared" si="30"/>
        <v>176.27059579137759</v>
      </c>
      <c r="E508" s="11">
        <f t="shared" si="31"/>
        <v>1008.327560671016</v>
      </c>
      <c r="F508" s="11">
        <f>'Speed Calc'!B$5*E508</f>
        <v>907.49480460391442</v>
      </c>
      <c r="G508" s="15">
        <f>'Speed Calc'!G$3+'Speed Calc'!G$5*A508^2</f>
        <v>20</v>
      </c>
      <c r="H508" s="7">
        <f>(F508-G508)/'Speed Calc'!G$2*9.806</f>
        <v>6.4464992992192478</v>
      </c>
      <c r="I508" s="4">
        <f t="shared" si="32"/>
        <v>13.111111111111111</v>
      </c>
    </row>
    <row r="509" spans="1:9" x14ac:dyDescent="0.2">
      <c r="A509" s="11">
        <v>47.3</v>
      </c>
      <c r="B509" s="15">
        <v>3.133</v>
      </c>
      <c r="C509" s="11">
        <f t="shared" si="33"/>
        <v>6129.6040766481947</v>
      </c>
      <c r="D509" s="11">
        <f t="shared" si="30"/>
        <v>176.80373876053872</v>
      </c>
      <c r="E509" s="11">
        <f t="shared" si="31"/>
        <v>1009.2391007472612</v>
      </c>
      <c r="F509" s="11">
        <f>'Speed Calc'!B$5*E509</f>
        <v>908.3151906725351</v>
      </c>
      <c r="G509" s="15">
        <f>'Speed Calc'!G$3+'Speed Calc'!G$5*A509^2</f>
        <v>20</v>
      </c>
      <c r="H509" s="7">
        <f>(F509-G509)/'Speed Calc'!G$2*9.806</f>
        <v>6.4524583405443545</v>
      </c>
      <c r="I509" s="4">
        <f t="shared" si="32"/>
        <v>13.138888888888888</v>
      </c>
    </row>
    <row r="510" spans="1:9" x14ac:dyDescent="0.2">
      <c r="A510" s="11">
        <v>47.4</v>
      </c>
      <c r="B510" s="15">
        <v>3.133</v>
      </c>
      <c r="C510" s="11">
        <f t="shared" si="33"/>
        <v>6142.5630704677487</v>
      </c>
      <c r="D510" s="11">
        <f t="shared" si="30"/>
        <v>177.33765211166434</v>
      </c>
      <c r="E510" s="11">
        <f t="shared" si="31"/>
        <v>1010.1511829145437</v>
      </c>
      <c r="F510" s="11">
        <f>'Speed Calc'!B$5*E510</f>
        <v>909.1360646230894</v>
      </c>
      <c r="G510" s="15">
        <f>'Speed Calc'!G$3+'Speed Calc'!G$5*A510^2</f>
        <v>20</v>
      </c>
      <c r="H510" s="7">
        <f>(F510-G510)/'Speed Calc'!G$2*9.806</f>
        <v>6.4584209256992695</v>
      </c>
      <c r="I510" s="4">
        <f t="shared" si="32"/>
        <v>13.166666666666666</v>
      </c>
    </row>
    <row r="511" spans="1:9" x14ac:dyDescent="0.2">
      <c r="A511" s="11">
        <v>47.5</v>
      </c>
      <c r="B511" s="15">
        <v>3.133</v>
      </c>
      <c r="C511" s="11">
        <f t="shared" si="33"/>
        <v>6155.5220642873001</v>
      </c>
      <c r="D511" s="11">
        <f t="shared" si="30"/>
        <v>177.87231735818537</v>
      </c>
      <c r="E511" s="11">
        <f t="shared" si="31"/>
        <v>1011.06369866758</v>
      </c>
      <c r="F511" s="11">
        <f>'Speed Calc'!B$5*E511</f>
        <v>909.95732880082198</v>
      </c>
      <c r="G511" s="15">
        <f>'Speed Calc'!G$3+'Speed Calc'!G$5*A511^2</f>
        <v>20</v>
      </c>
      <c r="H511" s="7">
        <f>(F511-G511)/'Speed Calc'!G$2*9.806</f>
        <v>6.4643863453487844</v>
      </c>
      <c r="I511" s="4">
        <f t="shared" si="32"/>
        <v>13.194444444444445</v>
      </c>
    </row>
    <row r="512" spans="1:9" x14ac:dyDescent="0.2">
      <c r="A512" s="11">
        <v>47.6</v>
      </c>
      <c r="B512" s="15">
        <v>3.133</v>
      </c>
      <c r="C512" s="11">
        <f t="shared" si="33"/>
        <v>6168.4810581068523</v>
      </c>
      <c r="D512" s="11">
        <f t="shared" si="30"/>
        <v>178.40771565709531</v>
      </c>
      <c r="E512" s="11">
        <f t="shared" si="31"/>
        <v>1011.9765383910869</v>
      </c>
      <c r="F512" s="11">
        <f>'Speed Calc'!B$5*E512</f>
        <v>910.77888455197831</v>
      </c>
      <c r="G512" s="15">
        <f>'Speed Calc'!G$3+'Speed Calc'!G$5*A512^2</f>
        <v>20</v>
      </c>
      <c r="H512" s="7">
        <f>(F512-G512)/'Speed Calc'!G$2*9.806</f>
        <v>6.4703538829012581</v>
      </c>
      <c r="I512" s="4">
        <f t="shared" si="32"/>
        <v>13.222222222222221</v>
      </c>
    </row>
    <row r="513" spans="1:9" x14ac:dyDescent="0.2">
      <c r="A513" s="11">
        <v>47.7</v>
      </c>
      <c r="B513" s="15">
        <v>3.133</v>
      </c>
      <c r="C513" s="11">
        <f t="shared" si="33"/>
        <v>6181.4400519264054</v>
      </c>
      <c r="D513" s="11">
        <f t="shared" si="30"/>
        <v>178.94382780689236</v>
      </c>
      <c r="E513" s="11">
        <f t="shared" si="31"/>
        <v>1012.8895913597679</v>
      </c>
      <c r="F513" s="11">
        <f>'Speed Calc'!B$5*E513</f>
        <v>911.60063222379108</v>
      </c>
      <c r="G513" s="15">
        <f>'Speed Calc'!G$3+'Speed Calc'!G$5*A513^2</f>
        <v>20</v>
      </c>
      <c r="H513" s="7">
        <f>(F513-G513)/'Speed Calc'!G$2*9.806</f>
        <v>6.4763228145085145</v>
      </c>
      <c r="I513" s="4">
        <f t="shared" si="32"/>
        <v>13.25</v>
      </c>
    </row>
    <row r="514" spans="1:9" x14ac:dyDescent="0.2">
      <c r="A514" s="11">
        <v>47.8</v>
      </c>
      <c r="B514" s="15">
        <v>3.133</v>
      </c>
      <c r="C514" s="11">
        <f t="shared" si="33"/>
        <v>6194.3990457459568</v>
      </c>
      <c r="D514" s="11">
        <f t="shared" si="30"/>
        <v>179.48063424552407</v>
      </c>
      <c r="E514" s="11">
        <f t="shared" si="31"/>
        <v>1013.802745738316</v>
      </c>
      <c r="F514" s="11">
        <f>'Speed Calc'!B$5*E514</f>
        <v>912.42247116448448</v>
      </c>
      <c r="G514" s="15">
        <f>'Speed Calc'!G$3+'Speed Calc'!G$5*A514^2</f>
        <v>20</v>
      </c>
      <c r="H514" s="7">
        <f>(F514-G514)/'Speed Calc'!G$2*9.806</f>
        <v>6.4822924090658773</v>
      </c>
      <c r="I514" s="4">
        <f t="shared" si="32"/>
        <v>13.277777777777777</v>
      </c>
    </row>
    <row r="515" spans="1:9" x14ac:dyDescent="0.2">
      <c r="A515" s="11">
        <v>47.9</v>
      </c>
      <c r="B515" s="15">
        <v>3.133</v>
      </c>
      <c r="C515" s="11">
        <f t="shared" si="33"/>
        <v>6207.3580395655081</v>
      </c>
      <c r="D515" s="11">
        <f t="shared" si="30"/>
        <v>180.01811504833395</v>
      </c>
      <c r="E515" s="11">
        <f t="shared" si="31"/>
        <v>1014.7158885814234</v>
      </c>
      <c r="F515" s="11">
        <f>'Speed Calc'!B$5*E515</f>
        <v>913.24429972328107</v>
      </c>
      <c r="G515" s="15">
        <f>'Speed Calc'!G$3+'Speed Calc'!G$5*A515^2</f>
        <v>20</v>
      </c>
      <c r="H515" s="7">
        <f>(F515-G515)/'Speed Calc'!G$2*9.806</f>
        <v>6.4882619282122178</v>
      </c>
      <c r="I515" s="4">
        <f t="shared" si="32"/>
        <v>13.305555555555555</v>
      </c>
    </row>
    <row r="516" spans="1:9" x14ac:dyDescent="0.2">
      <c r="A516" s="11">
        <v>48</v>
      </c>
      <c r="B516" s="15">
        <v>3.133</v>
      </c>
      <c r="C516" s="11">
        <f t="shared" si="33"/>
        <v>6220.3170333850621</v>
      </c>
      <c r="D516" s="11">
        <f t="shared" si="30"/>
        <v>180.55624992600292</v>
      </c>
      <c r="E516" s="11">
        <f t="shared" si="31"/>
        <v>1015.6289058337665</v>
      </c>
      <c r="F516" s="11">
        <f>'Speed Calc'!B$5*E516</f>
        <v>914.0660152503898</v>
      </c>
      <c r="G516" s="15">
        <f>'Speed Calc'!G$3+'Speed Calc'!G$5*A516^2</f>
        <v>20</v>
      </c>
      <c r="H516" s="7">
        <f>(F516-G516)/'Speed Calc'!G$2*9.806</f>
        <v>6.4942306263298679</v>
      </c>
      <c r="I516" s="4">
        <f t="shared" si="32"/>
        <v>13.333333333333332</v>
      </c>
    </row>
    <row r="517" spans="1:9" x14ac:dyDescent="0.2">
      <c r="A517" s="11">
        <v>48.1</v>
      </c>
      <c r="B517" s="15">
        <v>3.133</v>
      </c>
      <c r="C517" s="11">
        <f t="shared" si="33"/>
        <v>6233.2760272046135</v>
      </c>
      <c r="D517" s="11">
        <f t="shared" si="30"/>
        <v>181.09501822249507</v>
      </c>
      <c r="E517" s="11">
        <f t="shared" si="31"/>
        <v>1016.5416823300141</v>
      </c>
      <c r="F517" s="11">
        <f>'Speed Calc'!B$5*E517</f>
        <v>914.88751409701263</v>
      </c>
      <c r="G517" s="15">
        <f>'Speed Calc'!G$3+'Speed Calc'!G$5*A517^2</f>
        <v>20</v>
      </c>
      <c r="H517" s="7">
        <f>(F517-G517)/'Speed Calc'!G$2*9.806</f>
        <v>6.50019775054467</v>
      </c>
      <c r="I517" s="4">
        <f t="shared" si="32"/>
        <v>13.361111111111111</v>
      </c>
    </row>
    <row r="518" spans="1:9" x14ac:dyDescent="0.2">
      <c r="A518" s="11">
        <v>48.2</v>
      </c>
      <c r="B518" s="15">
        <v>3.133</v>
      </c>
      <c r="C518" s="11">
        <f t="shared" si="33"/>
        <v>6246.2350210241657</v>
      </c>
      <c r="D518" s="11">
        <f t="shared" si="30"/>
        <v>181.63439891300214</v>
      </c>
      <c r="E518" s="11">
        <f t="shared" si="31"/>
        <v>1017.4541017948254</v>
      </c>
      <c r="F518" s="11">
        <f>'Speed Calc'!B$5*E518</f>
        <v>915.7086916153429</v>
      </c>
      <c r="G518" s="15">
        <f>'Speed Calc'!G$3+'Speed Calc'!G$5*A518^2</f>
        <v>20</v>
      </c>
      <c r="H518" s="7">
        <f>(F518-G518)/'Speed Calc'!G$2*9.806</f>
        <v>6.5061625407259642</v>
      </c>
      <c r="I518" s="4">
        <f t="shared" si="32"/>
        <v>13.388888888888889</v>
      </c>
    </row>
    <row r="519" spans="1:9" x14ac:dyDescent="0.2">
      <c r="A519" s="11">
        <v>48.3</v>
      </c>
      <c r="B519" s="15">
        <v>3.133</v>
      </c>
      <c r="C519" s="11">
        <f t="shared" si="33"/>
        <v>6259.1940148437188</v>
      </c>
      <c r="D519" s="11">
        <f t="shared" si="30"/>
        <v>182.17437060188934</v>
      </c>
      <c r="E519" s="11">
        <f t="shared" si="31"/>
        <v>1018.3660468428595</v>
      </c>
      <c r="F519" s="11">
        <f>'Speed Calc'!B$5*E519</f>
        <v>916.5294421585736</v>
      </c>
      <c r="G519" s="15">
        <f>'Speed Calc'!G$3+'Speed Calc'!G$5*A519^2</f>
        <v>20</v>
      </c>
      <c r="H519" s="7">
        <f>(F519-G519)/'Speed Calc'!G$2*9.806</f>
        <v>6.5121242294866457</v>
      </c>
      <c r="I519" s="4">
        <f t="shared" si="32"/>
        <v>13.416666666666666</v>
      </c>
    </row>
    <row r="520" spans="1:9" x14ac:dyDescent="0.2">
      <c r="A520" s="11">
        <v>48.4</v>
      </c>
      <c r="B520" s="15">
        <v>3.133</v>
      </c>
      <c r="C520" s="11">
        <f t="shared" si="33"/>
        <v>6272.1530086632683</v>
      </c>
      <c r="D520" s="11">
        <f t="shared" si="30"/>
        <v>182.71491152063558</v>
      </c>
      <c r="E520" s="11">
        <f t="shared" si="31"/>
        <v>1019.2773989787527</v>
      </c>
      <c r="F520" s="11">
        <f>'Speed Calc'!B$5*E520</f>
        <v>917.34965908087747</v>
      </c>
      <c r="G520" s="15">
        <f>'Speed Calc'!G$3+'Speed Calc'!G$5*A520^2</f>
        <v>20</v>
      </c>
      <c r="H520" s="7">
        <f>(F520-G520)/'Speed Calc'!G$2*9.806</f>
        <v>6.5180820421830248</v>
      </c>
      <c r="I520" s="4">
        <f t="shared" si="32"/>
        <v>13.444444444444443</v>
      </c>
    </row>
    <row r="521" spans="1:9" x14ac:dyDescent="0.2">
      <c r="A521" s="11">
        <v>48.5</v>
      </c>
      <c r="B521" s="15">
        <v>3.133</v>
      </c>
      <c r="C521" s="11">
        <f t="shared" si="33"/>
        <v>6285.1120024828215</v>
      </c>
      <c r="D521" s="11">
        <f t="shared" si="30"/>
        <v>183.25599952578301</v>
      </c>
      <c r="E521" s="11">
        <f t="shared" si="31"/>
        <v>1020.1880385971428</v>
      </c>
      <c r="F521" s="11">
        <f>'Speed Calc'!B$5*E521</f>
        <v>918.16923473742861</v>
      </c>
      <c r="G521" s="15">
        <f>'Speed Calc'!G$3+'Speed Calc'!G$5*A521^2</f>
        <v>20</v>
      </c>
      <c r="H521" s="7">
        <f>(F521-G521)/'Speed Calc'!G$2*9.806</f>
        <v>6.5240351969149808</v>
      </c>
      <c r="I521" s="4">
        <f t="shared" si="32"/>
        <v>13.472222222222221</v>
      </c>
    </row>
    <row r="522" spans="1:9" x14ac:dyDescent="0.2">
      <c r="A522" s="11">
        <v>48.6</v>
      </c>
      <c r="B522" s="15">
        <v>3.133</v>
      </c>
      <c r="C522" s="11">
        <f t="shared" si="33"/>
        <v>6298.0709963023755</v>
      </c>
      <c r="D522" s="11">
        <f t="shared" si="30"/>
        <v>183.79761209687834</v>
      </c>
      <c r="E522" s="11">
        <f t="shared" si="31"/>
        <v>1021.0978449826573</v>
      </c>
      <c r="F522" s="11">
        <f>'Speed Calc'!B$5*E522</f>
        <v>918.98806048439155</v>
      </c>
      <c r="G522" s="15">
        <f>'Speed Calc'!G$3+'Speed Calc'!G$5*A522^2</f>
        <v>20</v>
      </c>
      <c r="H522" s="7">
        <f>(F522-G522)/'Speed Calc'!G$2*9.806</f>
        <v>6.5299829045258839</v>
      </c>
      <c r="I522" s="4">
        <f t="shared" si="32"/>
        <v>13.5</v>
      </c>
    </row>
    <row r="523" spans="1:9" x14ac:dyDescent="0.2">
      <c r="A523" s="11">
        <v>48.7</v>
      </c>
      <c r="B523" s="15">
        <v>3.133</v>
      </c>
      <c r="C523" s="11">
        <f t="shared" si="33"/>
        <v>6311.0299901219269</v>
      </c>
      <c r="D523" s="11">
        <f t="shared" si="30"/>
        <v>184.33972633441783</v>
      </c>
      <c r="E523" s="11">
        <f t="shared" si="31"/>
        <v>1022.0066963099141</v>
      </c>
      <c r="F523" s="11">
        <f>'Speed Calc'!B$5*E523</f>
        <v>919.80602667892276</v>
      </c>
      <c r="G523" s="15">
        <f>'Speed Calc'!G$3+'Speed Calc'!G$5*A523^2</f>
        <v>20</v>
      </c>
      <c r="H523" s="7">
        <f>(F523-G523)/'Speed Calc'!G$2*9.806</f>
        <v>6.535924368602605</v>
      </c>
      <c r="I523" s="4">
        <f t="shared" si="32"/>
        <v>13.527777777777779</v>
      </c>
    </row>
    <row r="524" spans="1:9" x14ac:dyDescent="0.2">
      <c r="A524" s="11">
        <v>48.8</v>
      </c>
      <c r="B524" s="15">
        <v>3.133</v>
      </c>
      <c r="C524" s="11">
        <f t="shared" si="33"/>
        <v>6323.9889839414773</v>
      </c>
      <c r="D524" s="11">
        <f t="shared" si="30"/>
        <v>184.88231895779194</v>
      </c>
      <c r="E524" s="11">
        <f t="shared" si="31"/>
        <v>1022.9144696435212</v>
      </c>
      <c r="F524" s="11">
        <f>'Speed Calc'!B$5*E524</f>
        <v>920.62302267916914</v>
      </c>
      <c r="G524" s="15">
        <f>'Speed Calc'!G$3+'Speed Calc'!G$5*A524^2</f>
        <v>20</v>
      </c>
      <c r="H524" s="7">
        <f>(F524-G524)/'Speed Calc'!G$2*9.806</f>
        <v>6.5418587854755046</v>
      </c>
      <c r="I524" s="4">
        <f t="shared" si="32"/>
        <v>13.555555555555554</v>
      </c>
    </row>
    <row r="525" spans="1:9" x14ac:dyDescent="0.2">
      <c r="A525" s="11">
        <v>48.9</v>
      </c>
      <c r="B525" s="15">
        <v>3.133</v>
      </c>
      <c r="C525" s="11">
        <f t="shared" si="33"/>
        <v>6336.9479777610322</v>
      </c>
      <c r="D525" s="11">
        <f t="shared" si="30"/>
        <v>185.42536630323042</v>
      </c>
      <c r="E525" s="11">
        <f t="shared" si="31"/>
        <v>1023.821040938082</v>
      </c>
      <c r="F525" s="11">
        <f>'Speed Calc'!B$5*E525</f>
        <v>921.43893684427383</v>
      </c>
      <c r="G525" s="15">
        <f>'Speed Calc'!G$3+'Speed Calc'!G$5*A525^2</f>
        <v>20</v>
      </c>
      <c r="H525" s="7">
        <f>(F525-G525)/'Speed Calc'!G$2*9.806</f>
        <v>6.5477853442184797</v>
      </c>
      <c r="I525" s="4">
        <f t="shared" si="32"/>
        <v>13.583333333333332</v>
      </c>
    </row>
    <row r="526" spans="1:9" x14ac:dyDescent="0.2">
      <c r="A526" s="11">
        <v>49</v>
      </c>
      <c r="B526" s="15">
        <v>3.133</v>
      </c>
      <c r="C526" s="11">
        <f t="shared" si="33"/>
        <v>6349.9069715805836</v>
      </c>
      <c r="D526" s="11">
        <f t="shared" si="30"/>
        <v>185.9688443217442</v>
      </c>
      <c r="E526" s="11">
        <f t="shared" si="31"/>
        <v>1024.7262850381824</v>
      </c>
      <c r="F526" s="11">
        <f>'Speed Calc'!B$5*E526</f>
        <v>922.25365653436415</v>
      </c>
      <c r="G526" s="15">
        <f>'Speed Calc'!G$3+'Speed Calc'!G$5*A526^2</f>
        <v>20</v>
      </c>
      <c r="H526" s="7">
        <f>(F526-G526)/'Speed Calc'!G$2*9.806</f>
        <v>6.55370322664887</v>
      </c>
      <c r="I526" s="4">
        <f t="shared" si="32"/>
        <v>13.611111111111111</v>
      </c>
    </row>
    <row r="527" spans="1:9" x14ac:dyDescent="0.2">
      <c r="A527" s="11">
        <v>49.1</v>
      </c>
      <c r="B527" s="15">
        <v>3.133</v>
      </c>
      <c r="C527" s="11">
        <f t="shared" si="33"/>
        <v>6362.8659654001349</v>
      </c>
      <c r="D527" s="11">
        <f t="shared" si="30"/>
        <v>186.5127285770736</v>
      </c>
      <c r="E527" s="11">
        <f t="shared" si="31"/>
        <v>1025.630075678409</v>
      </c>
      <c r="F527" s="11">
        <f>'Speed Calc'!B$5*E527</f>
        <v>923.06706811056813</v>
      </c>
      <c r="G527" s="15">
        <f>'Speed Calc'!G$3+'Speed Calc'!G$5*A527^2</f>
        <v>20</v>
      </c>
      <c r="H527" s="7">
        <f>(F527-G527)/'Speed Calc'!G$2*9.806</f>
        <v>6.5596116073275779</v>
      </c>
      <c r="I527" s="4">
        <f t="shared" si="32"/>
        <v>13.638888888888889</v>
      </c>
    </row>
    <row r="528" spans="1:9" x14ac:dyDescent="0.2">
      <c r="A528" s="11">
        <v>49.2</v>
      </c>
      <c r="B528" s="15">
        <v>3.133</v>
      </c>
      <c r="C528" s="11">
        <f t="shared" si="33"/>
        <v>6375.8249592196889</v>
      </c>
      <c r="D528" s="11">
        <f t="shared" si="30"/>
        <v>187.05699424362996</v>
      </c>
      <c r="E528" s="11">
        <f t="shared" si="31"/>
        <v>1026.5322854833353</v>
      </c>
      <c r="F528" s="11">
        <f>'Speed Calc'!B$5*E528</f>
        <v>923.87905693500181</v>
      </c>
      <c r="G528" s="15">
        <f>'Speed Calc'!G$3+'Speed Calc'!G$5*A528^2</f>
        <v>20</v>
      </c>
      <c r="H528" s="7">
        <f>(F528-G528)/'Speed Calc'!G$2*9.806</f>
        <v>6.5655096535589825</v>
      </c>
      <c r="I528" s="4">
        <f t="shared" si="32"/>
        <v>13.666666666666668</v>
      </c>
    </row>
    <row r="529" spans="1:9" x14ac:dyDescent="0.2">
      <c r="A529" s="11">
        <v>49.3</v>
      </c>
      <c r="B529" s="15">
        <v>3.133</v>
      </c>
      <c r="C529" s="11">
        <f t="shared" si="33"/>
        <v>6388.7839530392384</v>
      </c>
      <c r="D529" s="11">
        <f t="shared" si="30"/>
        <v>187.60161610444143</v>
      </c>
      <c r="E529" s="11">
        <f t="shared" si="31"/>
        <v>1027.4327859675295</v>
      </c>
      <c r="F529" s="11">
        <f>'Speed Calc'!B$5*E529</f>
        <v>924.6895073707766</v>
      </c>
      <c r="G529" s="15">
        <f>'Speed Calc'!G$3+'Speed Calc'!G$5*A529^2</f>
        <v>20</v>
      </c>
      <c r="H529" s="7">
        <f>(F529-G529)/'Speed Calc'!G$2*9.806</f>
        <v>6.5713965253909885</v>
      </c>
      <c r="I529" s="4">
        <f t="shared" si="32"/>
        <v>13.694444444444443</v>
      </c>
    </row>
    <row r="530" spans="1:9" x14ac:dyDescent="0.2">
      <c r="A530" s="11">
        <v>49.4</v>
      </c>
      <c r="B530" s="15">
        <v>3.133</v>
      </c>
      <c r="C530" s="11">
        <f t="shared" si="33"/>
        <v>6401.7429468587907</v>
      </c>
      <c r="D530" s="11">
        <f t="shared" si="30"/>
        <v>188.14656854909595</v>
      </c>
      <c r="E530" s="11">
        <f t="shared" si="31"/>
        <v>1028.3314475355448</v>
      </c>
      <c r="F530" s="11">
        <f>'Speed Calc'!B$5*E530</f>
        <v>925.49830278199033</v>
      </c>
      <c r="G530" s="15">
        <f>'Speed Calc'!G$3+'Speed Calc'!G$5*A530^2</f>
        <v>20</v>
      </c>
      <c r="H530" s="7">
        <f>(F530-G530)/'Speed Calc'!G$2*9.806</f>
        <v>6.5772713756149601</v>
      </c>
      <c r="I530" s="4">
        <f t="shared" si="32"/>
        <v>13.722222222222221</v>
      </c>
    </row>
    <row r="531" spans="1:9" x14ac:dyDescent="0.2">
      <c r="A531" s="11">
        <v>49.5</v>
      </c>
      <c r="B531" s="15">
        <v>3.133</v>
      </c>
      <c r="C531" s="11">
        <f t="shared" si="33"/>
        <v>6414.7019406783456</v>
      </c>
      <c r="D531" s="11">
        <f t="shared" si="30"/>
        <v>188.69182557168753</v>
      </c>
      <c r="E531" s="11">
        <f t="shared" si="31"/>
        <v>1029.228139481932</v>
      </c>
      <c r="F531" s="11">
        <f>'Speed Calc'!B$5*E531</f>
        <v>926.30532553373882</v>
      </c>
      <c r="G531" s="15">
        <f>'Speed Calc'!G$3+'Speed Calc'!G$5*A531^2</f>
        <v>20</v>
      </c>
      <c r="H531" s="7">
        <f>(F531-G531)/'Speed Calc'!G$2*9.806</f>
        <v>6.5831333497658084</v>
      </c>
      <c r="I531" s="4">
        <f t="shared" si="32"/>
        <v>13.75</v>
      </c>
    </row>
    <row r="532" spans="1:9" x14ac:dyDescent="0.2">
      <c r="A532" s="11">
        <v>49.6</v>
      </c>
      <c r="B532" s="15">
        <v>3.133</v>
      </c>
      <c r="C532" s="11">
        <f t="shared" si="33"/>
        <v>6427.660934497897</v>
      </c>
      <c r="D532" s="11">
        <f t="shared" si="30"/>
        <v>189.23736076875906</v>
      </c>
      <c r="E532" s="11">
        <f t="shared" si="31"/>
        <v>1030.1227299912287</v>
      </c>
      <c r="F532" s="11">
        <f>'Speed Calc'!B$5*E532</f>
        <v>927.11045699210581</v>
      </c>
      <c r="G532" s="15">
        <f>'Speed Calc'!G$3+'Speed Calc'!G$5*A532^2</f>
        <v>20</v>
      </c>
      <c r="H532" s="7">
        <f>(F532-G532)/'Speed Calc'!G$2*9.806</f>
        <v>6.5889815861219176</v>
      </c>
      <c r="I532" s="4">
        <f t="shared" si="32"/>
        <v>13.777777777777779</v>
      </c>
    </row>
    <row r="533" spans="1:9" x14ac:dyDescent="0.2">
      <c r="A533" s="11">
        <v>49.7</v>
      </c>
      <c r="B533" s="15">
        <v>3.133</v>
      </c>
      <c r="C533" s="11">
        <f t="shared" si="33"/>
        <v>6440.6199283174483</v>
      </c>
      <c r="D533" s="11">
        <f t="shared" si="30"/>
        <v>189.78314733724858</v>
      </c>
      <c r="E533" s="11">
        <f t="shared" si="31"/>
        <v>1031.0150861379702</v>
      </c>
      <c r="F533" s="11">
        <f>'Speed Calc'!B$5*E533</f>
        <v>927.91357752417321</v>
      </c>
      <c r="G533" s="15">
        <f>'Speed Calc'!G$3+'Speed Calc'!G$5*A533^2</f>
        <v>20</v>
      </c>
      <c r="H533" s="7">
        <f>(F533-G533)/'Speed Calc'!G$2*9.806</f>
        <v>6.594815215705216</v>
      </c>
      <c r="I533" s="4">
        <f t="shared" si="32"/>
        <v>13.805555555555555</v>
      </c>
    </row>
    <row r="534" spans="1:9" x14ac:dyDescent="0.2">
      <c r="A534" s="11">
        <v>49.8</v>
      </c>
      <c r="B534" s="15">
        <v>3.133</v>
      </c>
      <c r="C534" s="11">
        <f t="shared" si="33"/>
        <v>6453.5789221370023</v>
      </c>
      <c r="D534" s="11">
        <f t="shared" si="30"/>
        <v>190.32915807243114</v>
      </c>
      <c r="E534" s="11">
        <f t="shared" si="31"/>
        <v>1031.9050738866747</v>
      </c>
      <c r="F534" s="11">
        <f>'Speed Calc'!B$5*E534</f>
        <v>928.71456649800723</v>
      </c>
      <c r="G534" s="15">
        <f>'Speed Calc'!G$3+'Speed Calc'!G$5*A534^2</f>
        <v>20</v>
      </c>
      <c r="H534" s="7">
        <f>(F534-G534)/'Speed Calc'!G$2*9.806</f>
        <v>6.60063336228108</v>
      </c>
      <c r="I534" s="4">
        <f t="shared" si="32"/>
        <v>13.833333333333332</v>
      </c>
    </row>
    <row r="535" spans="1:9" x14ac:dyDescent="0.2">
      <c r="A535" s="11">
        <v>49.9</v>
      </c>
      <c r="B535" s="15">
        <v>3.133</v>
      </c>
      <c r="C535" s="11">
        <f t="shared" si="33"/>
        <v>6466.5379159565537</v>
      </c>
      <c r="D535" s="11">
        <f t="shared" si="30"/>
        <v>190.87536536586532</v>
      </c>
      <c r="E535" s="11">
        <f t="shared" si="31"/>
        <v>1032.7925580918563</v>
      </c>
      <c r="F535" s="11">
        <f>'Speed Calc'!B$5*E535</f>
        <v>929.51330228267068</v>
      </c>
      <c r="G535" s="15">
        <f>'Speed Calc'!G$3+'Speed Calc'!G$5*A535^2</f>
        <v>20</v>
      </c>
      <c r="H535" s="7">
        <f>(F535-G535)/'Speed Calc'!G$2*9.806</f>
        <v>6.6064351423584204</v>
      </c>
      <c r="I535" s="4">
        <f t="shared" si="32"/>
        <v>13.861111111111111</v>
      </c>
    </row>
    <row r="536" spans="1:9" x14ac:dyDescent="0.2">
      <c r="A536" s="11">
        <v>50</v>
      </c>
      <c r="B536" s="15">
        <v>3.133</v>
      </c>
      <c r="C536" s="11">
        <f t="shared" si="33"/>
        <v>6479.4969097761068</v>
      </c>
      <c r="D536" s="11">
        <f t="shared" si="30"/>
        <v>191.42174120333704</v>
      </c>
      <c r="E536" s="11">
        <f t="shared" si="31"/>
        <v>1033.6774024980198</v>
      </c>
      <c r="F536" s="11">
        <f>'Speed Calc'!B$5*E536</f>
        <v>930.30966224821782</v>
      </c>
      <c r="G536" s="15">
        <f>'Speed Calc'!G$3+'Speed Calc'!G$5*A536^2</f>
        <v>20</v>
      </c>
      <c r="H536" s="7">
        <f>(F536-G536)/'Speed Calc'!G$2*9.806</f>
        <v>6.6122196651896461</v>
      </c>
      <c r="I536" s="4">
        <f t="shared" si="32"/>
        <v>13.888888888888889</v>
      </c>
    </row>
    <row r="537" spans="1:9" x14ac:dyDescent="0.2">
      <c r="A537" s="11">
        <v>50.1</v>
      </c>
      <c r="B537" s="15">
        <v>3.133</v>
      </c>
      <c r="C537" s="11">
        <f t="shared" si="33"/>
        <v>6492.455903595659</v>
      </c>
      <c r="D537" s="11">
        <f t="shared" si="30"/>
        <v>191.96825716280409</v>
      </c>
      <c r="E537" s="11">
        <f t="shared" si="31"/>
        <v>1034.5594697396627</v>
      </c>
      <c r="F537" s="11">
        <f>'Speed Calc'!B$5*E537</f>
        <v>931.10352276569654</v>
      </c>
      <c r="G537" s="15">
        <f>'Speed Calc'!G$3+'Speed Calc'!G$5*A537^2</f>
        <v>20</v>
      </c>
      <c r="H537" s="7">
        <f>(F537-G537)/'Speed Calc'!G$2*9.806</f>
        <v>6.6179860327706814</v>
      </c>
      <c r="I537" s="4">
        <f t="shared" si="32"/>
        <v>13.916666666666666</v>
      </c>
    </row>
    <row r="538" spans="1:9" x14ac:dyDescent="0.2">
      <c r="A538" s="11">
        <v>50.2</v>
      </c>
      <c r="B538" s="15">
        <v>3.133</v>
      </c>
      <c r="C538" s="11">
        <f t="shared" si="33"/>
        <v>6505.4148974152104</v>
      </c>
      <c r="D538" s="11">
        <f t="shared" si="30"/>
        <v>192.51488441234082</v>
      </c>
      <c r="E538" s="11">
        <f t="shared" si="31"/>
        <v>1035.4386213412752</v>
      </c>
      <c r="F538" s="11">
        <f>'Speed Calc'!B$5*E538</f>
        <v>931.89475920714767</v>
      </c>
      <c r="G538" s="15">
        <f>'Speed Calc'!G$3+'Speed Calc'!G$5*A538^2</f>
        <v>20</v>
      </c>
      <c r="H538" s="7">
        <f>(F538-G538)/'Speed Calc'!G$2*9.806</f>
        <v>6.6237333398409559</v>
      </c>
      <c r="I538" s="4">
        <f t="shared" si="32"/>
        <v>13.944444444444445</v>
      </c>
    </row>
    <row r="539" spans="1:9" x14ac:dyDescent="0.2">
      <c r="A539" s="11">
        <v>50.3</v>
      </c>
      <c r="B539" s="15">
        <v>3.133</v>
      </c>
      <c r="C539" s="11">
        <f t="shared" si="33"/>
        <v>6518.3738912347617</v>
      </c>
      <c r="D539" s="11">
        <f t="shared" si="30"/>
        <v>193.06159370808047</v>
      </c>
      <c r="E539" s="11">
        <f t="shared" si="31"/>
        <v>1036.3147177173307</v>
      </c>
      <c r="F539" s="11">
        <f>'Speed Calc'!B$5*E539</f>
        <v>932.68324594559772</v>
      </c>
      <c r="G539" s="15">
        <f>'Speed Calc'!G$3+'Speed Calc'!G$5*A539^2</f>
        <v>20</v>
      </c>
      <c r="H539" s="7">
        <f>(F539-G539)/'Speed Calc'!G$2*9.806</f>
        <v>6.6294606738833561</v>
      </c>
      <c r="I539" s="4">
        <f t="shared" si="32"/>
        <v>13.972222222222221</v>
      </c>
    </row>
    <row r="540" spans="1:9" x14ac:dyDescent="0.2">
      <c r="A540" s="11">
        <v>50.4</v>
      </c>
      <c r="B540" s="15">
        <v>3.133</v>
      </c>
      <c r="C540" s="11">
        <f t="shared" si="33"/>
        <v>6531.3328850543139</v>
      </c>
      <c r="D540" s="11">
        <f t="shared" si="30"/>
        <v>193.6083553921633</v>
      </c>
      <c r="E540" s="11">
        <f t="shared" si="31"/>
        <v>1037.1876181723035</v>
      </c>
      <c r="F540" s="11">
        <f>'Speed Calc'!B$5*E540</f>
        <v>933.46885635507317</v>
      </c>
      <c r="G540" s="15">
        <f>'Speed Calc'!G$3+'Speed Calc'!G$5*A540^2</f>
        <v>20</v>
      </c>
      <c r="H540" s="7">
        <f>(F540-G540)/'Speed Calc'!G$2*9.806</f>
        <v>6.6351671151243306</v>
      </c>
      <c r="I540" s="4">
        <f t="shared" si="32"/>
        <v>14</v>
      </c>
    </row>
    <row r="541" spans="1:9" x14ac:dyDescent="0.2">
      <c r="A541" s="11">
        <v>50.5</v>
      </c>
      <c r="B541" s="15">
        <v>3.133</v>
      </c>
      <c r="C541" s="11">
        <f t="shared" si="33"/>
        <v>6544.2918788738652</v>
      </c>
      <c r="D541" s="11">
        <f t="shared" si="30"/>
        <v>194.15513939067773</v>
      </c>
      <c r="E541" s="11">
        <f t="shared" si="31"/>
        <v>1038.0571809006533</v>
      </c>
      <c r="F541" s="11">
        <f>'Speed Calc'!B$5*E541</f>
        <v>934.25146281058801</v>
      </c>
      <c r="G541" s="15">
        <f>'Speed Calc'!G$3+'Speed Calc'!G$5*A541^2</f>
        <v>20</v>
      </c>
      <c r="H541" s="7">
        <f>(F541-G541)/'Speed Calc'!G$2*9.806</f>
        <v>6.6408517365337962</v>
      </c>
      <c r="I541" s="4">
        <f t="shared" si="32"/>
        <v>14.027777777777777</v>
      </c>
    </row>
    <row r="542" spans="1:9" x14ac:dyDescent="0.2">
      <c r="A542" s="11">
        <v>50.6</v>
      </c>
      <c r="B542" s="15">
        <v>3.133</v>
      </c>
      <c r="C542" s="11">
        <f t="shared" si="33"/>
        <v>6557.2508726934193</v>
      </c>
      <c r="D542" s="11">
        <f t="shared" si="30"/>
        <v>194.70191521160606</v>
      </c>
      <c r="E542" s="11">
        <f t="shared" si="31"/>
        <v>1038.9232629868307</v>
      </c>
      <c r="F542" s="11">
        <f>'Speed Calc'!B$5*E542</f>
        <v>935.03093668814756</v>
      </c>
      <c r="G542" s="15">
        <f>'Speed Calc'!G$3+'Speed Calc'!G$5*A542^2</f>
        <v>20</v>
      </c>
      <c r="H542" s="7">
        <f>(F542-G542)/'Speed Calc'!G$2*9.806</f>
        <v>6.6465136038251664</v>
      </c>
      <c r="I542" s="4">
        <f t="shared" si="32"/>
        <v>14.055555555555555</v>
      </c>
    </row>
    <row r="543" spans="1:9" x14ac:dyDescent="0.2">
      <c r="A543" s="11">
        <v>50.7</v>
      </c>
      <c r="B543" s="15">
        <v>3.133</v>
      </c>
      <c r="C543" s="11">
        <f t="shared" si="33"/>
        <v>6570.2098665129706</v>
      </c>
      <c r="D543" s="11">
        <f t="shared" si="30"/>
        <v>195.24865194277044</v>
      </c>
      <c r="E543" s="11">
        <f t="shared" si="31"/>
        <v>1039.7857204052866</v>
      </c>
      <c r="F543" s="11">
        <f>'Speed Calc'!B$5*E543</f>
        <v>935.80714836475795</v>
      </c>
      <c r="G543" s="15">
        <f>'Speed Calc'!G$3+'Speed Calc'!G$5*A543^2</f>
        <v>20</v>
      </c>
      <c r="H543" s="7">
        <f>(F543-G543)/'Speed Calc'!G$2*9.806</f>
        <v>6.6521517754554198</v>
      </c>
      <c r="I543" s="4">
        <f t="shared" si="32"/>
        <v>14.083333333333334</v>
      </c>
    </row>
    <row r="544" spans="1:9" x14ac:dyDescent="0.2">
      <c r="A544" s="11">
        <v>50.8</v>
      </c>
      <c r="B544" s="15">
        <v>3.133</v>
      </c>
      <c r="C544" s="11">
        <f t="shared" si="33"/>
        <v>6583.1688603325238</v>
      </c>
      <c r="D544" s="11">
        <f t="shared" si="30"/>
        <v>195.7953182497738</v>
      </c>
      <c r="E544" s="11">
        <f t="shared" si="31"/>
        <v>1040.644408020451</v>
      </c>
      <c r="F544" s="11">
        <f>'Speed Calc'!B$5*E544</f>
        <v>936.57996721840595</v>
      </c>
      <c r="G544" s="15">
        <f>'Speed Calc'!G$3+'Speed Calc'!G$5*A544^2</f>
        <v>20</v>
      </c>
      <c r="H544" s="7">
        <f>(F544-G544)/'Speed Calc'!G$2*9.806</f>
        <v>6.6577653026249539</v>
      </c>
      <c r="I544" s="4">
        <f t="shared" si="32"/>
        <v>14.111111111111111</v>
      </c>
    </row>
    <row r="545" spans="1:9" x14ac:dyDescent="0.2">
      <c r="A545" s="11">
        <v>50.9</v>
      </c>
      <c r="B545" s="15">
        <v>3.133</v>
      </c>
      <c r="C545" s="11">
        <f t="shared" si="33"/>
        <v>6596.1278541520751</v>
      </c>
      <c r="D545" s="11">
        <f t="shared" si="30"/>
        <v>196.34188237394707</v>
      </c>
      <c r="E545" s="11">
        <f t="shared" si="31"/>
        <v>1041.4991795867527</v>
      </c>
      <c r="F545" s="11">
        <f>'Speed Calc'!B$5*E545</f>
        <v>937.34926162807744</v>
      </c>
      <c r="G545" s="15">
        <f>'Speed Calc'!G$3+'Speed Calc'!G$5*A545^2</f>
        <v>20</v>
      </c>
      <c r="H545" s="7">
        <f>(F545-G545)/'Speed Calc'!G$2*9.806</f>
        <v>6.6633532292777229</v>
      </c>
      <c r="I545" s="4">
        <f t="shared" si="32"/>
        <v>14.138888888888888</v>
      </c>
    </row>
    <row r="546" spans="1:9" x14ac:dyDescent="0.2">
      <c r="A546" s="11">
        <v>51</v>
      </c>
      <c r="B546" s="15">
        <v>3.133</v>
      </c>
      <c r="C546" s="11">
        <f t="shared" si="33"/>
        <v>6609.0868479716264</v>
      </c>
      <c r="D546" s="11">
        <f t="shared" si="30"/>
        <v>196.8883121302926</v>
      </c>
      <c r="E546" s="11">
        <f t="shared" si="31"/>
        <v>1042.3498877486081</v>
      </c>
      <c r="F546" s="11">
        <f>'Speed Calc'!B$5*E546</f>
        <v>938.11489897374736</v>
      </c>
      <c r="G546" s="15">
        <f>'Speed Calc'!G$3+'Speed Calc'!G$5*A546^2</f>
        <v>20</v>
      </c>
      <c r="H546" s="7">
        <f>(F546-G546)/'Speed Calc'!G$2*9.806</f>
        <v>6.6689145921011601</v>
      </c>
      <c r="I546" s="4">
        <f t="shared" si="32"/>
        <v>14.166666666666666</v>
      </c>
    </row>
    <row r="547" spans="1:9" x14ac:dyDescent="0.2">
      <c r="A547" s="11">
        <v>51.1</v>
      </c>
      <c r="B547" s="15">
        <v>3.133</v>
      </c>
      <c r="C547" s="11">
        <f t="shared" si="33"/>
        <v>6622.0458417911805</v>
      </c>
      <c r="D547" s="11">
        <f t="shared" si="30"/>
        <v>197.4345749054294</v>
      </c>
      <c r="E547" s="11">
        <f t="shared" si="31"/>
        <v>1043.1963840404294</v>
      </c>
      <c r="F547" s="11">
        <f>'Speed Calc'!B$5*E547</f>
        <v>938.87674563638643</v>
      </c>
      <c r="G547" s="15">
        <f>'Speed Calc'!G$3+'Speed Calc'!G$5*A547^2</f>
        <v>20</v>
      </c>
      <c r="H547" s="7">
        <f>(F547-G547)/'Speed Calc'!G$2*9.806</f>
        <v>6.6744484205262253</v>
      </c>
      <c r="I547" s="4">
        <f t="shared" si="32"/>
        <v>14.194444444444445</v>
      </c>
    </row>
    <row r="548" spans="1:9" x14ac:dyDescent="0.2">
      <c r="A548" s="11">
        <v>51.2</v>
      </c>
      <c r="B548" s="15">
        <v>3.133</v>
      </c>
      <c r="C548" s="11">
        <f t="shared" si="33"/>
        <v>6635.0048356107327</v>
      </c>
      <c r="D548" s="11">
        <f t="shared" si="30"/>
        <v>197.98063765553627</v>
      </c>
      <c r="E548" s="11">
        <f t="shared" si="31"/>
        <v>1044.0385188866169</v>
      </c>
      <c r="F548" s="11">
        <f>'Speed Calc'!B$5*E548</f>
        <v>939.63466699795526</v>
      </c>
      <c r="G548" s="15">
        <f>'Speed Calc'!G$3+'Speed Calc'!G$5*A548^2</f>
        <v>20</v>
      </c>
      <c r="H548" s="7">
        <f>(F548-G548)/'Speed Calc'!G$2*9.806</f>
        <v>6.6799537367273691</v>
      </c>
      <c r="I548" s="4">
        <f t="shared" si="32"/>
        <v>14.222222222222223</v>
      </c>
    </row>
    <row r="549" spans="1:9" x14ac:dyDescent="0.2">
      <c r="A549" s="11">
        <v>51.3</v>
      </c>
      <c r="B549" s="15">
        <v>3.133</v>
      </c>
      <c r="C549" s="11">
        <f t="shared" si="33"/>
        <v>6647.963829430284</v>
      </c>
      <c r="D549" s="11">
        <f t="shared" ref="D549:D612" si="34">-4.687*10^(-17)*C549^5+9.129*10^(-13)*C549^4-6.175*10^(-9)*C549^3+1.799*10^(-5)*C549^2+6.502*10^(-3)*C549</f>
        <v>198.52646690429671</v>
      </c>
      <c r="E549" s="11">
        <f t="shared" si="31"/>
        <v>1044.8761416015616</v>
      </c>
      <c r="F549" s="11">
        <f>'Speed Calc'!B$5*E549</f>
        <v>940.38852744140547</v>
      </c>
      <c r="G549" s="15">
        <f>'Speed Calc'!G$3+'Speed Calc'!G$5*A549^2</f>
        <v>20</v>
      </c>
      <c r="H549" s="7">
        <f>(F549-G549)/'Speed Calc'!G$2*9.806</f>
        <v>6.6854295556225338</v>
      </c>
      <c r="I549" s="4">
        <f t="shared" si="32"/>
        <v>14.249999999999998</v>
      </c>
    </row>
    <row r="550" spans="1:9" x14ac:dyDescent="0.2">
      <c r="A550" s="11">
        <v>51.4</v>
      </c>
      <c r="B550" s="15">
        <v>3.133</v>
      </c>
      <c r="C550" s="11">
        <f t="shared" si="33"/>
        <v>6660.9228232498363</v>
      </c>
      <c r="D550" s="11">
        <f t="shared" si="34"/>
        <v>199.0720287408439</v>
      </c>
      <c r="E550" s="11">
        <f t="shared" ref="E550:E613" si="35">D550*75*B550*B$31*B$32/B$23/C550/2/PI()*60</f>
        <v>1045.7091003896471</v>
      </c>
      <c r="F550" s="11">
        <f>'Speed Calc'!B$5*E550</f>
        <v>941.13819035068241</v>
      </c>
      <c r="G550" s="15">
        <f>'Speed Calc'!G$3+'Speed Calc'!G$5*A550^2</f>
        <v>20</v>
      </c>
      <c r="H550" s="7">
        <f>(F550-G550)/'Speed Calc'!G$2*9.806</f>
        <v>6.6908748848731783</v>
      </c>
      <c r="I550" s="4">
        <f t="shared" ref="I550:I613" si="36">A550/3.6</f>
        <v>14.277777777777777</v>
      </c>
    </row>
    <row r="551" spans="1:9" x14ac:dyDescent="0.2">
      <c r="A551" s="11">
        <v>51.5</v>
      </c>
      <c r="B551" s="15">
        <v>3.133</v>
      </c>
      <c r="C551" s="11">
        <f t="shared" si="33"/>
        <v>6673.8818170693885</v>
      </c>
      <c r="D551" s="11">
        <f t="shared" si="34"/>
        <v>199.61728881770512</v>
      </c>
      <c r="E551" s="11">
        <f t="shared" si="35"/>
        <v>1046.5372423452504</v>
      </c>
      <c r="F551" s="11">
        <f>'Speed Calc'!B$5*E551</f>
        <v>941.88351811072539</v>
      </c>
      <c r="G551" s="15">
        <f>'Speed Calc'!G$3+'Speed Calc'!G$5*A551^2</f>
        <v>20</v>
      </c>
      <c r="H551" s="7">
        <f>(F551-G551)/'Speed Calc'!G$2*9.806</f>
        <v>6.6962887248842762</v>
      </c>
      <c r="I551" s="4">
        <f t="shared" si="36"/>
        <v>14.305555555555555</v>
      </c>
    </row>
    <row r="552" spans="1:9" x14ac:dyDescent="0.2">
      <c r="A552" s="11">
        <v>51.6</v>
      </c>
      <c r="B552" s="15">
        <v>3.133</v>
      </c>
      <c r="C552" s="11">
        <f t="shared" si="33"/>
        <v>6686.8408108889407</v>
      </c>
      <c r="D552" s="11">
        <f t="shared" si="34"/>
        <v>200.16221234874524</v>
      </c>
      <c r="E552" s="11">
        <f t="shared" si="35"/>
        <v>1047.3604134527368</v>
      </c>
      <c r="F552" s="11">
        <f>'Speed Calc'!B$5*E552</f>
        <v>942.62437210746316</v>
      </c>
      <c r="G552" s="15">
        <f>'Speed Calc'!G$3+'Speed Calc'!G$5*A552^2</f>
        <v>20</v>
      </c>
      <c r="H552" s="7">
        <f>(F552-G552)/'Speed Calc'!G$2*9.806</f>
        <v>6.7016700688042832</v>
      </c>
      <c r="I552" s="4">
        <f t="shared" si="36"/>
        <v>14.333333333333334</v>
      </c>
    </row>
    <row r="553" spans="1:9" x14ac:dyDescent="0.2">
      <c r="A553" s="11">
        <v>51.7</v>
      </c>
      <c r="B553" s="15">
        <v>3.133</v>
      </c>
      <c r="C553" s="11">
        <f t="shared" si="33"/>
        <v>6699.799804708493</v>
      </c>
      <c r="D553" s="11">
        <f t="shared" si="34"/>
        <v>200.70676410711104</v>
      </c>
      <c r="E553" s="11">
        <f t="shared" si="35"/>
        <v>1048.17845858646</v>
      </c>
      <c r="F553" s="11">
        <f>'Speed Calc'!B$5*E553</f>
        <v>943.36061272781399</v>
      </c>
      <c r="G553" s="15">
        <f>'Speed Calc'!G$3+'Speed Calc'!G$5*A553^2</f>
        <v>20</v>
      </c>
      <c r="H553" s="7">
        <f>(F553-G553)/'Speed Calc'!G$2*9.806</f>
        <v>6.7070179025251431</v>
      </c>
      <c r="I553" s="4">
        <f t="shared" si="36"/>
        <v>14.361111111111111</v>
      </c>
    </row>
    <row r="554" spans="1:9" x14ac:dyDescent="0.2">
      <c r="A554" s="11">
        <v>51.8</v>
      </c>
      <c r="B554" s="15">
        <v>3.133</v>
      </c>
      <c r="C554" s="11">
        <f t="shared" si="33"/>
        <v>6712.7587985280452</v>
      </c>
      <c r="D554" s="11">
        <f t="shared" si="34"/>
        <v>201.25090842317812</v>
      </c>
      <c r="E554" s="11">
        <f t="shared" si="35"/>
        <v>1048.991221510774</v>
      </c>
      <c r="F554" s="11">
        <f>'Speed Calc'!B$5*E554</f>
        <v>944.0920993596967</v>
      </c>
      <c r="G554" s="15">
        <f>'Speed Calc'!G$3+'Speed Calc'!G$5*A554^2</f>
        <v>20</v>
      </c>
      <c r="H554" s="7">
        <f>(F554-G554)/'Speed Calc'!G$2*9.806</f>
        <v>6.7123312046823598</v>
      </c>
      <c r="I554" s="4">
        <f t="shared" si="36"/>
        <v>14.388888888888888</v>
      </c>
    </row>
    <row r="555" spans="1:9" x14ac:dyDescent="0.2">
      <c r="A555" s="11">
        <v>51.9</v>
      </c>
      <c r="B555" s="15">
        <v>3.133</v>
      </c>
      <c r="C555" s="11">
        <f t="shared" ref="C555:C618" si="37">A555/3.6/B$23/2/PI()*B$32*B$31*B555*60</f>
        <v>6725.7177923475965</v>
      </c>
      <c r="D555" s="11">
        <f t="shared" si="34"/>
        <v>201.7946091824922</v>
      </c>
      <c r="E555" s="11">
        <f t="shared" si="35"/>
        <v>1049.7985448800175</v>
      </c>
      <c r="F555" s="11">
        <f>'Speed Calc'!B$5*E555</f>
        <v>944.81869039201581</v>
      </c>
      <c r="G555" s="15">
        <f>'Speed Calc'!G$3+'Speed Calc'!G$5*A555^2</f>
        <v>20</v>
      </c>
      <c r="H555" s="7">
        <f>(F555-G555)/'Speed Calc'!G$2*9.806</f>
        <v>6.7176089466548934</v>
      </c>
      <c r="I555" s="4">
        <f t="shared" si="36"/>
        <v>14.416666666666666</v>
      </c>
    </row>
    <row r="556" spans="1:9" x14ac:dyDescent="0.2">
      <c r="A556" s="11">
        <v>52</v>
      </c>
      <c r="B556" s="15">
        <v>3.133</v>
      </c>
      <c r="C556" s="11">
        <f t="shared" si="37"/>
        <v>6738.6767861671506</v>
      </c>
      <c r="D556" s="11">
        <f t="shared" si="34"/>
        <v>202.3378298237146</v>
      </c>
      <c r="E556" s="11">
        <f t="shared" si="35"/>
        <v>1050.6002702385179</v>
      </c>
      <c r="F556" s="11">
        <f>'Speed Calc'!B$5*E556</f>
        <v>945.54024321466613</v>
      </c>
      <c r="G556" s="15">
        <f>'Speed Calc'!G$3+'Speed Calc'!G$5*A556^2</f>
        <v>20</v>
      </c>
      <c r="H556" s="7">
        <f>(F556-G556)/'Speed Calc'!G$2*9.806</f>
        <v>6.7228500925651966</v>
      </c>
      <c r="I556" s="4">
        <f t="shared" si="36"/>
        <v>14.444444444444445</v>
      </c>
    </row>
    <row r="557" spans="1:9" x14ac:dyDescent="0.2">
      <c r="A557" s="11">
        <v>52.1</v>
      </c>
      <c r="B557" s="15">
        <v>3.133</v>
      </c>
      <c r="C557" s="11">
        <f t="shared" si="37"/>
        <v>6751.6357799867019</v>
      </c>
      <c r="D557" s="11">
        <f t="shared" si="34"/>
        <v>202.88053333656825</v>
      </c>
      <c r="E557" s="11">
        <f t="shared" si="35"/>
        <v>1051.3962380206033</v>
      </c>
      <c r="F557" s="11">
        <f>'Speed Calc'!B$5*E557</f>
        <v>946.25661421854295</v>
      </c>
      <c r="G557" s="15">
        <f>'Speed Calc'!G$3+'Speed Calc'!G$5*A557^2</f>
        <v>20</v>
      </c>
      <c r="H557" s="7">
        <f>(F557-G557)/'Speed Calc'!G$2*9.806</f>
        <v>6.7280535992792823</v>
      </c>
      <c r="I557" s="4">
        <f t="shared" si="36"/>
        <v>14.472222222222221</v>
      </c>
    </row>
    <row r="558" spans="1:9" x14ac:dyDescent="0.2">
      <c r="A558" s="11">
        <v>52.2</v>
      </c>
      <c r="B558" s="15">
        <v>3.133</v>
      </c>
      <c r="C558" s="11">
        <f t="shared" si="37"/>
        <v>6764.5947738062532</v>
      </c>
      <c r="D558" s="11">
        <f t="shared" si="34"/>
        <v>203.42268225978034</v>
      </c>
      <c r="E558" s="11">
        <f t="shared" si="35"/>
        <v>1052.1862875505881</v>
      </c>
      <c r="F558" s="11">
        <f>'Speed Calc'!B$5*E558</f>
        <v>946.96765879552925</v>
      </c>
      <c r="G558" s="15">
        <f>'Speed Calc'!G$3+'Speed Calc'!G$5*A558^2</f>
        <v>20</v>
      </c>
      <c r="H558" s="7">
        <f>(F558-G558)/'Speed Calc'!G$2*9.806</f>
        <v>6.7332184164066362</v>
      </c>
      <c r="I558" s="4">
        <f t="shared" si="36"/>
        <v>14.5</v>
      </c>
    </row>
    <row r="559" spans="1:9" x14ac:dyDescent="0.2">
      <c r="A559" s="11">
        <v>52.3</v>
      </c>
      <c r="B559" s="15">
        <v>3.133</v>
      </c>
      <c r="C559" s="11">
        <f t="shared" si="37"/>
        <v>6777.5537676258064</v>
      </c>
      <c r="D559" s="11">
        <f t="shared" si="34"/>
        <v>203.96423867902547</v>
      </c>
      <c r="E559" s="11">
        <f t="shared" si="35"/>
        <v>1052.9702570427701</v>
      </c>
      <c r="F559" s="11">
        <f>'Speed Calc'!B$5*E559</f>
        <v>947.67323133849311</v>
      </c>
      <c r="G559" s="15">
        <f>'Speed Calc'!G$3+'Speed Calc'!G$5*A559^2</f>
        <v>20</v>
      </c>
      <c r="H559" s="7">
        <f>(F559-G559)/'Speed Calc'!G$2*9.806</f>
        <v>6.7383434863001943</v>
      </c>
      <c r="I559" s="4">
        <f t="shared" si="36"/>
        <v>14.527777777777777</v>
      </c>
    </row>
    <row r="560" spans="1:9" x14ac:dyDescent="0.2">
      <c r="A560" s="11">
        <v>52.4</v>
      </c>
      <c r="B560" s="15">
        <v>3.133</v>
      </c>
      <c r="C560" s="11">
        <f t="shared" si="37"/>
        <v>6790.5127614453595</v>
      </c>
      <c r="D560" s="11">
        <f t="shared" si="34"/>
        <v>204.50516422487485</v>
      </c>
      <c r="E560" s="11">
        <f t="shared" si="35"/>
        <v>1053.7479836014543</v>
      </c>
      <c r="F560" s="11">
        <f>'Speed Calc'!B$5*E560</f>
        <v>948.37318524130887</v>
      </c>
      <c r="G560" s="15">
        <f>'Speed Calc'!G$3+'Speed Calc'!G$5*A560^2</f>
        <v>20</v>
      </c>
      <c r="H560" s="7">
        <f>(F560-G560)/'Speed Calc'!G$2*9.806</f>
        <v>6.7434277440564996</v>
      </c>
      <c r="I560" s="4">
        <f t="shared" si="36"/>
        <v>14.555555555555555</v>
      </c>
    </row>
    <row r="561" spans="1:9" x14ac:dyDescent="0.2">
      <c r="A561" s="11">
        <v>52.5</v>
      </c>
      <c r="B561" s="15">
        <v>3.133</v>
      </c>
      <c r="C561" s="11">
        <f t="shared" si="37"/>
        <v>6803.4717552649099</v>
      </c>
      <c r="D561" s="11">
        <f t="shared" si="34"/>
        <v>205.04542007073567</v>
      </c>
      <c r="E561" s="11">
        <f t="shared" si="35"/>
        <v>1054.5193032209263</v>
      </c>
      <c r="F561" s="11">
        <f>'Speed Calc'!B$5*E561</f>
        <v>949.0673728988337</v>
      </c>
      <c r="G561" s="15">
        <f>'Speed Calc'!G$3+'Speed Calc'!G$5*A561^2</f>
        <v>20</v>
      </c>
      <c r="H561" s="7">
        <f>(F561-G561)/'Speed Calc'!G$2*9.806</f>
        <v>6.7484701175155273</v>
      </c>
      <c r="I561" s="4">
        <f t="shared" si="36"/>
        <v>14.583333333333332</v>
      </c>
    </row>
    <row r="562" spans="1:9" x14ac:dyDescent="0.2">
      <c r="A562" s="11">
        <v>52.6</v>
      </c>
      <c r="B562" s="15">
        <v>3.133</v>
      </c>
      <c r="C562" s="11">
        <f t="shared" si="37"/>
        <v>6816.4307490844631</v>
      </c>
      <c r="D562" s="11">
        <f t="shared" si="34"/>
        <v>205.58496693079803</v>
      </c>
      <c r="E562" s="11">
        <f t="shared" si="35"/>
        <v>1055.2840507854653</v>
      </c>
      <c r="F562" s="11">
        <f>'Speed Calc'!B$5*E562</f>
        <v>949.75564570691881</v>
      </c>
      <c r="G562" s="15">
        <f>'Speed Calc'!G$3+'Speed Calc'!G$5*A562^2</f>
        <v>20</v>
      </c>
      <c r="H562" s="7">
        <f>(F562-G562)/'Speed Calc'!G$2*9.806</f>
        <v>6.7534695272607745</v>
      </c>
      <c r="I562" s="4">
        <f t="shared" si="36"/>
        <v>14.611111111111111</v>
      </c>
    </row>
    <row r="563" spans="1:9" x14ac:dyDescent="0.2">
      <c r="A563" s="11">
        <v>52.7</v>
      </c>
      <c r="B563" s="15">
        <v>3.133</v>
      </c>
      <c r="C563" s="11">
        <f t="shared" si="37"/>
        <v>6829.3897429040153</v>
      </c>
      <c r="D563" s="11">
        <f t="shared" si="34"/>
        <v>206.12376505797849</v>
      </c>
      <c r="E563" s="11">
        <f t="shared" si="35"/>
        <v>1056.0420600693394</v>
      </c>
      <c r="F563" s="11">
        <f>'Speed Calc'!B$5*E563</f>
        <v>950.43785406240545</v>
      </c>
      <c r="G563" s="15">
        <f>'Speed Calc'!G$3+'Speed Calc'!G$5*A563^2</f>
        <v>20</v>
      </c>
      <c r="H563" s="7">
        <f>(F563-G563)/'Speed Calc'!G$2*9.806</f>
        <v>6.7584248866192205</v>
      </c>
      <c r="I563" s="4">
        <f t="shared" si="36"/>
        <v>14.638888888888889</v>
      </c>
    </row>
    <row r="564" spans="1:9" x14ac:dyDescent="0.2">
      <c r="A564" s="11">
        <v>52.8</v>
      </c>
      <c r="B564" s="15">
        <v>3.133</v>
      </c>
      <c r="C564" s="11">
        <f t="shared" si="37"/>
        <v>6842.3487367235666</v>
      </c>
      <c r="D564" s="11">
        <f t="shared" si="34"/>
        <v>206.66177424186588</v>
      </c>
      <c r="E564" s="11">
        <f t="shared" si="35"/>
        <v>1056.7931637368142</v>
      </c>
      <c r="F564" s="11">
        <f>'Speed Calc'!B$5*E564</f>
        <v>951.11384736313278</v>
      </c>
      <c r="G564" s="15">
        <f>'Speed Calc'!G$3+'Speed Calc'!G$5*A564^2</f>
        <v>20</v>
      </c>
      <c r="H564" s="7">
        <f>(F564-G564)/'Speed Calc'!G$2*9.806</f>
        <v>6.7633351016613927</v>
      </c>
      <c r="I564" s="4">
        <f t="shared" si="36"/>
        <v>14.666666666666666</v>
      </c>
    </row>
    <row r="565" spans="1:9" x14ac:dyDescent="0.2">
      <c r="A565" s="11">
        <v>52.9</v>
      </c>
      <c r="B565" s="15">
        <v>3.133</v>
      </c>
      <c r="C565" s="11">
        <f t="shared" si="37"/>
        <v>6855.3077305431179</v>
      </c>
      <c r="D565" s="11">
        <f t="shared" si="34"/>
        <v>207.19895380666401</v>
      </c>
      <c r="E565" s="11">
        <f t="shared" si="35"/>
        <v>1057.5371933421418</v>
      </c>
      <c r="F565" s="11">
        <f>'Speed Calc'!B$5*E565</f>
        <v>951.78347400792768</v>
      </c>
      <c r="G565" s="15">
        <f>'Speed Calc'!G$3+'Speed Calc'!G$5*A565^2</f>
        <v>20</v>
      </c>
      <c r="H565" s="7">
        <f>(F565-G565)/'Speed Calc'!G$2*9.806</f>
        <v>6.7681990712012876</v>
      </c>
      <c r="I565" s="4">
        <f t="shared" si="36"/>
        <v>14.694444444444443</v>
      </c>
    </row>
    <row r="566" spans="1:9" x14ac:dyDescent="0.2">
      <c r="A566" s="11">
        <v>53</v>
      </c>
      <c r="B566" s="15">
        <v>3.133</v>
      </c>
      <c r="C566" s="11">
        <f t="shared" si="37"/>
        <v>6868.266724362672</v>
      </c>
      <c r="D566" s="11">
        <f t="shared" si="34"/>
        <v>207.73526260913741</v>
      </c>
      <c r="E566" s="11">
        <f t="shared" si="35"/>
        <v>1058.273979329568</v>
      </c>
      <c r="F566" s="11">
        <f>'Speed Calc'!B$5*E566</f>
        <v>952.44658139661124</v>
      </c>
      <c r="G566" s="15">
        <f>'Speed Calc'!G$3+'Speed Calc'!G$5*A566^2</f>
        <v>20</v>
      </c>
      <c r="H566" s="7">
        <f>(F566-G566)/'Speed Calc'!G$2*9.806</f>
        <v>6.7730156867964215</v>
      </c>
      <c r="I566" s="4">
        <f t="shared" si="36"/>
        <v>14.722222222222221</v>
      </c>
    </row>
    <row r="567" spans="1:9" x14ac:dyDescent="0.2">
      <c r="A567" s="11">
        <v>53.1</v>
      </c>
      <c r="B567" s="15">
        <v>3.133</v>
      </c>
      <c r="C567" s="11">
        <f t="shared" si="37"/>
        <v>6881.2257181822233</v>
      </c>
      <c r="D567" s="11">
        <f t="shared" si="34"/>
        <v>208.2706590365546</v>
      </c>
      <c r="E567" s="11">
        <f t="shared" si="35"/>
        <v>1059.0033510333285</v>
      </c>
      <c r="F567" s="11">
        <f>'Speed Calc'!B$5*E567</f>
        <v>953.10301592999565</v>
      </c>
      <c r="G567" s="15">
        <f>'Speed Calc'!G$3+'Speed Calc'!G$5*A567^2</f>
        <v>20</v>
      </c>
      <c r="H567" s="7">
        <f>(F567-G567)/'Speed Calc'!G$2*9.806</f>
        <v>6.7777838327478053</v>
      </c>
      <c r="I567" s="4">
        <f t="shared" si="36"/>
        <v>14.75</v>
      </c>
    </row>
    <row r="568" spans="1:9" x14ac:dyDescent="0.2">
      <c r="A568" s="11">
        <v>53.2</v>
      </c>
      <c r="B568" s="15">
        <v>3.133</v>
      </c>
      <c r="C568" s="11">
        <f t="shared" si="37"/>
        <v>6894.1847120017774</v>
      </c>
      <c r="D568" s="11">
        <f t="shared" si="34"/>
        <v>208.80510100463295</v>
      </c>
      <c r="E568" s="11">
        <f t="shared" si="35"/>
        <v>1059.7251366776482</v>
      </c>
      <c r="F568" s="11">
        <f>'Speed Calc'!B$5*E568</f>
        <v>953.75262300988334</v>
      </c>
      <c r="G568" s="15">
        <f>'Speed Calc'!G$3+'Speed Calc'!G$5*A568^2</f>
        <v>20</v>
      </c>
      <c r="H568" s="7">
        <f>(F568-G568)/'Speed Calc'!G$2*9.806</f>
        <v>6.7825023860999378</v>
      </c>
      <c r="I568" s="4">
        <f t="shared" si="36"/>
        <v>14.777777777777779</v>
      </c>
    </row>
    <row r="569" spans="1:9" x14ac:dyDescent="0.2">
      <c r="A569" s="11">
        <v>53.3</v>
      </c>
      <c r="B569" s="15">
        <v>3.133</v>
      </c>
      <c r="C569" s="11">
        <f t="shared" si="37"/>
        <v>6907.1437058213287</v>
      </c>
      <c r="D569" s="11">
        <f t="shared" si="34"/>
        <v>209.33854595548405</v>
      </c>
      <c r="E569" s="11">
        <f t="shared" si="35"/>
        <v>1060.4391633767482</v>
      </c>
      <c r="F569" s="11">
        <f>'Speed Calc'!B$5*E569</f>
        <v>954.39524703907341</v>
      </c>
      <c r="G569" s="15">
        <f>'Speed Calc'!G$3+'Speed Calc'!G$5*A569^2</f>
        <v>20</v>
      </c>
      <c r="H569" s="7">
        <f>(F569-G569)/'Speed Calc'!G$2*9.806</f>
        <v>6.7871702166408534</v>
      </c>
      <c r="I569" s="4">
        <f t="shared" si="36"/>
        <v>14.805555555555554</v>
      </c>
    </row>
    <row r="570" spans="1:9" x14ac:dyDescent="0.2">
      <c r="A570" s="11">
        <v>53.4</v>
      </c>
      <c r="B570" s="15">
        <v>3.133</v>
      </c>
      <c r="C570" s="11">
        <f t="shared" si="37"/>
        <v>6920.10269964088</v>
      </c>
      <c r="D570" s="11">
        <f t="shared" si="34"/>
        <v>209.87095085555629</v>
      </c>
      <c r="E570" s="11">
        <f t="shared" si="35"/>
        <v>1061.1452571348357</v>
      </c>
      <c r="F570" s="11">
        <f>'Speed Calc'!B$5*E570</f>
        <v>955.03073142135213</v>
      </c>
      <c r="G570" s="15">
        <f>'Speed Calc'!G$3+'Speed Calc'!G$5*A570^2</f>
        <v>20</v>
      </c>
      <c r="H570" s="7">
        <f>(F570-G570)/'Speed Calc'!G$2*9.806</f>
        <v>6.7917861869020584</v>
      </c>
      <c r="I570" s="4">
        <f t="shared" si="36"/>
        <v>14.833333333333332</v>
      </c>
    </row>
    <row r="571" spans="1:9" x14ac:dyDescent="0.2">
      <c r="A571" s="11">
        <v>53.5</v>
      </c>
      <c r="B571" s="15">
        <v>3.133</v>
      </c>
      <c r="C571" s="11">
        <f t="shared" si="37"/>
        <v>6933.0616934604332</v>
      </c>
      <c r="D571" s="11">
        <f t="shared" si="34"/>
        <v>210.40227219358263</v>
      </c>
      <c r="E571" s="11">
        <f t="shared" si="35"/>
        <v>1061.8432428461178</v>
      </c>
      <c r="F571" s="11">
        <f>'Speed Calc'!B$5*E571</f>
        <v>955.65891856150608</v>
      </c>
      <c r="G571" s="15">
        <f>'Speed Calc'!G$3+'Speed Calc'!G$5*A571^2</f>
        <v>20</v>
      </c>
      <c r="H571" s="7">
        <f>(F571-G571)/'Speed Calc'!G$2*9.806</f>
        <v>6.796349152158613</v>
      </c>
      <c r="I571" s="4">
        <f t="shared" si="36"/>
        <v>14.861111111111111</v>
      </c>
    </row>
    <row r="572" spans="1:9" x14ac:dyDescent="0.2">
      <c r="A572" s="11">
        <v>53.6</v>
      </c>
      <c r="B572" s="15">
        <v>3.133</v>
      </c>
      <c r="C572" s="11">
        <f t="shared" si="37"/>
        <v>6946.0206872799863</v>
      </c>
      <c r="D572" s="11">
        <f t="shared" si="34"/>
        <v>210.93246597851902</v>
      </c>
      <c r="E572" s="11">
        <f t="shared" si="35"/>
        <v>1062.5329442947786</v>
      </c>
      <c r="F572" s="11">
        <f>'Speed Calc'!B$5*E572</f>
        <v>956.27964986530083</v>
      </c>
      <c r="G572" s="15">
        <f>'Speed Calc'!G$3+'Speed Calc'!G$5*A572^2</f>
        <v>20</v>
      </c>
      <c r="H572" s="7">
        <f>(F572-G572)/'Speed Calc'!G$2*9.806</f>
        <v>6.800857960428992</v>
      </c>
      <c r="I572" s="4">
        <f t="shared" si="36"/>
        <v>14.888888888888889</v>
      </c>
    </row>
    <row r="573" spans="1:9" x14ac:dyDescent="0.2">
      <c r="A573" s="11">
        <v>53.7</v>
      </c>
      <c r="B573" s="15">
        <v>3.133</v>
      </c>
      <c r="C573" s="11">
        <f t="shared" si="37"/>
        <v>6958.9796810995385</v>
      </c>
      <c r="D573" s="11">
        <f t="shared" si="34"/>
        <v>211.46148773749701</v>
      </c>
      <c r="E573" s="11">
        <f t="shared" si="35"/>
        <v>1063.2141841550126</v>
      </c>
      <c r="F573" s="11">
        <f>'Speed Calc'!B$5*E573</f>
        <v>956.89276573951133</v>
      </c>
      <c r="G573" s="15">
        <f>'Speed Calc'!G$3+'Speed Calc'!G$5*A573^2</f>
        <v>20</v>
      </c>
      <c r="H573" s="7">
        <f>(F573-G573)/'Speed Calc'!G$2*9.806</f>
        <v>6.8053114524752942</v>
      </c>
      <c r="I573" s="4">
        <f t="shared" si="36"/>
        <v>14.916666666666668</v>
      </c>
    </row>
    <row r="574" spans="1:9" x14ac:dyDescent="0.2">
      <c r="A574" s="11">
        <v>53.8</v>
      </c>
      <c r="B574" s="15">
        <v>3.133</v>
      </c>
      <c r="C574" s="11">
        <f t="shared" si="37"/>
        <v>6971.9386749190899</v>
      </c>
      <c r="D574" s="11">
        <f t="shared" si="34"/>
        <v>211.98929251376009</v>
      </c>
      <c r="E574" s="11">
        <f t="shared" si="35"/>
        <v>1063.8867839909892</v>
      </c>
      <c r="F574" s="11">
        <f>'Speed Calc'!B$5*E574</f>
        <v>957.49810559189029</v>
      </c>
      <c r="G574" s="15">
        <f>'Speed Calc'!G$3+'Speed Calc'!G$5*A574^2</f>
        <v>20</v>
      </c>
      <c r="H574" s="7">
        <f>(F574-G574)/'Speed Calc'!G$2*9.806</f>
        <v>6.8097084618030186</v>
      </c>
      <c r="I574" s="4">
        <f t="shared" si="36"/>
        <v>14.944444444444443</v>
      </c>
    </row>
    <row r="575" spans="1:9" x14ac:dyDescent="0.2">
      <c r="A575" s="11">
        <v>53.9</v>
      </c>
      <c r="B575" s="15">
        <v>3.133</v>
      </c>
      <c r="C575" s="11">
        <f t="shared" si="37"/>
        <v>6984.8976687386403</v>
      </c>
      <c r="D575" s="11">
        <f t="shared" si="34"/>
        <v>212.51583486461215</v>
      </c>
      <c r="E575" s="11">
        <f t="shared" si="35"/>
        <v>1064.5505642568698</v>
      </c>
      <c r="F575" s="11">
        <f>'Speed Calc'!B$5*E575</f>
        <v>958.09550783118289</v>
      </c>
      <c r="G575" s="15">
        <f>'Speed Calc'!G$3+'Speed Calc'!G$5*A575^2</f>
        <v>20</v>
      </c>
      <c r="H575" s="7">
        <f>(F575-G575)/'Speed Calc'!G$2*9.806</f>
        <v>6.8140478146611692</v>
      </c>
      <c r="I575" s="4">
        <f t="shared" si="36"/>
        <v>14.972222222222221</v>
      </c>
    </row>
    <row r="576" spans="1:9" x14ac:dyDescent="0.2">
      <c r="A576" s="11">
        <v>54</v>
      </c>
      <c r="B576" s="15">
        <v>3.133</v>
      </c>
      <c r="C576" s="11">
        <f t="shared" si="37"/>
        <v>6997.8566625581952</v>
      </c>
      <c r="D576" s="11">
        <f t="shared" si="34"/>
        <v>213.04106885936451</v>
      </c>
      <c r="E576" s="11">
        <f t="shared" si="35"/>
        <v>1065.2053442968222</v>
      </c>
      <c r="F576" s="11">
        <f>'Speed Calc'!B$5*E576</f>
        <v>958.68480986713996</v>
      </c>
      <c r="G576" s="15">
        <f>'Speed Calc'!G$3+'Speed Calc'!G$5*A576^2</f>
        <v>20</v>
      </c>
      <c r="H576" s="7">
        <f>(F576-G576)/'Speed Calc'!G$2*9.806</f>
        <v>6.8183283300423509</v>
      </c>
      <c r="I576" s="4">
        <f t="shared" si="36"/>
        <v>15</v>
      </c>
    </row>
    <row r="577" spans="1:9" x14ac:dyDescent="0.2">
      <c r="A577" s="11">
        <v>54.1</v>
      </c>
      <c r="B577" s="15">
        <v>3.133</v>
      </c>
      <c r="C577" s="11">
        <f t="shared" si="37"/>
        <v>7010.8156563777466</v>
      </c>
      <c r="D577" s="11">
        <f t="shared" si="34"/>
        <v>213.56494807727336</v>
      </c>
      <c r="E577" s="11">
        <f t="shared" si="35"/>
        <v>1065.8509423449873</v>
      </c>
      <c r="F577" s="11">
        <f>'Speed Calc'!B$5*E577</f>
        <v>959.26584811048861</v>
      </c>
      <c r="G577" s="15">
        <f>'Speed Calc'!G$3+'Speed Calc'!G$5*A577^2</f>
        <v>20</v>
      </c>
      <c r="H577" s="7">
        <f>(F577-G577)/'Speed Calc'!G$2*9.806</f>
        <v>6.8225488196825559</v>
      </c>
      <c r="I577" s="4">
        <f t="shared" si="36"/>
        <v>15.027777777777779</v>
      </c>
    </row>
    <row r="578" spans="1:9" x14ac:dyDescent="0.2">
      <c r="A578" s="11">
        <v>54.2</v>
      </c>
      <c r="B578" s="15">
        <v>3.133</v>
      </c>
      <c r="C578" s="11">
        <f t="shared" si="37"/>
        <v>7023.7746501972988</v>
      </c>
      <c r="D578" s="11">
        <f t="shared" si="34"/>
        <v>214.08742560549223</v>
      </c>
      <c r="E578" s="11">
        <f t="shared" si="35"/>
        <v>1066.4871755255147</v>
      </c>
      <c r="F578" s="11">
        <f>'Speed Calc'!B$5*E578</f>
        <v>959.83845797296317</v>
      </c>
      <c r="G578" s="15">
        <f>'Speed Calc'!G$3+'Speed Calc'!G$5*A578^2</f>
        <v>20</v>
      </c>
      <c r="H578" s="7">
        <f>(F578-G578)/'Speed Calc'!G$2*9.806</f>
        <v>6.8267080880613893</v>
      </c>
      <c r="I578" s="4">
        <f t="shared" si="36"/>
        <v>15.055555555555555</v>
      </c>
    </row>
    <row r="579" spans="1:9" x14ac:dyDescent="0.2">
      <c r="A579" s="11">
        <v>54.3</v>
      </c>
      <c r="B579" s="15">
        <v>3.133</v>
      </c>
      <c r="C579" s="11">
        <f t="shared" si="37"/>
        <v>7036.7336440168501</v>
      </c>
      <c r="D579" s="11">
        <f t="shared" si="34"/>
        <v>214.60845403700856</v>
      </c>
      <c r="E579" s="11">
        <f t="shared" si="35"/>
        <v>1067.1138598525288</v>
      </c>
      <c r="F579" s="11">
        <f>'Speed Calc'!B$5*E579</f>
        <v>960.40247386727594</v>
      </c>
      <c r="G579" s="15">
        <f>'Speed Calc'!G$3+'Speed Calc'!G$5*A579^2</f>
        <v>20</v>
      </c>
      <c r="H579" s="7">
        <f>(F579-G579)/'Speed Calc'!G$2*9.806</f>
        <v>6.8308049324018576</v>
      </c>
      <c r="I579" s="4">
        <f t="shared" si="36"/>
        <v>15.083333333333332</v>
      </c>
    </row>
    <row r="580" spans="1:9" x14ac:dyDescent="0.2">
      <c r="A580" s="11">
        <v>54.4</v>
      </c>
      <c r="B580" s="15">
        <v>3.133</v>
      </c>
      <c r="C580" s="11">
        <f t="shared" si="37"/>
        <v>7049.6926378364014</v>
      </c>
      <c r="D580" s="11">
        <f t="shared" si="34"/>
        <v>215.12798546859415</v>
      </c>
      <c r="E580" s="11">
        <f t="shared" si="35"/>
        <v>1067.7308102301549</v>
      </c>
      <c r="F580" s="11">
        <f>'Speed Calc'!B$5*E580</f>
        <v>960.95772920713944</v>
      </c>
      <c r="G580" s="15">
        <f>'Speed Calc'!G$3+'Speed Calc'!G$5*A580^2</f>
        <v>20</v>
      </c>
      <c r="H580" s="7">
        <f>(F580-G580)/'Speed Calc'!G$2*9.806</f>
        <v>6.8348381426705247</v>
      </c>
      <c r="I580" s="4">
        <f t="shared" si="36"/>
        <v>15.111111111111111</v>
      </c>
    </row>
    <row r="581" spans="1:9" x14ac:dyDescent="0.2">
      <c r="A581" s="11">
        <v>54.5</v>
      </c>
      <c r="B581" s="15">
        <v>3.133</v>
      </c>
      <c r="C581" s="11">
        <f t="shared" si="37"/>
        <v>7062.6516316559555</v>
      </c>
      <c r="D581" s="11">
        <f t="shared" si="34"/>
        <v>215.64597149874768</v>
      </c>
      <c r="E581" s="11">
        <f t="shared" si="35"/>
        <v>1068.3378404525113</v>
      </c>
      <c r="F581" s="11">
        <f>'Speed Calc'!B$5*E581</f>
        <v>961.50405640726012</v>
      </c>
      <c r="G581" s="15">
        <f>'Speed Calc'!G$3+'Speed Calc'!G$5*A581^2</f>
        <v>20</v>
      </c>
      <c r="H581" s="7">
        <f>(F581-G581)/'Speed Calc'!G$2*9.806</f>
        <v>6.8388065015774764</v>
      </c>
      <c r="I581" s="4">
        <f t="shared" si="36"/>
        <v>15.138888888888889</v>
      </c>
    </row>
    <row r="582" spans="1:9" x14ac:dyDescent="0.2">
      <c r="A582" s="11">
        <v>54.6</v>
      </c>
      <c r="B582" s="15">
        <v>3.133</v>
      </c>
      <c r="C582" s="11">
        <f t="shared" si="37"/>
        <v>7075.6106254755068</v>
      </c>
      <c r="D582" s="11">
        <f t="shared" si="34"/>
        <v>216.16236322563572</v>
      </c>
      <c r="E582" s="11">
        <f t="shared" si="35"/>
        <v>1068.9347632036931</v>
      </c>
      <c r="F582" s="11">
        <f>'Speed Calc'!B$5*E582</f>
        <v>962.04128688332389</v>
      </c>
      <c r="G582" s="15">
        <f>'Speed Calc'!G$3+'Speed Calc'!G$5*A582^2</f>
        <v>20</v>
      </c>
      <c r="H582" s="7">
        <f>(F582-G582)/'Speed Calc'!G$2*9.806</f>
        <v>6.8427087845762022</v>
      </c>
      <c r="I582" s="4">
        <f t="shared" si="36"/>
        <v>15.166666666666666</v>
      </c>
    </row>
    <row r="583" spans="1:9" x14ac:dyDescent="0.2">
      <c r="A583" s="11">
        <v>54.7</v>
      </c>
      <c r="B583" s="15">
        <v>3.133</v>
      </c>
      <c r="C583" s="11">
        <f t="shared" si="37"/>
        <v>7088.5696192950581</v>
      </c>
      <c r="D583" s="11">
        <f t="shared" si="34"/>
        <v>216.67711124504581</v>
      </c>
      <c r="E583" s="11">
        <f t="shared" si="35"/>
        <v>1069.5213900578131</v>
      </c>
      <c r="F583" s="11">
        <f>'Speed Calc'!B$5*E583</f>
        <v>962.56925105203175</v>
      </c>
      <c r="G583" s="15">
        <f>'Speed Calc'!G$3+'Speed Calc'!G$5*A583^2</f>
        <v>20</v>
      </c>
      <c r="H583" s="7">
        <f>(F583-G583)/'Speed Calc'!G$2*9.806</f>
        <v>6.8465437598638683</v>
      </c>
      <c r="I583" s="4">
        <f t="shared" si="36"/>
        <v>15.194444444444445</v>
      </c>
    </row>
    <row r="584" spans="1:9" x14ac:dyDescent="0.2">
      <c r="A584" s="11">
        <v>54.8</v>
      </c>
      <c r="B584" s="15">
        <v>3.133</v>
      </c>
      <c r="C584" s="11">
        <f t="shared" si="37"/>
        <v>7101.5286131146104</v>
      </c>
      <c r="D584" s="11">
        <f t="shared" si="34"/>
        <v>217.19016564831952</v>
      </c>
      <c r="E584" s="11">
        <f t="shared" si="35"/>
        <v>1070.0975314789471</v>
      </c>
      <c r="F584" s="11">
        <f>'Speed Calc'!B$5*E584</f>
        <v>963.08777833105239</v>
      </c>
      <c r="G584" s="15">
        <f>'Speed Calc'!G$3+'Speed Calc'!G$5*A584^2</f>
        <v>20</v>
      </c>
      <c r="H584" s="7">
        <f>(F584-G584)/'Speed Calc'!G$2*9.806</f>
        <v>6.8503101883809627</v>
      </c>
      <c r="I584" s="4">
        <f t="shared" si="36"/>
        <v>15.222222222222221</v>
      </c>
    </row>
    <row r="585" spans="1:9" x14ac:dyDescent="0.2">
      <c r="A585" s="11">
        <v>54.9</v>
      </c>
      <c r="B585" s="15">
        <v>3.133</v>
      </c>
      <c r="C585" s="11">
        <f t="shared" si="37"/>
        <v>7114.4876069341635</v>
      </c>
      <c r="D585" s="11">
        <f t="shared" si="34"/>
        <v>217.7014760203071</v>
      </c>
      <c r="E585" s="11">
        <f t="shared" si="35"/>
        <v>1070.6629968211826</v>
      </c>
      <c r="F585" s="11">
        <f>'Speed Calc'!B$5*E585</f>
        <v>963.5966971390643</v>
      </c>
      <c r="G585" s="15">
        <f>'Speed Calc'!G$3+'Speed Calc'!G$5*A585^2</f>
        <v>20</v>
      </c>
      <c r="H585" s="7">
        <f>(F585-G585)/'Speed Calc'!G$2*9.806</f>
        <v>6.854006823811603</v>
      </c>
      <c r="I585" s="4">
        <f t="shared" si="36"/>
        <v>15.25</v>
      </c>
    </row>
    <row r="586" spans="1:9" x14ac:dyDescent="0.2">
      <c r="A586" s="11">
        <v>55</v>
      </c>
      <c r="B586" s="15">
        <v>3.133</v>
      </c>
      <c r="C586" s="11">
        <f t="shared" si="37"/>
        <v>7127.4466007537148</v>
      </c>
      <c r="D586" s="11">
        <f t="shared" si="34"/>
        <v>218.21099143730422</v>
      </c>
      <c r="E586" s="11">
        <f t="shared" si="35"/>
        <v>1071.2175943285845</v>
      </c>
      <c r="F586" s="11">
        <f>'Speed Calc'!B$5*E586</f>
        <v>964.09583489572606</v>
      </c>
      <c r="G586" s="15">
        <f>'Speed Calc'!G$3+'Speed Calc'!G$5*A586^2</f>
        <v>20</v>
      </c>
      <c r="H586" s="7">
        <f>(F586-G586)/'Speed Calc'!G$2*9.806</f>
        <v>6.8576324125833246</v>
      </c>
      <c r="I586" s="4">
        <f t="shared" si="36"/>
        <v>15.277777777777777</v>
      </c>
    </row>
    <row r="587" spans="1:9" x14ac:dyDescent="0.2">
      <c r="A587" s="11">
        <v>55.1</v>
      </c>
      <c r="B587" s="15">
        <v>3.133</v>
      </c>
      <c r="C587" s="11">
        <f t="shared" si="37"/>
        <v>7140.4055945732689</v>
      </c>
      <c r="D587" s="11">
        <f t="shared" si="34"/>
        <v>218.71866046500224</v>
      </c>
      <c r="E587" s="11">
        <f t="shared" si="35"/>
        <v>1071.7611311352196</v>
      </c>
      <c r="F587" s="11">
        <f>'Speed Calc'!B$5*E587</f>
        <v>964.58501802169758</v>
      </c>
      <c r="G587" s="15">
        <f>'Speed Calc'!G$3+'Speed Calc'!G$5*A587^2</f>
        <v>20</v>
      </c>
      <c r="H587" s="7">
        <f>(F587-G587)/'Speed Calc'!G$2*9.806</f>
        <v>6.8611856938672338</v>
      </c>
      <c r="I587" s="4">
        <f t="shared" si="36"/>
        <v>15.305555555555555</v>
      </c>
    </row>
    <row r="588" spans="1:9" x14ac:dyDescent="0.2">
      <c r="A588" s="11">
        <v>55.2</v>
      </c>
      <c r="B588" s="15">
        <v>3.133</v>
      </c>
      <c r="C588" s="11">
        <f t="shared" si="37"/>
        <v>7153.364588392822</v>
      </c>
      <c r="D588" s="11">
        <f t="shared" si="34"/>
        <v>219.22443115642977</v>
      </c>
      <c r="E588" s="11">
        <f t="shared" si="35"/>
        <v>1072.2934132651455</v>
      </c>
      <c r="F588" s="11">
        <f>'Speed Calc'!B$5*E588</f>
        <v>965.06407193863106</v>
      </c>
      <c r="G588" s="15">
        <f>'Speed Calc'!G$3+'Speed Calc'!G$5*A588^2</f>
        <v>20</v>
      </c>
      <c r="H588" s="7">
        <f>(F588-G588)/'Speed Calc'!G$2*9.806</f>
        <v>6.8646653995779365</v>
      </c>
      <c r="I588" s="4">
        <f t="shared" si="36"/>
        <v>15.333333333333334</v>
      </c>
    </row>
    <row r="589" spans="1:9" x14ac:dyDescent="0.2">
      <c r="A589" s="11">
        <v>55.3</v>
      </c>
      <c r="B589" s="15">
        <v>3.133</v>
      </c>
      <c r="C589" s="11">
        <f t="shared" si="37"/>
        <v>7166.3235822123715</v>
      </c>
      <c r="D589" s="11">
        <f t="shared" si="34"/>
        <v>219.72825104989494</v>
      </c>
      <c r="E589" s="11">
        <f t="shared" si="35"/>
        <v>1072.8142456323988</v>
      </c>
      <c r="F589" s="11">
        <f>'Speed Calc'!B$5*E589</f>
        <v>965.5328210691589</v>
      </c>
      <c r="G589" s="15">
        <f>'Speed Calc'!G$3+'Speed Calc'!G$5*A589^2</f>
        <v>20</v>
      </c>
      <c r="H589" s="7">
        <f>(F589-G589)/'Speed Calc'!G$2*9.806</f>
        <v>6.8680702543734604</v>
      </c>
      <c r="I589" s="4">
        <f t="shared" si="36"/>
        <v>15.361111111111111</v>
      </c>
    </row>
    <row r="590" spans="1:9" x14ac:dyDescent="0.2">
      <c r="A590" s="11">
        <v>55.4</v>
      </c>
      <c r="B590" s="15">
        <v>3.133</v>
      </c>
      <c r="C590" s="11">
        <f t="shared" si="37"/>
        <v>7179.2825760319238</v>
      </c>
      <c r="D590" s="11">
        <f t="shared" si="34"/>
        <v>220.23006716693445</v>
      </c>
      <c r="E590" s="11">
        <f t="shared" si="35"/>
        <v>1073.3234320410165</v>
      </c>
      <c r="F590" s="11">
        <f>'Speed Calc'!B$5*E590</f>
        <v>965.99108883691486</v>
      </c>
      <c r="G590" s="15">
        <f>'Speed Calc'!G$3+'Speed Calc'!G$5*A590^2</f>
        <v>20</v>
      </c>
      <c r="H590" s="7">
        <f>(F590-G590)/'Speed Calc'!G$2*9.806</f>
        <v>6.8713989756553975</v>
      </c>
      <c r="I590" s="4">
        <f t="shared" si="36"/>
        <v>15.388888888888888</v>
      </c>
    </row>
    <row r="591" spans="1:9" x14ac:dyDescent="0.2">
      <c r="A591" s="11">
        <v>55.5</v>
      </c>
      <c r="B591" s="15">
        <v>3.133</v>
      </c>
      <c r="C591" s="11">
        <f t="shared" si="37"/>
        <v>7192.241569851476</v>
      </c>
      <c r="D591" s="11">
        <f t="shared" si="34"/>
        <v>220.72982601025774</v>
      </c>
      <c r="E591" s="11">
        <f t="shared" si="35"/>
        <v>1073.8207751850377</v>
      </c>
      <c r="F591" s="11">
        <f>'Speed Calc'!B$5*E591</f>
        <v>966.43869766653404</v>
      </c>
      <c r="G591" s="15">
        <f>'Speed Calc'!G$3+'Speed Calc'!G$5*A591^2</f>
        <v>20</v>
      </c>
      <c r="H591" s="7">
        <f>(F591-G591)/'Speed Calc'!G$2*9.806</f>
        <v>6.8746502735689132</v>
      </c>
      <c r="I591" s="4">
        <f t="shared" si="36"/>
        <v>15.416666666666666</v>
      </c>
    </row>
    <row r="592" spans="1:9" x14ac:dyDescent="0.2">
      <c r="A592" s="11">
        <v>55.6</v>
      </c>
      <c r="B592" s="15">
        <v>3.133</v>
      </c>
      <c r="C592" s="11">
        <f t="shared" si="37"/>
        <v>7205.2005636710273</v>
      </c>
      <c r="D592" s="11">
        <f t="shared" si="34"/>
        <v>221.22747356168435</v>
      </c>
      <c r="E592" s="11">
        <f t="shared" si="35"/>
        <v>1074.3060766484675</v>
      </c>
      <c r="F592" s="11">
        <f>'Speed Calc'!B$5*E592</f>
        <v>966.87546898362075</v>
      </c>
      <c r="G592" s="15">
        <f>'Speed Calc'!G$3+'Speed Calc'!G$5*A592^2</f>
        <v>20</v>
      </c>
      <c r="H592" s="7">
        <f>(F592-G592)/'Speed Calc'!G$2*9.806</f>
        <v>6.8778228510025068</v>
      </c>
      <c r="I592" s="4">
        <f t="shared" si="36"/>
        <v>15.444444444444445</v>
      </c>
    </row>
    <row r="593" spans="1:9" x14ac:dyDescent="0.2">
      <c r="A593" s="11">
        <v>55.7</v>
      </c>
      <c r="B593" s="15">
        <v>3.133</v>
      </c>
      <c r="C593" s="11">
        <f t="shared" si="37"/>
        <v>7218.1595574905832</v>
      </c>
      <c r="D593" s="11">
        <f t="shared" si="34"/>
        <v>221.72295528009869</v>
      </c>
      <c r="E593" s="11">
        <f t="shared" si="35"/>
        <v>1074.7791369053255</v>
      </c>
      <c r="F593" s="11">
        <f>'Speed Calc'!B$5*E593</f>
        <v>967.30122321479291</v>
      </c>
      <c r="G593" s="15">
        <f>'Speed Calc'!G$3+'Speed Calc'!G$5*A593^2</f>
        <v>20</v>
      </c>
      <c r="H593" s="7">
        <f>(F593-G593)/'Speed Calc'!G$2*9.806</f>
        <v>6.8809154035883395</v>
      </c>
      <c r="I593" s="4">
        <f t="shared" si="36"/>
        <v>15.472222222222223</v>
      </c>
    </row>
    <row r="594" spans="1:9" x14ac:dyDescent="0.2">
      <c r="A594" s="11">
        <v>55.8</v>
      </c>
      <c r="B594" s="15">
        <v>3.133</v>
      </c>
      <c r="C594" s="11">
        <f t="shared" si="37"/>
        <v>7231.1185513101336</v>
      </c>
      <c r="D594" s="11">
        <f t="shared" si="34"/>
        <v>222.21621609938541</v>
      </c>
      <c r="E594" s="11">
        <f t="shared" si="35"/>
        <v>1075.239755319607</v>
      </c>
      <c r="F594" s="11">
        <f>'Speed Calc'!B$5*E594</f>
        <v>967.71577978764628</v>
      </c>
      <c r="G594" s="15">
        <f>'Speed Calc'!G$3+'Speed Calc'!G$5*A594^2</f>
        <v>20</v>
      </c>
      <c r="H594" s="7">
        <f>(F594-G594)/'Speed Calc'!G$2*9.806</f>
        <v>6.8839266197019695</v>
      </c>
      <c r="I594" s="4">
        <f t="shared" si="36"/>
        <v>15.499999999999998</v>
      </c>
    </row>
    <row r="595" spans="1:9" x14ac:dyDescent="0.2">
      <c r="A595" s="11">
        <v>55.9</v>
      </c>
      <c r="B595" s="15">
        <v>3.133</v>
      </c>
      <c r="C595" s="11">
        <f t="shared" si="37"/>
        <v>7244.0775451296849</v>
      </c>
      <c r="D595" s="11">
        <f t="shared" si="34"/>
        <v>222.70720042638138</v>
      </c>
      <c r="E595" s="11">
        <f t="shared" si="35"/>
        <v>1075.6877301453126</v>
      </c>
      <c r="F595" s="11">
        <f>'Speed Calc'!B$5*E595</f>
        <v>968.11895713078138</v>
      </c>
      <c r="G595" s="15">
        <f>'Speed Calc'!G$3+'Speed Calc'!G$5*A595^2</f>
        <v>20</v>
      </c>
      <c r="H595" s="7">
        <f>(F595-G595)/'Speed Calc'!G$2*9.806</f>
        <v>6.8868551804625495</v>
      </c>
      <c r="I595" s="4">
        <f t="shared" si="36"/>
        <v>15.527777777777777</v>
      </c>
    </row>
    <row r="596" spans="1:9" x14ac:dyDescent="0.2">
      <c r="A596" s="11">
        <v>56</v>
      </c>
      <c r="B596" s="15">
        <v>3.133</v>
      </c>
      <c r="C596" s="11">
        <f t="shared" si="37"/>
        <v>7257.0365389492381</v>
      </c>
      <c r="D596" s="11">
        <f t="shared" si="34"/>
        <v>223.19585213881265</v>
      </c>
      <c r="E596" s="11">
        <f t="shared" si="35"/>
        <v>1076.1228585264182</v>
      </c>
      <c r="F596" s="11">
        <f>'Speed Calc'!B$5*E596</f>
        <v>968.51057267377644</v>
      </c>
      <c r="G596" s="15">
        <f>'Speed Calc'!G$3+'Speed Calc'!G$5*A596^2</f>
        <v>20</v>
      </c>
      <c r="H596" s="7">
        <f>(F596-G596)/'Speed Calc'!G$2*9.806</f>
        <v>6.8896997597326299</v>
      </c>
      <c r="I596" s="4">
        <f t="shared" si="36"/>
        <v>15.555555555555555</v>
      </c>
    </row>
    <row r="597" spans="1:9" x14ac:dyDescent="0.2">
      <c r="A597" s="11">
        <v>56.1</v>
      </c>
      <c r="B597" s="15">
        <v>3.133</v>
      </c>
      <c r="C597" s="11">
        <f t="shared" si="37"/>
        <v>7269.9955327687903</v>
      </c>
      <c r="D597" s="11">
        <f t="shared" si="34"/>
        <v>223.68211458324643</v>
      </c>
      <c r="E597" s="11">
        <f t="shared" si="35"/>
        <v>1076.5449364969079</v>
      </c>
      <c r="F597" s="11">
        <f>'Speed Calc'!B$5*E597</f>
        <v>968.89044284721717</v>
      </c>
      <c r="G597" s="15">
        <f>'Speed Calc'!G$3+'Speed Calc'!G$5*A597^2</f>
        <v>20</v>
      </c>
      <c r="H597" s="7">
        <f>(F597-G597)/'Speed Calc'!G$2*9.806</f>
        <v>6.8924590241183781</v>
      </c>
      <c r="I597" s="4">
        <f t="shared" si="36"/>
        <v>15.583333333333334</v>
      </c>
    </row>
    <row r="598" spans="1:9" x14ac:dyDescent="0.2">
      <c r="A598" s="11">
        <v>56.2</v>
      </c>
      <c r="B598" s="15">
        <v>3.133</v>
      </c>
      <c r="C598" s="11">
        <f t="shared" si="37"/>
        <v>7282.9545265883417</v>
      </c>
      <c r="D598" s="11">
        <f t="shared" si="34"/>
        <v>224.16593057302862</v>
      </c>
      <c r="E598" s="11">
        <f t="shared" si="35"/>
        <v>1076.9537589807424</v>
      </c>
      <c r="F598" s="11">
        <f>'Speed Calc'!B$5*E598</f>
        <v>969.25838308266816</v>
      </c>
      <c r="G598" s="15">
        <f>'Speed Calc'!G$3+'Speed Calc'!G$5*A598^2</f>
        <v>20</v>
      </c>
      <c r="H598" s="7">
        <f>(F598-G598)/'Speed Calc'!G$2*9.806</f>
        <v>6.8951316329693659</v>
      </c>
      <c r="I598" s="4">
        <f t="shared" si="36"/>
        <v>15.611111111111111</v>
      </c>
    </row>
    <row r="599" spans="1:9" x14ac:dyDescent="0.2">
      <c r="A599" s="11">
        <v>56.3</v>
      </c>
      <c r="B599" s="15">
        <v>3.133</v>
      </c>
      <c r="C599" s="11">
        <f t="shared" si="37"/>
        <v>7295.9135204078948</v>
      </c>
      <c r="D599" s="11">
        <f t="shared" si="34"/>
        <v>224.64724238623384</v>
      </c>
      <c r="E599" s="11">
        <f t="shared" si="35"/>
        <v>1077.3491197918852</v>
      </c>
      <c r="F599" s="11">
        <f>'Speed Calc'!B$5*E599</f>
        <v>969.61420781269669</v>
      </c>
      <c r="G599" s="15">
        <f>'Speed Calc'!G$3+'Speed Calc'!G$5*A599^2</f>
        <v>20</v>
      </c>
      <c r="H599" s="7">
        <f>(F599-G599)/'Speed Calc'!G$2*9.806</f>
        <v>6.8977162383787425</v>
      </c>
      <c r="I599" s="4">
        <f t="shared" si="36"/>
        <v>15.638888888888888</v>
      </c>
    </row>
    <row r="600" spans="1:9" x14ac:dyDescent="0.2">
      <c r="A600" s="11">
        <v>56.4</v>
      </c>
      <c r="B600" s="15">
        <v>3.133</v>
      </c>
      <c r="C600" s="11">
        <f t="shared" si="37"/>
        <v>7308.8725142274461</v>
      </c>
      <c r="D600" s="11">
        <f t="shared" si="34"/>
        <v>225.12599176360601</v>
      </c>
      <c r="E600" s="11">
        <f t="shared" si="35"/>
        <v>1077.7308116342842</v>
      </c>
      <c r="F600" s="11">
        <f>'Speed Calc'!B$5*E600</f>
        <v>969.95773047085584</v>
      </c>
      <c r="G600" s="15">
        <f>'Speed Calc'!G$3+'Speed Calc'!G$5*A600^2</f>
        <v>20</v>
      </c>
      <c r="H600" s="7">
        <f>(F600-G600)/'Speed Calc'!G$2*9.806</f>
        <v>6.90021148518312</v>
      </c>
      <c r="I600" s="4">
        <f t="shared" si="36"/>
        <v>15.666666666666666</v>
      </c>
    </row>
    <row r="601" spans="1:9" x14ac:dyDescent="0.2">
      <c r="A601" s="11">
        <v>56.5</v>
      </c>
      <c r="B601" s="15">
        <v>3.133</v>
      </c>
      <c r="C601" s="11">
        <f t="shared" si="37"/>
        <v>7321.8315080469984</v>
      </c>
      <c r="D601" s="11">
        <f t="shared" si="34"/>
        <v>225.60211990650362</v>
      </c>
      <c r="E601" s="11">
        <f t="shared" si="35"/>
        <v>1078.0986261018759</v>
      </c>
      <c r="F601" s="11">
        <f>'Speed Calc'!B$5*E601</f>
        <v>970.28876349168831</v>
      </c>
      <c r="G601" s="15">
        <f>'Speed Calc'!G$3+'Speed Calc'!G$5*A601^2</f>
        <v>20</v>
      </c>
      <c r="H601" s="7">
        <f>(F601-G601)/'Speed Calc'!G$2*9.806</f>
        <v>6.9026160109625883</v>
      </c>
      <c r="I601" s="4">
        <f t="shared" si="36"/>
        <v>15.694444444444445</v>
      </c>
    </row>
    <row r="602" spans="1:9" x14ac:dyDescent="0.2">
      <c r="A602" s="11">
        <v>56.6</v>
      </c>
      <c r="B602" s="15">
        <v>3.133</v>
      </c>
      <c r="C602" s="11">
        <f t="shared" si="37"/>
        <v>7334.7905018665515</v>
      </c>
      <c r="D602" s="11">
        <f t="shared" si="34"/>
        <v>226.07556747484693</v>
      </c>
      <c r="E602" s="11">
        <f t="shared" si="35"/>
        <v>1078.4523536785985</v>
      </c>
      <c r="F602" s="11">
        <f>'Speed Calc'!B$5*E602</f>
        <v>970.60711831073866</v>
      </c>
      <c r="G602" s="15">
        <f>'Speed Calc'!G$3+'Speed Calc'!G$5*A602^2</f>
        <v>20</v>
      </c>
      <c r="H602" s="7">
        <f>(F602-G602)/'Speed Calc'!G$2*9.806</f>
        <v>6.9049284460408167</v>
      </c>
      <c r="I602" s="4">
        <f t="shared" si="36"/>
        <v>15.722222222222221</v>
      </c>
    </row>
    <row r="603" spans="1:9" x14ac:dyDescent="0.2">
      <c r="A603" s="11">
        <v>56.7</v>
      </c>
      <c r="B603" s="15">
        <v>3.133</v>
      </c>
      <c r="C603" s="11">
        <f t="shared" si="37"/>
        <v>7347.7494956861028</v>
      </c>
      <c r="D603" s="11">
        <f t="shared" si="34"/>
        <v>226.54627458505871</v>
      </c>
      <c r="E603" s="11">
        <f t="shared" si="35"/>
        <v>1078.7917837383748</v>
      </c>
      <c r="F603" s="11">
        <f>'Speed Calc'!B$5*E603</f>
        <v>970.91260536453728</v>
      </c>
      <c r="G603" s="15">
        <f>'Speed Calc'!G$3+'Speed Calc'!G$5*A603^2</f>
        <v>20</v>
      </c>
      <c r="H603" s="7">
        <f>(F603-G603)/'Speed Calc'!G$2*9.806</f>
        <v>6.9071474134849273</v>
      </c>
      <c r="I603" s="4">
        <f t="shared" si="36"/>
        <v>15.75</v>
      </c>
    </row>
    <row r="604" spans="1:9" x14ac:dyDescent="0.2">
      <c r="A604" s="11">
        <v>56.8</v>
      </c>
      <c r="B604" s="15">
        <v>3.133</v>
      </c>
      <c r="C604" s="11">
        <f t="shared" si="37"/>
        <v>7360.7084895056541</v>
      </c>
      <c r="D604" s="11">
        <f t="shared" si="34"/>
        <v>227.01418080800991</v>
      </c>
      <c r="E604" s="11">
        <f t="shared" si="35"/>
        <v>1079.1167045451177</v>
      </c>
      <c r="F604" s="11">
        <f>'Speed Calc'!B$5*E604</f>
        <v>971.20503409060598</v>
      </c>
      <c r="G604" s="15">
        <f>'Speed Calc'!G$3+'Speed Calc'!G$5*A604^2</f>
        <v>20</v>
      </c>
      <c r="H604" s="7">
        <f>(F604-G604)/'Speed Calc'!G$2*9.806</f>
        <v>6.9092715291055411</v>
      </c>
      <c r="I604" s="4">
        <f t="shared" si="36"/>
        <v>15.777777777777777</v>
      </c>
    </row>
    <row r="605" spans="1:9" x14ac:dyDescent="0.2">
      <c r="A605" s="11">
        <v>56.9</v>
      </c>
      <c r="B605" s="15">
        <v>3.133</v>
      </c>
      <c r="C605" s="11">
        <f t="shared" si="37"/>
        <v>7373.6674833252091</v>
      </c>
      <c r="D605" s="11">
        <f t="shared" si="34"/>
        <v>227.47922516696485</v>
      </c>
      <c r="E605" s="11">
        <f t="shared" si="35"/>
        <v>1079.4269032527329</v>
      </c>
      <c r="F605" s="11">
        <f>'Speed Calc'!B$5*E605</f>
        <v>971.48421292745968</v>
      </c>
      <c r="G605" s="15">
        <f>'Speed Calc'!G$3+'Speed Calc'!G$5*A605^2</f>
        <v>20</v>
      </c>
      <c r="H605" s="7">
        <f>(F605-G605)/'Speed Calc'!G$2*9.806</f>
        <v>6.911299401456791</v>
      </c>
      <c r="I605" s="4">
        <f t="shared" si="36"/>
        <v>15.805555555555555</v>
      </c>
    </row>
    <row r="606" spans="1:9" x14ac:dyDescent="0.2">
      <c r="A606" s="11">
        <v>57</v>
      </c>
      <c r="B606" s="15">
        <v>3.133</v>
      </c>
      <c r="C606" s="11">
        <f t="shared" si="37"/>
        <v>7386.6264771447604</v>
      </c>
      <c r="D606" s="11">
        <f t="shared" si="34"/>
        <v>227.94134613552589</v>
      </c>
      <c r="E606" s="11">
        <f t="shared" si="35"/>
        <v>1079.7221659051224</v>
      </c>
      <c r="F606" s="11">
        <f>'Speed Calc'!B$5*E606</f>
        <v>971.74994931461026</v>
      </c>
      <c r="G606" s="15">
        <f>'Speed Calc'!G$3+'Speed Calc'!G$5*A606^2</f>
        <v>20</v>
      </c>
      <c r="H606" s="7">
        <f>(F606-G606)/'Speed Calc'!G$2*9.806</f>
        <v>6.9132296318363462</v>
      </c>
      <c r="I606" s="4">
        <f t="shared" si="36"/>
        <v>15.833333333333332</v>
      </c>
    </row>
    <row r="607" spans="1:9" x14ac:dyDescent="0.2">
      <c r="A607" s="11">
        <v>57.1</v>
      </c>
      <c r="B607" s="15">
        <v>3.133</v>
      </c>
      <c r="C607" s="11">
        <f t="shared" si="37"/>
        <v>7399.5854709643127</v>
      </c>
      <c r="D607" s="11">
        <f t="shared" si="34"/>
        <v>228.40048163557532</v>
      </c>
      <c r="E607" s="11">
        <f t="shared" si="35"/>
        <v>1080.0022774361705</v>
      </c>
      <c r="F607" s="11">
        <f>'Speed Calc'!B$5*E607</f>
        <v>972.00204969255344</v>
      </c>
      <c r="G607" s="15">
        <f>'Speed Calc'!G$3+'Speed Calc'!G$5*A607^2</f>
        <v>20</v>
      </c>
      <c r="H607" s="7">
        <f>(F607-G607)/'Speed Calc'!G$2*9.806</f>
        <v>6.9150608142853169</v>
      </c>
      <c r="I607" s="4">
        <f t="shared" si="36"/>
        <v>15.861111111111111</v>
      </c>
    </row>
    <row r="608" spans="1:9" x14ac:dyDescent="0.2">
      <c r="A608" s="11">
        <v>57.2</v>
      </c>
      <c r="B608" s="15">
        <v>3.133</v>
      </c>
      <c r="C608" s="11">
        <f t="shared" si="37"/>
        <v>7412.5444647838649</v>
      </c>
      <c r="D608" s="11">
        <f t="shared" si="34"/>
        <v>228.85656903522354</v>
      </c>
      <c r="E608" s="11">
        <f t="shared" si="35"/>
        <v>1080.2670216697616</v>
      </c>
      <c r="F608" s="11">
        <f>'Speed Calc'!B$5*E608</f>
        <v>972.24031950278538</v>
      </c>
      <c r="G608" s="15">
        <f>'Speed Calc'!G$3+'Speed Calc'!G$5*A608^2</f>
        <v>20</v>
      </c>
      <c r="H608" s="7">
        <f>(F608-G608)/'Speed Calc'!G$2*9.806</f>
        <v>6.9167915355883798</v>
      </c>
      <c r="I608" s="4">
        <f t="shared" si="36"/>
        <v>15.888888888888889</v>
      </c>
    </row>
    <row r="609" spans="1:9" x14ac:dyDescent="0.2">
      <c r="A609" s="11">
        <v>57.3</v>
      </c>
      <c r="B609" s="15">
        <v>3.133</v>
      </c>
      <c r="C609" s="11">
        <f t="shared" si="37"/>
        <v>7425.5034586034162</v>
      </c>
      <c r="D609" s="11">
        <f t="shared" si="34"/>
        <v>229.30954514674988</v>
      </c>
      <c r="E609" s="11">
        <f t="shared" si="35"/>
        <v>1080.5161813197637</v>
      </c>
      <c r="F609" s="11">
        <f>'Speed Calc'!B$5*E609</f>
        <v>972.46456318778735</v>
      </c>
      <c r="G609" s="15">
        <f>'Speed Calc'!G$3+'Speed Calc'!G$5*A609^2</f>
        <v>20</v>
      </c>
      <c r="H609" s="7">
        <f>(F609-G609)/'Speed Calc'!G$2*9.806</f>
        <v>6.9184203752736604</v>
      </c>
      <c r="I609" s="4">
        <f t="shared" si="36"/>
        <v>15.916666666666666</v>
      </c>
    </row>
    <row r="610" spans="1:9" x14ac:dyDescent="0.2">
      <c r="A610" s="11">
        <v>57.4</v>
      </c>
      <c r="B610" s="15">
        <v>3.133</v>
      </c>
      <c r="C610" s="11">
        <f t="shared" si="37"/>
        <v>7438.4624524229675</v>
      </c>
      <c r="D610" s="11">
        <f t="shared" si="34"/>
        <v>229.75934622454992</v>
      </c>
      <c r="E610" s="11">
        <f t="shared" si="35"/>
        <v>1080.7495379900436</v>
      </c>
      <c r="F610" s="11">
        <f>'Speed Calc'!B$5*E610</f>
        <v>972.67458419103923</v>
      </c>
      <c r="G610" s="15">
        <f>'Speed Calc'!G$3+'Speed Calc'!G$5*A610^2</f>
        <v>20</v>
      </c>
      <c r="H610" s="7">
        <f>(F610-G610)/'Speed Calc'!G$2*9.806</f>
        <v>6.9199459056128365</v>
      </c>
      <c r="I610" s="4">
        <f t="shared" si="36"/>
        <v>15.944444444444443</v>
      </c>
    </row>
    <row r="611" spans="1:9" x14ac:dyDescent="0.2">
      <c r="A611" s="11">
        <v>57.5</v>
      </c>
      <c r="B611" s="15">
        <v>3.133</v>
      </c>
      <c r="C611" s="11">
        <f t="shared" si="37"/>
        <v>7451.4214462425216</v>
      </c>
      <c r="D611" s="11">
        <f t="shared" si="34"/>
        <v>230.20590796307766</v>
      </c>
      <c r="E611" s="11">
        <f t="shared" si="35"/>
        <v>1080.9668721744517</v>
      </c>
      <c r="F611" s="11">
        <f>'Speed Calc'!B$5*E611</f>
        <v>972.87018495700659</v>
      </c>
      <c r="G611" s="15">
        <f>'Speed Calc'!G$3+'Speed Calc'!G$5*A611^2</f>
        <v>20</v>
      </c>
      <c r="H611" s="7">
        <f>(F611-G611)/'Speed Calc'!G$2*9.806</f>
        <v>6.9213666916210412</v>
      </c>
      <c r="I611" s="4">
        <f t="shared" si="36"/>
        <v>15.972222222222221</v>
      </c>
    </row>
    <row r="612" spans="1:9" x14ac:dyDescent="0.2">
      <c r="A612" s="11">
        <v>57.6</v>
      </c>
      <c r="B612" s="15">
        <v>3.133</v>
      </c>
      <c r="C612" s="11">
        <f t="shared" si="37"/>
        <v>7464.3804400620729</v>
      </c>
      <c r="D612" s="11">
        <f t="shared" si="34"/>
        <v>230.64916549479153</v>
      </c>
      <c r="E612" s="11">
        <f t="shared" si="35"/>
        <v>1081.1679632568353</v>
      </c>
      <c r="F612" s="11">
        <f>'Speed Calc'!B$5*E612</f>
        <v>973.05116693115178</v>
      </c>
      <c r="G612" s="15">
        <f>'Speed Calc'!G$3+'Speed Calc'!G$5*A612^2</f>
        <v>20</v>
      </c>
      <c r="H612" s="7">
        <f>(F612-G612)/'Speed Calc'!G$2*9.806</f>
        <v>6.9226812910569437</v>
      </c>
      <c r="I612" s="4">
        <f t="shared" si="36"/>
        <v>16</v>
      </c>
    </row>
    <row r="613" spans="1:9" x14ac:dyDescent="0.2">
      <c r="A613" s="11">
        <v>57.7</v>
      </c>
      <c r="B613" s="15">
        <v>3.133</v>
      </c>
      <c r="C613" s="11">
        <f t="shared" si="37"/>
        <v>7477.3394338816261</v>
      </c>
      <c r="D613" s="11">
        <f t="shared" ref="D613:D676" si="38">-4.687*10^(-17)*C613^5+9.129*10^(-13)*C613^4-6.175*10^(-9)*C613^3+1.799*10^(-5)*C613^2+6.502*10^(-3)*C613</f>
        <v>231.08905338809848</v>
      </c>
      <c r="E613" s="11">
        <f t="shared" si="35"/>
        <v>1081.3525895110326</v>
      </c>
      <c r="F613" s="11">
        <f>'Speed Calc'!B$5*E613</f>
        <v>973.21733055992945</v>
      </c>
      <c r="G613" s="15">
        <f>'Speed Calc'!G$3+'Speed Calc'!G$5*A613^2</f>
        <v>20</v>
      </c>
      <c r="H613" s="7">
        <f>(F613-G613)/'Speed Calc'!G$2*9.806</f>
        <v>6.9238882544227165</v>
      </c>
      <c r="I613" s="4">
        <f t="shared" si="36"/>
        <v>16.027777777777779</v>
      </c>
    </row>
    <row r="614" spans="1:9" x14ac:dyDescent="0.2">
      <c r="A614" s="11">
        <v>57.8</v>
      </c>
      <c r="B614" s="15">
        <v>3.133</v>
      </c>
      <c r="C614" s="11">
        <f t="shared" si="37"/>
        <v>7490.2984277011783</v>
      </c>
      <c r="D614" s="11">
        <f t="shared" si="38"/>
        <v>231.52550564529707</v>
      </c>
      <c r="E614" s="11">
        <f t="shared" ref="E614:E677" si="39">D614*75*B614*B$31*B$32/B$23/C614/2/PI()*60</f>
        <v>1081.5205281008689</v>
      </c>
      <c r="F614" s="11">
        <f>'Speed Calc'!B$5*E614</f>
        <v>973.36847529078204</v>
      </c>
      <c r="G614" s="15">
        <f>'Speed Calc'!G$3+'Speed Calc'!G$5*A614^2</f>
        <v>20</v>
      </c>
      <c r="H614" s="7">
        <f>(F614-G614)/'Speed Calc'!G$2*9.806</f>
        <v>6.9249861249640059</v>
      </c>
      <c r="I614" s="4">
        <f t="shared" ref="I614:I677" si="40">A614/3.6</f>
        <v>16.055555555555554</v>
      </c>
    </row>
    <row r="615" spans="1:9" x14ac:dyDescent="0.2">
      <c r="A615" s="11">
        <v>57.9</v>
      </c>
      <c r="B615" s="15">
        <v>3.133</v>
      </c>
      <c r="C615" s="11">
        <f t="shared" si="37"/>
        <v>7503.2574215207296</v>
      </c>
      <c r="D615" s="11">
        <f t="shared" si="38"/>
        <v>231.95845570052452</v>
      </c>
      <c r="E615" s="11">
        <f t="shared" si="39"/>
        <v>1081.6715550801662</v>
      </c>
      <c r="F615" s="11">
        <f>'Speed Calc'!B$5*E615</f>
        <v>973.50439957214962</v>
      </c>
      <c r="G615" s="15">
        <f>'Speed Calc'!G$3+'Speed Calc'!G$5*A615^2</f>
        <v>20</v>
      </c>
      <c r="H615" s="7">
        <f>(F615-G615)/'Speed Calc'!G$2*9.806</f>
        <v>6.925973438669998</v>
      </c>
      <c r="I615" s="4">
        <f t="shared" si="40"/>
        <v>16.083333333333332</v>
      </c>
    </row>
    <row r="616" spans="1:9" x14ac:dyDescent="0.2">
      <c r="A616" s="11">
        <v>58</v>
      </c>
      <c r="B616" s="15">
        <v>3.133</v>
      </c>
      <c r="C616" s="11">
        <f t="shared" si="37"/>
        <v>7516.2164153402809</v>
      </c>
      <c r="D616" s="11">
        <f t="shared" si="38"/>
        <v>232.38783641769908</v>
      </c>
      <c r="E616" s="11">
        <f t="shared" si="39"/>
        <v>1081.8054453927373</v>
      </c>
      <c r="F616" s="11">
        <f>'Speed Calc'!B$5*E616</f>
        <v>973.6249008534636</v>
      </c>
      <c r="G616" s="15">
        <f>'Speed Calc'!G$3+'Speed Calc'!G$5*A616^2</f>
        <v>20</v>
      </c>
      <c r="H616" s="7">
        <f>(F616-G616)/'Speed Calc'!G$2*9.806</f>
        <v>6.9268487242733796</v>
      </c>
      <c r="I616" s="4">
        <f t="shared" si="40"/>
        <v>16.111111111111111</v>
      </c>
    </row>
    <row r="617" spans="1:9" x14ac:dyDescent="0.2">
      <c r="A617" s="11">
        <v>58.1</v>
      </c>
      <c r="B617" s="15">
        <v>3.133</v>
      </c>
      <c r="C617" s="11">
        <f t="shared" si="37"/>
        <v>7529.1754091598359</v>
      </c>
      <c r="D617" s="11">
        <f t="shared" si="38"/>
        <v>232.81358008846402</v>
      </c>
      <c r="E617" s="11">
        <f t="shared" si="39"/>
        <v>1081.9219728723801</v>
      </c>
      <c r="F617" s="11">
        <f>'Speed Calc'!B$5*E617</f>
        <v>973.72977558514219</v>
      </c>
      <c r="G617" s="15">
        <f>'Speed Calc'!G$3+'Speed Calc'!G$5*A617^2</f>
        <v>20</v>
      </c>
      <c r="H617" s="7">
        <f>(F617-G617)/'Speed Calc'!G$2*9.806</f>
        <v>6.9276105032502988</v>
      </c>
      <c r="I617" s="4">
        <f t="shared" si="40"/>
        <v>16.138888888888889</v>
      </c>
    </row>
    <row r="618" spans="1:9" x14ac:dyDescent="0.2">
      <c r="A618" s="11">
        <v>58.2</v>
      </c>
      <c r="B618" s="15">
        <v>3.133</v>
      </c>
      <c r="C618" s="11">
        <f t="shared" si="37"/>
        <v>7542.1344029793872</v>
      </c>
      <c r="D618" s="11">
        <f t="shared" si="38"/>
        <v>233.23561843013493</v>
      </c>
      <c r="E618" s="11">
        <f t="shared" si="39"/>
        <v>1082.0209102428939</v>
      </c>
      <c r="F618" s="11">
        <f>'Speed Calc'!B$5*E618</f>
        <v>973.81881921860452</v>
      </c>
      <c r="G618" s="15">
        <f>'Speed Calc'!G$3+'Speed Calc'!G$5*A618^2</f>
        <v>20</v>
      </c>
      <c r="H618" s="7">
        <f>(F618-G618)/'Speed Calc'!G$2*9.806</f>
        <v>6.9282572898204702</v>
      </c>
      <c r="I618" s="4">
        <f t="shared" si="40"/>
        <v>16.166666666666668</v>
      </c>
    </row>
    <row r="619" spans="1:9" x14ac:dyDescent="0.2">
      <c r="A619" s="11">
        <v>58.3</v>
      </c>
      <c r="B619" s="15">
        <v>3.133</v>
      </c>
      <c r="C619" s="11">
        <f t="shared" ref="C619:C682" si="41">A619/3.6/B$23/2/PI()*B$32*B$31*B619*60</f>
        <v>7555.0933967989376</v>
      </c>
      <c r="D619" s="11">
        <f t="shared" si="38"/>
        <v>233.65388258363885</v>
      </c>
      <c r="E619" s="11">
        <f t="shared" si="39"/>
        <v>1082.1020291180535</v>
      </c>
      <c r="F619" s="11">
        <f>'Speed Calc'!B$5*E619</f>
        <v>973.89182620624808</v>
      </c>
      <c r="G619" s="15">
        <f>'Speed Calc'!G$3+'Speed Calc'!G$5*A619^2</f>
        <v>20</v>
      </c>
      <c r="H619" s="7">
        <f>(F619-G619)/'Speed Calc'!G$2*9.806</f>
        <v>6.9287875909470138</v>
      </c>
      <c r="I619" s="4">
        <f t="shared" si="40"/>
        <v>16.194444444444443</v>
      </c>
    </row>
    <row r="620" spans="1:9" x14ac:dyDescent="0.2">
      <c r="A620" s="11">
        <v>58.4</v>
      </c>
      <c r="B620" s="15">
        <v>3.133</v>
      </c>
      <c r="C620" s="11">
        <f t="shared" si="41"/>
        <v>7568.0523906184899</v>
      </c>
      <c r="D620" s="11">
        <f t="shared" si="38"/>
        <v>234.06830311146732</v>
      </c>
      <c r="E620" s="11">
        <f t="shared" si="39"/>
        <v>1082.1651000016468</v>
      </c>
      <c r="F620" s="11">
        <f>'Speed Calc'!B$5*E620</f>
        <v>973.9485900014821</v>
      </c>
      <c r="G620" s="15">
        <f>'Speed Calc'!G$3+'Speed Calc'!G$5*A620^2</f>
        <v>20</v>
      </c>
      <c r="H620" s="7">
        <f>(F620-G620)/'Speed Calc'!G$2*9.806</f>
        <v>6.9291999063366907</v>
      </c>
      <c r="I620" s="4">
        <f t="shared" si="40"/>
        <v>16.222222222222221</v>
      </c>
    </row>
    <row r="621" spans="1:9" x14ac:dyDescent="0.2">
      <c r="A621" s="11">
        <v>58.5</v>
      </c>
      <c r="B621" s="15">
        <v>3.133</v>
      </c>
      <c r="C621" s="11">
        <f t="shared" si="41"/>
        <v>7581.011384438043</v>
      </c>
      <c r="D621" s="11">
        <f t="shared" si="38"/>
        <v>234.47880999561067</v>
      </c>
      <c r="E621" s="11">
        <f t="shared" si="39"/>
        <v>1082.2098922874338</v>
      </c>
      <c r="F621" s="11">
        <f>'Speed Calc'!B$5*E621</f>
        <v>973.98890305869043</v>
      </c>
      <c r="G621" s="15">
        <f>'Speed Calc'!G$3+'Speed Calc'!G$5*A621^2</f>
        <v>20</v>
      </c>
      <c r="H621" s="7">
        <f>(F621-G621)/'Speed Calc'!G$2*9.806</f>
        <v>6.9294927284396435</v>
      </c>
      <c r="I621" s="4">
        <f t="shared" si="40"/>
        <v>16.25</v>
      </c>
    </row>
    <row r="622" spans="1:9" x14ac:dyDescent="0.2">
      <c r="A622" s="11">
        <v>58.6</v>
      </c>
      <c r="B622" s="15">
        <v>3.133</v>
      </c>
      <c r="C622" s="11">
        <f t="shared" si="41"/>
        <v>7593.9703782575962</v>
      </c>
      <c r="D622" s="11">
        <f t="shared" si="38"/>
        <v>234.88533263550954</v>
      </c>
      <c r="E622" s="11">
        <f t="shared" si="39"/>
        <v>1082.2361742591738</v>
      </c>
      <c r="F622" s="11">
        <f>'Speed Calc'!B$5*E622</f>
        <v>974.01255683325644</v>
      </c>
      <c r="G622" s="15">
        <f>'Speed Calc'!G$3+'Speed Calc'!G$5*A622^2</f>
        <v>20</v>
      </c>
      <c r="H622" s="7">
        <f>(F622-G622)/'Speed Calc'!G$2*9.806</f>
        <v>6.9296645424495642</v>
      </c>
      <c r="I622" s="4">
        <f t="shared" si="40"/>
        <v>16.277777777777779</v>
      </c>
    </row>
    <row r="623" spans="1:9" x14ac:dyDescent="0.2">
      <c r="A623" s="11">
        <v>58.7</v>
      </c>
      <c r="B623" s="15">
        <v>3.133</v>
      </c>
      <c r="C623" s="11">
        <f t="shared" si="41"/>
        <v>7606.9293720771484</v>
      </c>
      <c r="D623" s="11">
        <f t="shared" si="38"/>
        <v>235.28779984599828</v>
      </c>
      <c r="E623" s="11">
        <f t="shared" si="39"/>
        <v>1082.2437130906221</v>
      </c>
      <c r="F623" s="11">
        <f>'Speed Calc'!B$5*E623</f>
        <v>974.01934178155989</v>
      </c>
      <c r="G623" s="15">
        <f>'Speed Calc'!G$3+'Speed Calc'!G$5*A623^2</f>
        <v>20</v>
      </c>
      <c r="H623" s="7">
        <f>(F623-G623)/'Speed Calc'!G$2*9.806</f>
        <v>6.9297138263036855</v>
      </c>
      <c r="I623" s="4">
        <f t="shared" si="40"/>
        <v>16.305555555555557</v>
      </c>
    </row>
    <row r="624" spans="1:9" x14ac:dyDescent="0.2">
      <c r="A624" s="11">
        <v>58.8</v>
      </c>
      <c r="B624" s="15">
        <v>3.133</v>
      </c>
      <c r="C624" s="11">
        <f t="shared" si="41"/>
        <v>7619.8883658966997</v>
      </c>
      <c r="D624" s="11">
        <f t="shared" si="38"/>
        <v>235.68613985524527</v>
      </c>
      <c r="E624" s="11">
        <f t="shared" si="39"/>
        <v>1082.232274845514</v>
      </c>
      <c r="F624" s="11">
        <f>'Speed Calc'!B$5*E624</f>
        <v>974.00904736096265</v>
      </c>
      <c r="G624" s="15">
        <f>'Speed Calc'!G$3+'Speed Calc'!G$5*A624^2</f>
        <v>20</v>
      </c>
      <c r="H624" s="7">
        <f>(F624-G624)/'Speed Calc'!G$2*9.806</f>
        <v>6.9296390506826659</v>
      </c>
      <c r="I624" s="4">
        <f t="shared" si="40"/>
        <v>16.333333333333332</v>
      </c>
    </row>
    <row r="625" spans="1:9" x14ac:dyDescent="0.2">
      <c r="A625" s="11">
        <v>58.9</v>
      </c>
      <c r="B625" s="15">
        <v>3.133</v>
      </c>
      <c r="C625" s="11">
        <f t="shared" si="41"/>
        <v>7632.8473597162529</v>
      </c>
      <c r="D625" s="11">
        <f t="shared" si="38"/>
        <v>236.08028030270265</v>
      </c>
      <c r="E625" s="11">
        <f t="shared" si="39"/>
        <v>1082.2016244775841</v>
      </c>
      <c r="F625" s="11">
        <f>'Speed Calc'!B$5*E625</f>
        <v>973.98146202982571</v>
      </c>
      <c r="G625" s="15">
        <f>'Speed Calc'!G$3+'Speed Calc'!G$5*A625^2</f>
        <v>20</v>
      </c>
      <c r="H625" s="7">
        <f>(F625-G625)/'Speed Calc'!G$2*9.806</f>
        <v>6.929438679010719</v>
      </c>
      <c r="I625" s="4">
        <f t="shared" si="40"/>
        <v>16.361111111111111</v>
      </c>
    </row>
    <row r="626" spans="1:9" x14ac:dyDescent="0.2">
      <c r="A626" s="11">
        <v>59</v>
      </c>
      <c r="B626" s="15">
        <v>3.133</v>
      </c>
      <c r="C626" s="11">
        <f t="shared" si="41"/>
        <v>7645.8063535358051</v>
      </c>
      <c r="D626" s="11">
        <f t="shared" si="38"/>
        <v>236.47014823704845</v>
      </c>
      <c r="E626" s="11">
        <f t="shared" si="39"/>
        <v>1082.1515258305608</v>
      </c>
      <c r="F626" s="11">
        <f>'Speed Calc'!B$5*E626</f>
        <v>973.93637324750478</v>
      </c>
      <c r="G626" s="15">
        <f>'Speed Calc'!G$3+'Speed Calc'!G$5*A626^2</f>
        <v>20</v>
      </c>
      <c r="H626" s="7">
        <f>(F626-G626)/'Speed Calc'!G$2*9.806</f>
        <v>6.929111167455579</v>
      </c>
      <c r="I626" s="4">
        <f t="shared" si="40"/>
        <v>16.388888888888889</v>
      </c>
    </row>
    <row r="627" spans="1:9" x14ac:dyDescent="0.2">
      <c r="A627" s="11">
        <v>59.1</v>
      </c>
      <c r="B627" s="15">
        <v>3.133</v>
      </c>
      <c r="C627" s="11">
        <f t="shared" si="41"/>
        <v>7658.7653473553564</v>
      </c>
      <c r="D627" s="11">
        <f t="shared" si="38"/>
        <v>236.85567011412979</v>
      </c>
      <c r="E627" s="11">
        <f t="shared" si="39"/>
        <v>1082.0817416381565</v>
      </c>
      <c r="F627" s="11">
        <f>'Speed Calc'!B$5*E627</f>
        <v>973.8735674743408</v>
      </c>
      <c r="G627" s="15">
        <f>'Speed Calc'!G$3+'Speed Calc'!G$5*A627^2</f>
        <v>20</v>
      </c>
      <c r="H627" s="7">
        <f>(F627-G627)/'Speed Calc'!G$2*9.806</f>
        <v>6.928654964928433</v>
      </c>
      <c r="I627" s="4">
        <f t="shared" si="40"/>
        <v>16.416666666666668</v>
      </c>
    </row>
    <row r="628" spans="1:9" x14ac:dyDescent="0.2">
      <c r="A628" s="11">
        <v>59.2</v>
      </c>
      <c r="B628" s="15">
        <v>3.133</v>
      </c>
      <c r="C628" s="11">
        <f t="shared" si="41"/>
        <v>7671.7243411749105</v>
      </c>
      <c r="D628" s="11">
        <f t="shared" si="38"/>
        <v>237.23677179490923</v>
      </c>
      <c r="E628" s="11">
        <f t="shared" si="39"/>
        <v>1081.992033524079</v>
      </c>
      <c r="F628" s="11">
        <f>'Speed Calc'!B$5*E628</f>
        <v>973.7928301716712</v>
      </c>
      <c r="G628" s="15">
        <f>'Speed Calc'!G$3+'Speed Calc'!G$5*A628^2</f>
        <v>20</v>
      </c>
      <c r="H628" s="7">
        <f>(F628-G628)/'Speed Calc'!G$2*9.806</f>
        <v>6.9280685130840052</v>
      </c>
      <c r="I628" s="4">
        <f t="shared" si="40"/>
        <v>16.444444444444446</v>
      </c>
    </row>
    <row r="629" spans="1:9" x14ac:dyDescent="0.2">
      <c r="A629" s="11">
        <v>59.3</v>
      </c>
      <c r="B629" s="15">
        <v>3.133</v>
      </c>
      <c r="C629" s="11">
        <f t="shared" si="41"/>
        <v>7684.6833349944627</v>
      </c>
      <c r="D629" s="11">
        <f t="shared" si="38"/>
        <v>237.61337854340746</v>
      </c>
      <c r="E629" s="11">
        <f t="shared" si="39"/>
        <v>1081.8821620020237</v>
      </c>
      <c r="F629" s="11">
        <f>'Speed Calc'!B$5*E629</f>
        <v>973.69394580182143</v>
      </c>
      <c r="G629" s="15">
        <f>'Speed Calc'!G$3+'Speed Calc'!G$5*A629^2</f>
        <v>20</v>
      </c>
      <c r="H629" s="7">
        <f>(F629-G629)/'Speed Calc'!G$2*9.806</f>
        <v>6.927350246320489</v>
      </c>
      <c r="I629" s="4">
        <f t="shared" si="40"/>
        <v>16.472222222222221</v>
      </c>
    </row>
    <row r="630" spans="1:9" x14ac:dyDescent="0.2">
      <c r="A630" s="11">
        <v>59.4</v>
      </c>
      <c r="B630" s="15">
        <v>3.133</v>
      </c>
      <c r="C630" s="11">
        <f t="shared" si="41"/>
        <v>7697.6423288140131</v>
      </c>
      <c r="D630" s="11">
        <f t="shared" si="38"/>
        <v>237.98541502464991</v>
      </c>
      <c r="E630" s="11">
        <f t="shared" si="39"/>
        <v>1081.7518864756814</v>
      </c>
      <c r="F630" s="11">
        <f>'Speed Calc'!B$5*E630</f>
        <v>973.57669782811331</v>
      </c>
      <c r="G630" s="15">
        <f>'Speed Calc'!G$3+'Speed Calc'!G$5*A630^2</f>
        <v>20</v>
      </c>
      <c r="H630" s="7">
        <f>(F630-G630)/'Speed Calc'!G$2*9.806</f>
        <v>6.9264985917796134</v>
      </c>
      <c r="I630" s="4">
        <f t="shared" si="40"/>
        <v>16.5</v>
      </c>
    </row>
    <row r="631" spans="1:9" x14ac:dyDescent="0.2">
      <c r="A631" s="11">
        <v>59.5</v>
      </c>
      <c r="B631" s="15">
        <v>3.133</v>
      </c>
      <c r="C631" s="11">
        <f t="shared" si="41"/>
        <v>7710.6013226335645</v>
      </c>
      <c r="D631" s="11">
        <f t="shared" si="38"/>
        <v>238.35280530260999</v>
      </c>
      <c r="E631" s="11">
        <f t="shared" si="39"/>
        <v>1081.6009652387347</v>
      </c>
      <c r="F631" s="11">
        <f>'Speed Calc'!B$5*E631</f>
        <v>973.44086871486127</v>
      </c>
      <c r="G631" s="15">
        <f>'Speed Calc'!G$3+'Speed Calc'!G$5*A631^2</f>
        <v>20</v>
      </c>
      <c r="H631" s="7">
        <f>(F631-G631)/'Speed Calc'!G$2*9.806</f>
        <v>6.9255119693466138</v>
      </c>
      <c r="I631" s="4">
        <f t="shared" si="40"/>
        <v>16.527777777777779</v>
      </c>
    </row>
    <row r="632" spans="1:9" x14ac:dyDescent="0.2">
      <c r="A632" s="11">
        <v>59.6</v>
      </c>
      <c r="B632" s="15">
        <v>3.133</v>
      </c>
      <c r="C632" s="11">
        <f t="shared" si="41"/>
        <v>7723.5603164531167</v>
      </c>
      <c r="D632" s="11">
        <f t="shared" si="38"/>
        <v>238.71547283815306</v>
      </c>
      <c r="E632" s="11">
        <f t="shared" si="39"/>
        <v>1081.4291554748547</v>
      </c>
      <c r="F632" s="11">
        <f>'Speed Calc'!B$5*E632</f>
        <v>973.28623992736925</v>
      </c>
      <c r="G632" s="15">
        <f>'Speed Calc'!G$3+'Speed Calc'!G$5*A632^2</f>
        <v>20</v>
      </c>
      <c r="H632" s="7">
        <f>(F632-G632)/'Speed Calc'!G$2*9.806</f>
        <v>6.9243887916502089</v>
      </c>
      <c r="I632" s="4">
        <f t="shared" si="40"/>
        <v>16.555555555555557</v>
      </c>
    </row>
    <row r="633" spans="1:9" x14ac:dyDescent="0.2">
      <c r="A633" s="11">
        <v>59.7</v>
      </c>
      <c r="B633" s="15">
        <v>3.133</v>
      </c>
      <c r="C633" s="11">
        <f t="shared" si="41"/>
        <v>7736.5193102726698</v>
      </c>
      <c r="D633" s="11">
        <f t="shared" si="38"/>
        <v>239.07334048698036</v>
      </c>
      <c r="E633" s="11">
        <f t="shared" si="39"/>
        <v>1081.2362132577</v>
      </c>
      <c r="F633" s="11">
        <f>'Speed Calc'!B$5*E633</f>
        <v>973.11259193193007</v>
      </c>
      <c r="G633" s="15">
        <f>'Speed Calc'!G$3+'Speed Calc'!G$5*A633^2</f>
        <v>20</v>
      </c>
      <c r="H633" s="7">
        <f>(F633-G633)/'Speed Calc'!G$2*9.806</f>
        <v>6.9231274640625964</v>
      </c>
      <c r="I633" s="4">
        <f t="shared" si="40"/>
        <v>16.583333333333332</v>
      </c>
    </row>
    <row r="634" spans="1:9" x14ac:dyDescent="0.2">
      <c r="A634" s="11">
        <v>59.8</v>
      </c>
      <c r="B634" s="15">
        <v>3.133</v>
      </c>
      <c r="C634" s="11">
        <f t="shared" si="41"/>
        <v>7749.478304092223</v>
      </c>
      <c r="D634" s="11">
        <f t="shared" si="38"/>
        <v>239.42633049757762</v>
      </c>
      <c r="E634" s="11">
        <f t="shared" si="39"/>
        <v>1081.0218935509358</v>
      </c>
      <c r="F634" s="11">
        <f>'Speed Calc'!B$5*E634</f>
        <v>972.91970419584231</v>
      </c>
      <c r="G634" s="15">
        <f>'Speed Calc'!G$3+'Speed Calc'!G$5*A634^2</f>
        <v>20</v>
      </c>
      <c r="H634" s="7">
        <f>(F634-G634)/'Speed Calc'!G$2*9.806</f>
        <v>6.9217263846995767</v>
      </c>
      <c r="I634" s="4">
        <f t="shared" si="40"/>
        <v>16.611111111111111</v>
      </c>
    </row>
    <row r="635" spans="1:9" x14ac:dyDescent="0.2">
      <c r="A635" s="11">
        <v>59.9</v>
      </c>
      <c r="B635" s="15">
        <v>3.133</v>
      </c>
      <c r="C635" s="11">
        <f t="shared" si="41"/>
        <v>7762.4372979117752</v>
      </c>
      <c r="D635" s="11">
        <f t="shared" si="38"/>
        <v>239.7743645091526</v>
      </c>
      <c r="E635" s="11">
        <f t="shared" si="39"/>
        <v>1080.7859502082003</v>
      </c>
      <c r="F635" s="11">
        <f>'Speed Calc'!B$5*E635</f>
        <v>972.70735518738036</v>
      </c>
      <c r="G635" s="15">
        <f>'Speed Calc'!G$3+'Speed Calc'!G$5*A635^2</f>
        <v>20</v>
      </c>
      <c r="H635" s="7">
        <f>(F635-G635)/'Speed Calc'!G$2*9.806</f>
        <v>6.9201839444203337</v>
      </c>
      <c r="I635" s="4">
        <f t="shared" si="40"/>
        <v>16.638888888888889</v>
      </c>
    </row>
    <row r="636" spans="1:9" x14ac:dyDescent="0.2">
      <c r="A636" s="11">
        <v>60</v>
      </c>
      <c r="B636" s="15">
        <v>3.133</v>
      </c>
      <c r="C636" s="11">
        <f t="shared" si="41"/>
        <v>7775.3962917313283</v>
      </c>
      <c r="D636" s="11">
        <f t="shared" si="38"/>
        <v>240.11736354958458</v>
      </c>
      <c r="E636" s="11">
        <f t="shared" si="39"/>
        <v>1080.5281359731305</v>
      </c>
      <c r="F636" s="11">
        <f>'Speed Calc'!B$5*E636</f>
        <v>972.47532237581743</v>
      </c>
      <c r="G636" s="15">
        <f>'Speed Calc'!G$3+'Speed Calc'!G$5*A636^2</f>
        <v>20</v>
      </c>
      <c r="H636" s="7">
        <f>(F636-G636)/'Speed Calc'!G$2*9.806</f>
        <v>6.9184985268276042</v>
      </c>
      <c r="I636" s="4">
        <f t="shared" si="40"/>
        <v>16.666666666666668</v>
      </c>
    </row>
    <row r="637" spans="1:9" x14ac:dyDescent="0.2">
      <c r="A637" s="11">
        <v>60.1</v>
      </c>
      <c r="B637" s="15">
        <v>3.133</v>
      </c>
      <c r="C637" s="11">
        <f t="shared" si="41"/>
        <v>7788.3552855508779</v>
      </c>
      <c r="D637" s="11">
        <f t="shared" si="38"/>
        <v>240.45524803336934</v>
      </c>
      <c r="E637" s="11">
        <f t="shared" si="39"/>
        <v>1080.2482024793633</v>
      </c>
      <c r="F637" s="11">
        <f>'Speed Calc'!B$5*E637</f>
        <v>972.22338223142697</v>
      </c>
      <c r="G637" s="15">
        <f>'Speed Calc'!G$3+'Speed Calc'!G$5*A637^2</f>
        <v>20</v>
      </c>
      <c r="H637" s="7">
        <f>(F637-G637)/'Speed Calc'!G$2*9.806</f>
        <v>6.9166685082676826</v>
      </c>
      <c r="I637" s="4">
        <f t="shared" si="40"/>
        <v>16.694444444444443</v>
      </c>
    </row>
    <row r="638" spans="1:9" x14ac:dyDescent="0.2">
      <c r="A638" s="11">
        <v>60.2</v>
      </c>
      <c r="B638" s="15">
        <v>3.133</v>
      </c>
      <c r="C638" s="11">
        <f t="shared" si="41"/>
        <v>7801.3142793704319</v>
      </c>
      <c r="D638" s="11">
        <f t="shared" si="38"/>
        <v>240.78793775955751</v>
      </c>
      <c r="E638" s="11">
        <f t="shared" si="39"/>
        <v>1079.9459002505071</v>
      </c>
      <c r="F638" s="11">
        <f>'Speed Calc'!B$5*E638</f>
        <v>971.95131022545638</v>
      </c>
      <c r="G638" s="15">
        <f>'Speed Calc'!G$3+'Speed Calc'!G$5*A638^2</f>
        <v>20</v>
      </c>
      <c r="H638" s="7">
        <f>(F638-G638)/'Speed Calc'!G$2*9.806</f>
        <v>6.9146922578302403</v>
      </c>
      <c r="I638" s="4">
        <f t="shared" si="40"/>
        <v>16.722222222222221</v>
      </c>
    </row>
    <row r="639" spans="1:9" x14ac:dyDescent="0.2">
      <c r="A639" s="11">
        <v>60.3</v>
      </c>
      <c r="B639" s="15">
        <v>3.133</v>
      </c>
      <c r="C639" s="11">
        <f t="shared" si="41"/>
        <v>7814.2732731899832</v>
      </c>
      <c r="D639" s="11">
        <f t="shared" si="38"/>
        <v>241.11535190970716</v>
      </c>
      <c r="E639" s="11">
        <f t="shared" si="39"/>
        <v>1079.6209787001812</v>
      </c>
      <c r="F639" s="11">
        <f>'Speed Calc'!B$5*E639</f>
        <v>971.65888083016318</v>
      </c>
      <c r="G639" s="15">
        <f>'Speed Calc'!G$3+'Speed Calc'!G$5*A639^2</f>
        <v>20</v>
      </c>
      <c r="H639" s="7">
        <f>(F639-G639)/'Speed Calc'!G$2*9.806</f>
        <v>6.9125681373485772</v>
      </c>
      <c r="I639" s="4">
        <f t="shared" si="40"/>
        <v>16.75</v>
      </c>
    </row>
    <row r="640" spans="1:9" x14ac:dyDescent="0.2">
      <c r="A640" s="11">
        <v>60.4</v>
      </c>
      <c r="B640" s="15">
        <v>3.133</v>
      </c>
      <c r="C640" s="11">
        <f t="shared" si="41"/>
        <v>7827.2322670095346</v>
      </c>
      <c r="D640" s="11">
        <f t="shared" si="38"/>
        <v>241.43740904582242</v>
      </c>
      <c r="E640" s="11">
        <f t="shared" si="39"/>
        <v>1079.2731861319876</v>
      </c>
      <c r="F640" s="11">
        <f>'Speed Calc'!B$5*E640</f>
        <v>971.34586751878885</v>
      </c>
      <c r="G640" s="15">
        <f>'Speed Calc'!G$3+'Speed Calc'!G$5*A640^2</f>
        <v>20</v>
      </c>
      <c r="H640" s="7">
        <f>(F640-G640)/'Speed Calc'!G$2*9.806</f>
        <v>6.9102945013994388</v>
      </c>
      <c r="I640" s="4">
        <f t="shared" si="40"/>
        <v>16.777777777777779</v>
      </c>
    </row>
    <row r="641" spans="1:9" x14ac:dyDescent="0.2">
      <c r="A641" s="11">
        <v>60.5</v>
      </c>
      <c r="B641" s="15">
        <v>3.133</v>
      </c>
      <c r="C641" s="11">
        <f t="shared" si="41"/>
        <v>7840.1912608290886</v>
      </c>
      <c r="D641" s="11">
        <f t="shared" si="38"/>
        <v>241.75402710829951</v>
      </c>
      <c r="E641" s="11">
        <f t="shared" si="39"/>
        <v>1078.9022697395183</v>
      </c>
      <c r="F641" s="11">
        <f>'Speed Calc'!B$5*E641</f>
        <v>971.01204276556643</v>
      </c>
      <c r="G641" s="15">
        <f>'Speed Calc'!G$3+'Speed Calc'!G$5*A641^2</f>
        <v>20</v>
      </c>
      <c r="H641" s="7">
        <f>(F641-G641)/'Speed Calc'!G$2*9.806</f>
        <v>6.9078696973030693</v>
      </c>
      <c r="I641" s="4">
        <f t="shared" si="40"/>
        <v>16.805555555555554</v>
      </c>
    </row>
    <row r="642" spans="1:9" x14ac:dyDescent="0.2">
      <c r="A642" s="11">
        <v>60.6</v>
      </c>
      <c r="B642" s="15">
        <v>3.133</v>
      </c>
      <c r="C642" s="11">
        <f t="shared" si="41"/>
        <v>7853.1502546486399</v>
      </c>
      <c r="D642" s="11">
        <f t="shared" si="38"/>
        <v>242.06512341387187</v>
      </c>
      <c r="E642" s="11">
        <f t="shared" si="39"/>
        <v>1078.5079756063597</v>
      </c>
      <c r="F642" s="11">
        <f>'Speed Calc'!B$5*E642</f>
        <v>970.65717804572375</v>
      </c>
      <c r="G642" s="15">
        <f>'Speed Calc'!G$3+'Speed Calc'!G$5*A642^2</f>
        <v>20</v>
      </c>
      <c r="H642" s="7">
        <f>(F642-G642)/'Speed Calc'!G$2*9.806</f>
        <v>6.905292065123235</v>
      </c>
      <c r="I642" s="4">
        <f t="shared" si="40"/>
        <v>16.833333333333332</v>
      </c>
    </row>
    <row r="643" spans="1:9" x14ac:dyDescent="0.2">
      <c r="A643" s="11">
        <v>60.7</v>
      </c>
      <c r="B643" s="15">
        <v>3.133</v>
      </c>
      <c r="C643" s="11">
        <f t="shared" si="41"/>
        <v>7866.1092484681913</v>
      </c>
      <c r="D643" s="11">
        <f t="shared" si="38"/>
        <v>242.3706146535531</v>
      </c>
      <c r="E643" s="11">
        <f t="shared" si="39"/>
        <v>1078.0900487060846</v>
      </c>
      <c r="F643" s="11">
        <f>'Speed Calc'!B$5*E643</f>
        <v>970.28104383547623</v>
      </c>
      <c r="G643" s="15">
        <f>'Speed Calc'!G$3+'Speed Calc'!G$5*A643^2</f>
        <v>20</v>
      </c>
      <c r="H643" s="7">
        <f>(F643-G643)/'Speed Calc'!G$2*9.806</f>
        <v>6.9025599376671698</v>
      </c>
      <c r="I643" s="4">
        <f t="shared" si="40"/>
        <v>16.861111111111111</v>
      </c>
    </row>
    <row r="644" spans="1:9" x14ac:dyDescent="0.2">
      <c r="A644" s="11">
        <v>60.8</v>
      </c>
      <c r="B644" s="15">
        <v>3.133</v>
      </c>
      <c r="C644" s="11">
        <f t="shared" si="41"/>
        <v>7879.0682422877435</v>
      </c>
      <c r="D644" s="11">
        <f t="shared" si="38"/>
        <v>242.67041689058465</v>
      </c>
      <c r="E644" s="11">
        <f t="shared" si="39"/>
        <v>1077.6482329022674</v>
      </c>
      <c r="F644" s="11">
        <f>'Speed Calc'!B$5*E644</f>
        <v>969.88340961204074</v>
      </c>
      <c r="G644" s="15">
        <f>'Speed Calc'!G$3+'Speed Calc'!G$5*A644^2</f>
        <v>20</v>
      </c>
      <c r="H644" s="7">
        <f>(F644-G644)/'Speed Calc'!G$2*9.806</f>
        <v>6.8996716404856819</v>
      </c>
      <c r="I644" s="4">
        <f t="shared" si="40"/>
        <v>16.888888888888889</v>
      </c>
    </row>
    <row r="645" spans="1:9" x14ac:dyDescent="0.2">
      <c r="A645" s="11">
        <v>60.9</v>
      </c>
      <c r="B645" s="15">
        <v>3.133</v>
      </c>
      <c r="C645" s="11">
        <f t="shared" si="41"/>
        <v>7892.0272361072948</v>
      </c>
      <c r="D645" s="11">
        <f t="shared" si="38"/>
        <v>242.96444555837613</v>
      </c>
      <c r="E645" s="11">
        <f t="shared" si="39"/>
        <v>1077.1822709484659</v>
      </c>
      <c r="F645" s="11">
        <f>'Speed Calc'!B$5*E645</f>
        <v>969.46404385361927</v>
      </c>
      <c r="G645" s="15">
        <f>'Speed Calc'!G$3+'Speed Calc'!G$5*A645^2</f>
        <v>20</v>
      </c>
      <c r="H645" s="7">
        <f>(F645-G645)/'Speed Calc'!G$2*9.806</f>
        <v>6.8966254918730296</v>
      </c>
      <c r="I645" s="4">
        <f t="shared" si="40"/>
        <v>16.916666666666664</v>
      </c>
    </row>
    <row r="646" spans="1:9" x14ac:dyDescent="0.2">
      <c r="A646" s="11">
        <v>61</v>
      </c>
      <c r="B646" s="15">
        <v>3.133</v>
      </c>
      <c r="C646" s="11">
        <f t="shared" si="41"/>
        <v>7904.986229926848</v>
      </c>
      <c r="D646" s="11">
        <f t="shared" si="38"/>
        <v>243.25261545845154</v>
      </c>
      <c r="E646" s="11">
        <f t="shared" si="39"/>
        <v>1076.6919044882279</v>
      </c>
      <c r="F646" s="11">
        <f>'Speed Calc'!B$5*E646</f>
        <v>969.02271403940517</v>
      </c>
      <c r="G646" s="15">
        <f>'Speed Calc'!G$3+'Speed Calc'!G$5*A646^2</f>
        <v>20</v>
      </c>
      <c r="H646" s="7">
        <f>(F646-G646)/'Speed Calc'!G$2*9.806</f>
        <v>6.8934198028669682</v>
      </c>
      <c r="I646" s="4">
        <f t="shared" si="40"/>
        <v>16.944444444444443</v>
      </c>
    </row>
    <row r="647" spans="1:9" x14ac:dyDescent="0.2">
      <c r="A647" s="11">
        <v>61.1</v>
      </c>
      <c r="B647" s="15">
        <v>3.133</v>
      </c>
      <c r="C647" s="11">
        <f t="shared" si="41"/>
        <v>7917.9452237464002</v>
      </c>
      <c r="D647" s="11">
        <f t="shared" si="38"/>
        <v>243.53484075839415</v>
      </c>
      <c r="E647" s="11">
        <f t="shared" si="39"/>
        <v>1076.176874055097</v>
      </c>
      <c r="F647" s="11">
        <f>'Speed Calc'!B$5*E647</f>
        <v>968.55918664958733</v>
      </c>
      <c r="G647" s="15">
        <f>'Speed Calc'!G$3+'Speed Calc'!G$5*A647^2</f>
        <v>20</v>
      </c>
      <c r="H647" s="7">
        <f>(F647-G647)/'Speed Calc'!G$2*9.806</f>
        <v>6.8900528772487792</v>
      </c>
      <c r="I647" s="4">
        <f t="shared" si="40"/>
        <v>16.972222222222221</v>
      </c>
    </row>
    <row r="648" spans="1:9" x14ac:dyDescent="0.2">
      <c r="A648" s="11">
        <v>61.2</v>
      </c>
      <c r="B648" s="15">
        <v>3.133</v>
      </c>
      <c r="C648" s="11">
        <f t="shared" si="41"/>
        <v>7930.9042175659552</v>
      </c>
      <c r="D648" s="11">
        <f t="shared" si="38"/>
        <v>243.81103498979215</v>
      </c>
      <c r="E648" s="11">
        <f t="shared" si="39"/>
        <v>1075.6369190726123</v>
      </c>
      <c r="F648" s="11">
        <f>'Speed Calc'!B$5*E648</f>
        <v>968.07322716535111</v>
      </c>
      <c r="G648" s="15">
        <f>'Speed Calc'!G$3+'Speed Calc'!G$5*A648^2</f>
        <v>20</v>
      </c>
      <c r="H648" s="7">
        <f>(F648-G648)/'Speed Calc'!G$2*9.806</f>
        <v>6.8865230115432832</v>
      </c>
      <c r="I648" s="4">
        <f t="shared" si="40"/>
        <v>17</v>
      </c>
    </row>
    <row r="649" spans="1:9" x14ac:dyDescent="0.2">
      <c r="A649" s="11">
        <v>61.3</v>
      </c>
      <c r="B649" s="15">
        <v>3.133</v>
      </c>
      <c r="C649" s="11">
        <f t="shared" si="41"/>
        <v>7943.8632113855037</v>
      </c>
      <c r="D649" s="11">
        <f t="shared" si="38"/>
        <v>244.08111104617555</v>
      </c>
      <c r="E649" s="11">
        <f t="shared" si="39"/>
        <v>1075.071777854281</v>
      </c>
      <c r="F649" s="11">
        <f>'Speed Calc'!B$5*E649</f>
        <v>967.56460006885288</v>
      </c>
      <c r="G649" s="15">
        <f>'Speed Calc'!G$3+'Speed Calc'!G$5*A649^2</f>
        <v>20</v>
      </c>
      <c r="H649" s="7">
        <f>(F649-G649)/'Speed Calc'!G$2*9.806</f>
        <v>6.8828284950186447</v>
      </c>
      <c r="I649" s="4">
        <f t="shared" si="40"/>
        <v>17.027777777777775</v>
      </c>
    </row>
    <row r="650" spans="1:9" x14ac:dyDescent="0.2">
      <c r="A650" s="11">
        <v>61.4</v>
      </c>
      <c r="B650" s="15">
        <v>3.133</v>
      </c>
      <c r="C650" s="11">
        <f t="shared" si="41"/>
        <v>7956.8222052050569</v>
      </c>
      <c r="D650" s="11">
        <f t="shared" si="38"/>
        <v>244.34498118097605</v>
      </c>
      <c r="E650" s="11">
        <f t="shared" si="39"/>
        <v>1074.4811876036406</v>
      </c>
      <c r="F650" s="11">
        <f>'Speed Calc'!B$5*E650</f>
        <v>967.03306884327651</v>
      </c>
      <c r="G650" s="15">
        <f>'Speed Calc'!G$3+'Speed Calc'!G$5*A650^2</f>
        <v>20</v>
      </c>
      <c r="H650" s="7">
        <f>(F650-G650)/'Speed Calc'!G$2*9.806</f>
        <v>6.8789676096867911</v>
      </c>
      <c r="I650" s="4">
        <f t="shared" si="40"/>
        <v>17.055555555555554</v>
      </c>
    </row>
    <row r="651" spans="1:9" x14ac:dyDescent="0.2">
      <c r="A651" s="11">
        <v>61.5</v>
      </c>
      <c r="B651" s="15">
        <v>3.133</v>
      </c>
      <c r="C651" s="11">
        <f t="shared" si="41"/>
        <v>7969.7811990246082</v>
      </c>
      <c r="D651" s="11">
        <f t="shared" si="38"/>
        <v>244.60255700545304</v>
      </c>
      <c r="E651" s="11">
        <f t="shared" si="39"/>
        <v>1073.8648844141842</v>
      </c>
      <c r="F651" s="11">
        <f>'Speed Calc'!B$5*E651</f>
        <v>966.47839597276584</v>
      </c>
      <c r="G651" s="15">
        <f>'Speed Calc'!G$3+'Speed Calc'!G$5*A651^2</f>
        <v>20</v>
      </c>
      <c r="H651" s="7">
        <f>(F651-G651)/'Speed Calc'!G$2*9.806</f>
        <v>6.8749386303029194</v>
      </c>
      <c r="I651" s="4">
        <f t="shared" si="40"/>
        <v>17.083333333333332</v>
      </c>
    </row>
    <row r="652" spans="1:9" x14ac:dyDescent="0.2">
      <c r="A652" s="11">
        <v>61.6</v>
      </c>
      <c r="B652" s="15">
        <v>3.133</v>
      </c>
      <c r="C652" s="11">
        <f t="shared" si="41"/>
        <v>7982.7401928441632</v>
      </c>
      <c r="D652" s="11">
        <f t="shared" si="38"/>
        <v>244.8537494866523</v>
      </c>
      <c r="E652" s="11">
        <f t="shared" si="39"/>
        <v>1073.2226032694173</v>
      </c>
      <c r="F652" s="11">
        <f>'Speed Calc'!B$5*E652</f>
        <v>965.90034294247562</v>
      </c>
      <c r="G652" s="15">
        <f>'Speed Calc'!G$3+'Speed Calc'!G$5*A652^2</f>
        <v>20</v>
      </c>
      <c r="H652" s="7">
        <f>(F652-G652)/'Speed Calc'!G$2*9.806</f>
        <v>6.8707398243658631</v>
      </c>
      <c r="I652" s="4">
        <f t="shared" si="40"/>
        <v>17.111111111111111</v>
      </c>
    </row>
    <row r="653" spans="1:9" x14ac:dyDescent="0.2">
      <c r="A653" s="11">
        <v>61.7</v>
      </c>
      <c r="B653" s="15">
        <v>3.133</v>
      </c>
      <c r="C653" s="11">
        <f t="shared" si="41"/>
        <v>7995.6991866637154</v>
      </c>
      <c r="D653" s="11">
        <f t="shared" si="38"/>
        <v>245.098468945343</v>
      </c>
      <c r="E653" s="11">
        <f t="shared" si="39"/>
        <v>1072.5540780428298</v>
      </c>
      <c r="F653" s="11">
        <f>'Speed Calc'!B$5*E653</f>
        <v>965.29867023854683</v>
      </c>
      <c r="G653" s="15">
        <f>'Speed Calc'!G$3+'Speed Calc'!G$5*A653^2</f>
        <v>20</v>
      </c>
      <c r="H653" s="7">
        <f>(F653-G653)/'Speed Calc'!G$2*9.806</f>
        <v>6.8663694521179179</v>
      </c>
      <c r="I653" s="4">
        <f t="shared" si="40"/>
        <v>17.138888888888889</v>
      </c>
    </row>
    <row r="654" spans="1:9" x14ac:dyDescent="0.2">
      <c r="A654" s="11">
        <v>61.8</v>
      </c>
      <c r="B654" s="15">
        <v>3.133</v>
      </c>
      <c r="C654" s="11">
        <f t="shared" si="41"/>
        <v>8008.6581804832649</v>
      </c>
      <c r="D654" s="11">
        <f t="shared" si="38"/>
        <v>245.33662505396242</v>
      </c>
      <c r="E654" s="11">
        <f t="shared" si="39"/>
        <v>1071.8590414978944</v>
      </c>
      <c r="F654" s="11">
        <f>'Speed Calc'!B$5*E654</f>
        <v>964.673137348105</v>
      </c>
      <c r="G654" s="15">
        <f>'Speed Calc'!G$3+'Speed Calc'!G$5*A654^2</f>
        <v>20</v>
      </c>
      <c r="H654" s="7">
        <f>(F654-G654)/'Speed Calc'!G$2*9.806</f>
        <v>6.8618257665448272</v>
      </c>
      <c r="I654" s="4">
        <f t="shared" si="40"/>
        <v>17.166666666666664</v>
      </c>
    </row>
    <row r="655" spans="1:9" x14ac:dyDescent="0.2">
      <c r="A655" s="11">
        <v>61.9</v>
      </c>
      <c r="B655" s="15">
        <v>3.133</v>
      </c>
      <c r="C655" s="11">
        <f t="shared" si="41"/>
        <v>8021.6171743028171</v>
      </c>
      <c r="D655" s="11">
        <f t="shared" si="38"/>
        <v>245.5681268345669</v>
      </c>
      <c r="E655" s="11">
        <f t="shared" si="39"/>
        <v>1071.1372252880949</v>
      </c>
      <c r="F655" s="11">
        <f>'Speed Calc'!B$5*E655</f>
        <v>964.02350275928541</v>
      </c>
      <c r="G655" s="15">
        <f>'Speed Calc'!G$3+'Speed Calc'!G$5*A655^2</f>
        <v>20</v>
      </c>
      <c r="H655" s="7">
        <f>(F655-G655)/'Speed Calc'!G$2*9.806</f>
        <v>6.8571070133759644</v>
      </c>
      <c r="I655" s="4">
        <f t="shared" si="40"/>
        <v>17.194444444444443</v>
      </c>
    </row>
    <row r="656" spans="1:9" x14ac:dyDescent="0.2">
      <c r="A656" s="11">
        <v>62</v>
      </c>
      <c r="B656" s="15">
        <v>3.133</v>
      </c>
      <c r="C656" s="11">
        <f t="shared" si="41"/>
        <v>8034.5761681223703</v>
      </c>
      <c r="D656" s="11">
        <f t="shared" si="38"/>
        <v>245.79288265676664</v>
      </c>
      <c r="E656" s="11">
        <f t="shared" si="39"/>
        <v>1070.3883599568871</v>
      </c>
      <c r="F656" s="11">
        <f>'Speed Calc'!B$5*E656</f>
        <v>963.34952396119843</v>
      </c>
      <c r="G656" s="15">
        <f>'Speed Calc'!G$3+'Speed Calc'!G$5*A656^2</f>
        <v>20</v>
      </c>
      <c r="H656" s="7">
        <f>(F656-G656)/'Speed Calc'!G$2*9.806</f>
        <v>6.8522114310840818</v>
      </c>
      <c r="I656" s="4">
        <f t="shared" si="40"/>
        <v>17.222222222222221</v>
      </c>
    </row>
    <row r="657" spans="1:9" x14ac:dyDescent="0.2">
      <c r="A657" s="11">
        <v>62.1</v>
      </c>
      <c r="B657" s="15">
        <v>3.133</v>
      </c>
      <c r="C657" s="11">
        <f t="shared" si="41"/>
        <v>8047.5351619419253</v>
      </c>
      <c r="D657" s="11">
        <f t="shared" si="38"/>
        <v>246.01080023567769</v>
      </c>
      <c r="E657" s="11">
        <f t="shared" si="39"/>
        <v>1069.6121749377287</v>
      </c>
      <c r="F657" s="11">
        <f>'Speed Calc'!B$5*E657</f>
        <v>962.6509574439558</v>
      </c>
      <c r="G657" s="15">
        <f>'Speed Calc'!G$3+'Speed Calc'!G$5*A657^2</f>
        <v>20</v>
      </c>
      <c r="H657" s="7">
        <f>(F657-G657)/'Speed Calc'!G$2*9.806</f>
        <v>6.8471372508855035</v>
      </c>
      <c r="I657" s="4">
        <f t="shared" si="40"/>
        <v>17.25</v>
      </c>
    </row>
    <row r="658" spans="1:9" x14ac:dyDescent="0.2">
      <c r="A658" s="11">
        <v>62.2</v>
      </c>
      <c r="B658" s="15">
        <v>3.133</v>
      </c>
      <c r="C658" s="11">
        <f t="shared" si="41"/>
        <v>8060.4941557614766</v>
      </c>
      <c r="D658" s="11">
        <f t="shared" si="38"/>
        <v>246.22178662986204</v>
      </c>
      <c r="E658" s="11">
        <f t="shared" si="39"/>
        <v>1068.8083985540634</v>
      </c>
      <c r="F658" s="11">
        <f>'Speed Calc'!B$5*E658</f>
        <v>961.92755869865709</v>
      </c>
      <c r="G658" s="15">
        <f>'Speed Calc'!G$3+'Speed Calc'!G$5*A658^2</f>
        <v>20</v>
      </c>
      <c r="H658" s="7">
        <f>(F658-G658)/'Speed Calc'!G$2*9.806</f>
        <v>6.8418826967400221</v>
      </c>
      <c r="I658" s="4">
        <f t="shared" si="40"/>
        <v>17.277777777777779</v>
      </c>
    </row>
    <row r="659" spans="1:9" x14ac:dyDescent="0.2">
      <c r="A659" s="11">
        <v>62.3</v>
      </c>
      <c r="B659" s="15">
        <v>3.133</v>
      </c>
      <c r="C659" s="11">
        <f t="shared" si="41"/>
        <v>8073.453149581027</v>
      </c>
      <c r="D659" s="11">
        <f t="shared" si="38"/>
        <v>246.42574823927703</v>
      </c>
      <c r="E659" s="11">
        <f t="shared" si="39"/>
        <v>1067.9767580193386</v>
      </c>
      <c r="F659" s="11">
        <f>'Speed Calc'!B$5*E659</f>
        <v>961.17908221740481</v>
      </c>
      <c r="G659" s="15">
        <f>'Speed Calc'!G$3+'Speed Calc'!G$5*A659^2</f>
        <v>20</v>
      </c>
      <c r="H659" s="7">
        <f>(F659-G659)/'Speed Calc'!G$2*9.806</f>
        <v>6.8364459853510153</v>
      </c>
      <c r="I659" s="4">
        <f t="shared" si="40"/>
        <v>17.305555555555554</v>
      </c>
    </row>
    <row r="660" spans="1:9" x14ac:dyDescent="0.2">
      <c r="A660" s="11">
        <v>62.4</v>
      </c>
      <c r="B660" s="15">
        <v>3.133</v>
      </c>
      <c r="C660" s="11">
        <f t="shared" si="41"/>
        <v>8086.4121434005783</v>
      </c>
      <c r="D660" s="11">
        <f t="shared" si="38"/>
        <v>246.62259080321218</v>
      </c>
      <c r="E660" s="11">
        <f t="shared" si="39"/>
        <v>1067.116979436976</v>
      </c>
      <c r="F660" s="11">
        <f>'Speed Calc'!B$5*E660</f>
        <v>960.40528149327838</v>
      </c>
      <c r="G660" s="15">
        <f>'Speed Calc'!G$3+'Speed Calc'!G$5*A660^2</f>
        <v>20</v>
      </c>
      <c r="H660" s="7">
        <f>(F660-G660)/'Speed Calc'!G$2*9.806</f>
        <v>6.8308253261652494</v>
      </c>
      <c r="I660" s="4">
        <f t="shared" si="40"/>
        <v>17.333333333333332</v>
      </c>
    </row>
    <row r="661" spans="1:9" x14ac:dyDescent="0.2">
      <c r="A661" s="11">
        <v>62.5</v>
      </c>
      <c r="B661" s="15">
        <v>3.133</v>
      </c>
      <c r="C661" s="11">
        <f t="shared" si="41"/>
        <v>8099.3711372201315</v>
      </c>
      <c r="D661" s="11">
        <f t="shared" si="38"/>
        <v>246.8122193982403</v>
      </c>
      <c r="E661" s="11">
        <f t="shared" si="39"/>
        <v>1066.2287878003981</v>
      </c>
      <c r="F661" s="11">
        <f>'Speed Calc'!B$5*E661</f>
        <v>959.60590902035835</v>
      </c>
      <c r="G661" s="15">
        <f>'Speed Calc'!G$3+'Speed Calc'!G$5*A661^2</f>
        <v>20</v>
      </c>
      <c r="H661" s="7">
        <f>(F661-G661)/'Speed Calc'!G$2*9.806</f>
        <v>6.8250189213730614</v>
      </c>
      <c r="I661" s="4">
        <f t="shared" si="40"/>
        <v>17.361111111111111</v>
      </c>
    </row>
    <row r="662" spans="1:9" x14ac:dyDescent="0.2">
      <c r="A662" s="11">
        <v>62.6</v>
      </c>
      <c r="B662" s="15">
        <v>3.133</v>
      </c>
      <c r="C662" s="11">
        <f t="shared" si="41"/>
        <v>8112.3301310396837</v>
      </c>
      <c r="D662" s="11">
        <f t="shared" si="38"/>
        <v>246.99453843615822</v>
      </c>
      <c r="E662" s="11">
        <f t="shared" si="39"/>
        <v>1065.3119069930149</v>
      </c>
      <c r="F662" s="11">
        <f>'Speed Calc'!B$5*E662</f>
        <v>958.78071629371345</v>
      </c>
      <c r="G662" s="15">
        <f>'Speed Calc'!G$3+'Speed Calc'!G$5*A662^2</f>
        <v>20</v>
      </c>
      <c r="H662" s="7">
        <f>(F662-G662)/'Speed Calc'!G$2*9.806</f>
        <v>6.8190249659082616</v>
      </c>
      <c r="I662" s="4">
        <f t="shared" si="40"/>
        <v>17.388888888888889</v>
      </c>
    </row>
    <row r="663" spans="1:9" x14ac:dyDescent="0.2">
      <c r="A663" s="11">
        <v>62.7</v>
      </c>
      <c r="B663" s="15">
        <v>3.133</v>
      </c>
      <c r="C663" s="11">
        <f t="shared" si="41"/>
        <v>8125.2891248592368</v>
      </c>
      <c r="D663" s="11">
        <f t="shared" si="38"/>
        <v>247.16945166193284</v>
      </c>
      <c r="E663" s="11">
        <f t="shared" si="39"/>
        <v>1064.3660597882274</v>
      </c>
      <c r="F663" s="11">
        <f>'Speed Calc'!B$5*E663</f>
        <v>957.92945380940466</v>
      </c>
      <c r="G663" s="15">
        <f>'Speed Calc'!G$3+'Speed Calc'!G$5*A663^2</f>
        <v>20</v>
      </c>
      <c r="H663" s="7">
        <f>(F663-G663)/'Speed Calc'!G$2*9.806</f>
        <v>6.8128416474481641</v>
      </c>
      <c r="I663" s="4">
        <f t="shared" si="40"/>
        <v>17.416666666666668</v>
      </c>
    </row>
    <row r="664" spans="1:9" x14ac:dyDescent="0.2">
      <c r="A664" s="11">
        <v>62.8</v>
      </c>
      <c r="B664" s="15">
        <v>3.133</v>
      </c>
      <c r="C664" s="11">
        <f t="shared" si="41"/>
        <v>8138.2481186787863</v>
      </c>
      <c r="D664" s="11">
        <f t="shared" si="38"/>
        <v>247.33686215164681</v>
      </c>
      <c r="E664" s="11">
        <f t="shared" si="39"/>
        <v>1063.3909678494374</v>
      </c>
      <c r="F664" s="11">
        <f>'Speed Calc'!B$5*E664</f>
        <v>957.05187106449364</v>
      </c>
      <c r="G664" s="15">
        <f>'Speed Calc'!G$3+'Speed Calc'!G$5*A664^2</f>
        <v>20</v>
      </c>
      <c r="H664" s="7">
        <f>(F664-G664)/'Speed Calc'!G$2*9.806</f>
        <v>6.8064671464136479</v>
      </c>
      <c r="I664" s="4">
        <f t="shared" si="40"/>
        <v>17.444444444444443</v>
      </c>
    </row>
    <row r="665" spans="1:9" x14ac:dyDescent="0.2">
      <c r="A665" s="11">
        <v>62.9</v>
      </c>
      <c r="B665" s="15">
        <v>3.133</v>
      </c>
      <c r="C665" s="11">
        <f t="shared" si="41"/>
        <v>8151.2071124983404</v>
      </c>
      <c r="D665" s="11">
        <f t="shared" si="38"/>
        <v>247.49667231043989</v>
      </c>
      <c r="E665" s="11">
        <f t="shared" si="39"/>
        <v>1062.3863517300283</v>
      </c>
      <c r="F665" s="11">
        <f>'Speed Calc'!B$5*E665</f>
        <v>956.14771655702555</v>
      </c>
      <c r="G665" s="15">
        <f>'Speed Calc'!G$3+'Speed Calc'!G$5*A665^2</f>
        <v>20</v>
      </c>
      <c r="H665" s="7">
        <f>(F665-G665)/'Speed Calc'!G$2*9.806</f>
        <v>6.7998996359690302</v>
      </c>
      <c r="I665" s="4">
        <f t="shared" si="40"/>
        <v>17.472222222222221</v>
      </c>
    </row>
    <row r="666" spans="1:9" x14ac:dyDescent="0.2">
      <c r="A666" s="11">
        <v>63</v>
      </c>
      <c r="B666" s="15">
        <v>3.133</v>
      </c>
      <c r="C666" s="11">
        <f t="shared" si="41"/>
        <v>8164.1661063178935</v>
      </c>
      <c r="D666" s="11">
        <f t="shared" si="38"/>
        <v>247.64878387045405</v>
      </c>
      <c r="E666" s="11">
        <f t="shared" si="39"/>
        <v>1061.3519308733746</v>
      </c>
      <c r="F666" s="11">
        <f>'Speed Calc'!B$5*E666</f>
        <v>955.21673778603713</v>
      </c>
      <c r="G666" s="15">
        <f>'Speed Calc'!G$3+'Speed Calc'!G$5*A666^2</f>
        <v>20</v>
      </c>
      <c r="H666" s="7">
        <f>(F666-G666)/'Speed Calc'!G$2*9.806</f>
        <v>6.7931372820221325</v>
      </c>
      <c r="I666" s="4">
        <f t="shared" si="40"/>
        <v>17.5</v>
      </c>
    </row>
    <row r="667" spans="1:9" x14ac:dyDescent="0.2">
      <c r="A667" s="11">
        <v>63.1</v>
      </c>
      <c r="B667" s="15">
        <v>3.133</v>
      </c>
      <c r="C667" s="11">
        <f t="shared" si="41"/>
        <v>8177.1251001374449</v>
      </c>
      <c r="D667" s="11">
        <f t="shared" si="38"/>
        <v>247.79309788877933</v>
      </c>
      <c r="E667" s="11">
        <f t="shared" si="39"/>
        <v>1060.2874236128437</v>
      </c>
      <c r="F667" s="11">
        <f>'Speed Calc'!B$5*E667</f>
        <v>954.25868125155932</v>
      </c>
      <c r="G667" s="15">
        <f>'Speed Calc'!G$3+'Speed Calc'!G$5*A667^2</f>
        <v>20</v>
      </c>
      <c r="H667" s="7">
        <f>(F667-G667)/'Speed Calc'!G$2*9.806</f>
        <v>6.7861782432242892</v>
      </c>
      <c r="I667" s="4">
        <f t="shared" si="40"/>
        <v>17.527777777777779</v>
      </c>
    </row>
    <row r="668" spans="1:9" x14ac:dyDescent="0.2">
      <c r="A668" s="11">
        <v>63.2</v>
      </c>
      <c r="B668" s="15">
        <v>3.133</v>
      </c>
      <c r="C668" s="11">
        <f t="shared" si="41"/>
        <v>8190.0840939569971</v>
      </c>
      <c r="D668" s="11">
        <f t="shared" si="38"/>
        <v>247.92951474539967</v>
      </c>
      <c r="E668" s="11">
        <f t="shared" si="39"/>
        <v>1059.1925471718025</v>
      </c>
      <c r="F668" s="11">
        <f>'Speed Calc'!B$5*E668</f>
        <v>953.27329245462226</v>
      </c>
      <c r="G668" s="15">
        <f>'Speed Calc'!G$3+'Speed Calc'!G$5*A668^2</f>
        <v>20</v>
      </c>
      <c r="H668" s="7">
        <f>(F668-G668)/'Speed Calc'!G$2*9.806</f>
        <v>6.7790206709703886</v>
      </c>
      <c r="I668" s="4">
        <f t="shared" si="40"/>
        <v>17.555555555555557</v>
      </c>
    </row>
    <row r="669" spans="1:9" x14ac:dyDescent="0.2">
      <c r="A669" s="11">
        <v>63.3</v>
      </c>
      <c r="B669" s="15">
        <v>3.133</v>
      </c>
      <c r="C669" s="11">
        <f t="shared" si="41"/>
        <v>8203.0430877765502</v>
      </c>
      <c r="D669" s="11">
        <f t="shared" si="38"/>
        <v>248.05793414113046</v>
      </c>
      <c r="E669" s="11">
        <f t="shared" si="39"/>
        <v>1058.0670176635897</v>
      </c>
      <c r="F669" s="11">
        <f>'Speed Calc'!B$5*E669</f>
        <v>952.26031589723073</v>
      </c>
      <c r="G669" s="15">
        <f>'Speed Calc'!G$3+'Speed Calc'!G$5*A669^2</f>
        <v>20</v>
      </c>
      <c r="H669" s="7">
        <f>(F669-G669)/'Speed Calc'!G$2*9.806</f>
        <v>6.771662709398699</v>
      </c>
      <c r="I669" s="4">
        <f t="shared" si="40"/>
        <v>17.583333333333332</v>
      </c>
    </row>
    <row r="670" spans="1:9" x14ac:dyDescent="0.2">
      <c r="A670" s="11">
        <v>63.4</v>
      </c>
      <c r="B670" s="15">
        <v>3.133</v>
      </c>
      <c r="C670" s="11">
        <f t="shared" si="41"/>
        <v>8216.0020815961016</v>
      </c>
      <c r="D670" s="11">
        <f t="shared" si="38"/>
        <v>248.17825509557281</v>
      </c>
      <c r="E670" s="11">
        <f t="shared" si="39"/>
        <v>1056.9105500915564</v>
      </c>
      <c r="F670" s="11">
        <f>'Speed Calc'!B$5*E670</f>
        <v>951.21949508240073</v>
      </c>
      <c r="G670" s="15">
        <f>'Speed Calc'!G$3+'Speed Calc'!G$5*A670^2</f>
        <v>20</v>
      </c>
      <c r="H670" s="7">
        <f>(F670-G670)/'Speed Calc'!G$2*9.806</f>
        <v>6.7641024953911266</v>
      </c>
      <c r="I670" s="4">
        <f t="shared" si="40"/>
        <v>17.611111111111111</v>
      </c>
    </row>
    <row r="671" spans="1:9" x14ac:dyDescent="0.2">
      <c r="A671" s="11">
        <v>63.5</v>
      </c>
      <c r="B671" s="15">
        <v>3.133</v>
      </c>
      <c r="C671" s="11">
        <f t="shared" si="41"/>
        <v>8228.9610754156529</v>
      </c>
      <c r="D671" s="11">
        <f t="shared" si="38"/>
        <v>248.2903759450524</v>
      </c>
      <c r="E671" s="11">
        <f t="shared" si="39"/>
        <v>1055.7228583490421</v>
      </c>
      <c r="F671" s="11">
        <f>'Speed Calc'!B$5*E671</f>
        <v>950.15057251413793</v>
      </c>
      <c r="G671" s="15">
        <f>'Speed Calc'!G$3+'Speed Calc'!G$5*A671^2</f>
        <v>20</v>
      </c>
      <c r="H671" s="7">
        <f>(F671-G671)/'Speed Calc'!G$2*9.806</f>
        <v>6.7563381585730635</v>
      </c>
      <c r="I671" s="4">
        <f t="shared" si="40"/>
        <v>17.638888888888889</v>
      </c>
    </row>
    <row r="672" spans="1:9" x14ac:dyDescent="0.2">
      <c r="A672" s="11">
        <v>63.6</v>
      </c>
      <c r="B672" s="15">
        <v>3.133</v>
      </c>
      <c r="C672" s="11">
        <f t="shared" si="41"/>
        <v>8241.920069235206</v>
      </c>
      <c r="D672" s="11">
        <f t="shared" si="38"/>
        <v>248.39419434056123</v>
      </c>
      <c r="E672" s="11">
        <f t="shared" si="39"/>
        <v>1054.5036552193637</v>
      </c>
      <c r="F672" s="11">
        <f>'Speed Calc'!B$5*E672</f>
        <v>949.05328969742743</v>
      </c>
      <c r="G672" s="15">
        <f>'Speed Calc'!G$3+'Speed Calc'!G$5*A672^2</f>
        <v>20</v>
      </c>
      <c r="H672" s="7">
        <f>(F672-G672)/'Speed Calc'!G$2*9.806</f>
        <v>6.7483678213133125</v>
      </c>
      <c r="I672" s="4">
        <f t="shared" si="40"/>
        <v>17.666666666666668</v>
      </c>
    </row>
    <row r="673" spans="1:9" x14ac:dyDescent="0.2">
      <c r="A673" s="11">
        <v>63.7</v>
      </c>
      <c r="B673" s="15">
        <v>3.133</v>
      </c>
      <c r="C673" s="11">
        <f t="shared" si="41"/>
        <v>8254.8790630547592</v>
      </c>
      <c r="D673" s="11">
        <f t="shared" si="38"/>
        <v>248.48960724570679</v>
      </c>
      <c r="E673" s="11">
        <f t="shared" si="39"/>
        <v>1053.252652375837</v>
      </c>
      <c r="F673" s="11">
        <f>'Speed Calc'!B$5*E673</f>
        <v>947.92738713825327</v>
      </c>
      <c r="G673" s="15">
        <f>'Speed Calc'!G$3+'Speed Calc'!G$5*A673^2</f>
        <v>20</v>
      </c>
      <c r="H673" s="7">
        <f>(F673-G673)/'Speed Calc'!G$2*9.806</f>
        <v>6.7401895987242302</v>
      </c>
      <c r="I673" s="4">
        <f t="shared" si="40"/>
        <v>17.694444444444446</v>
      </c>
    </row>
    <row r="674" spans="1:9" x14ac:dyDescent="0.2">
      <c r="A674" s="11">
        <v>63.8</v>
      </c>
      <c r="B674" s="15">
        <v>3.133</v>
      </c>
      <c r="C674" s="11">
        <f t="shared" si="41"/>
        <v>8267.8380568743105</v>
      </c>
      <c r="D674" s="11">
        <f t="shared" si="38"/>
        <v>248.57651093465617</v>
      </c>
      <c r="E674" s="11">
        <f t="shared" si="39"/>
        <v>1051.9695603817738</v>
      </c>
      <c r="F674" s="11">
        <f>'Speed Calc'!B$5*E674</f>
        <v>946.77260434359641</v>
      </c>
      <c r="G674" s="15">
        <f>'Speed Calc'!G$3+'Speed Calc'!G$5*A674^2</f>
        <v>20</v>
      </c>
      <c r="H674" s="7">
        <f>(F674-G674)/'Speed Calc'!G$2*9.806</f>
        <v>6.7318015986617077</v>
      </c>
      <c r="I674" s="4">
        <f t="shared" si="40"/>
        <v>17.722222222222221</v>
      </c>
    </row>
    <row r="675" spans="1:9" x14ac:dyDescent="0.2">
      <c r="A675" s="11">
        <v>63.9</v>
      </c>
      <c r="B675" s="15">
        <v>3.133</v>
      </c>
      <c r="C675" s="11">
        <f t="shared" si="41"/>
        <v>8280.7970506938636</v>
      </c>
      <c r="D675" s="11">
        <f t="shared" si="38"/>
        <v>248.65480099007704</v>
      </c>
      <c r="E675" s="11">
        <f t="shared" si="39"/>
        <v>1050.6540886904663</v>
      </c>
      <c r="F675" s="11">
        <f>'Speed Calc'!B$5*E675</f>
        <v>945.58867982141976</v>
      </c>
      <c r="G675" s="15">
        <f>'Speed Calc'!G$3+'Speed Calc'!G$5*A675^2</f>
        <v>20</v>
      </c>
      <c r="H675" s="7">
        <f>(F675-G675)/'Speed Calc'!G$2*9.806</f>
        <v>6.7232019217250674</v>
      </c>
      <c r="I675" s="4">
        <f t="shared" si="40"/>
        <v>17.75</v>
      </c>
    </row>
    <row r="676" spans="1:9" x14ac:dyDescent="0.2">
      <c r="A676" s="11">
        <v>64</v>
      </c>
      <c r="B676" s="15">
        <v>3.133</v>
      </c>
      <c r="C676" s="11">
        <f t="shared" si="41"/>
        <v>8293.7560445134168</v>
      </c>
      <c r="D676" s="11">
        <f t="shared" si="38"/>
        <v>248.72437230108739</v>
      </c>
      <c r="E676" s="11">
        <f t="shared" si="39"/>
        <v>1049.3059456452122</v>
      </c>
      <c r="F676" s="11">
        <f>'Speed Calc'!B$5*E676</f>
        <v>944.37535108069096</v>
      </c>
      <c r="G676" s="15">
        <f>'Speed Calc'!G$3+'Speed Calc'!G$5*A676^2</f>
        <v>20</v>
      </c>
      <c r="H676" s="7">
        <f>(F676-G676)/'Speed Calc'!G$2*9.806</f>
        <v>6.7143886612572254</v>
      </c>
      <c r="I676" s="4">
        <f t="shared" si="40"/>
        <v>17.777777777777779</v>
      </c>
    </row>
    <row r="677" spans="1:9" x14ac:dyDescent="0.2">
      <c r="A677" s="11">
        <v>64.099999999999994</v>
      </c>
      <c r="B677" s="15">
        <v>3.133</v>
      </c>
      <c r="C677" s="11">
        <f t="shared" si="41"/>
        <v>8306.7150383329645</v>
      </c>
      <c r="D677" s="11">
        <f t="shared" ref="D677:D740" si="42">-4.687*10^(-17)*C677^5+9.129*10^(-13)*C677^4-6.175*10^(-9)*C677^3+1.799*10^(-5)*C677^2+6.502*10^(-3)*C677</f>
        <v>248.78511906119556</v>
      </c>
      <c r="E677" s="11">
        <f t="shared" si="39"/>
        <v>1047.9248384792954</v>
      </c>
      <c r="F677" s="11">
        <f>'Speed Calc'!B$5*E677</f>
        <v>943.13235463136596</v>
      </c>
      <c r="G677" s="15">
        <f>'Speed Calc'!G$3+'Speed Calc'!G$5*A677^2</f>
        <v>20</v>
      </c>
      <c r="H677" s="7">
        <f>(F677-G677)/'Speed Calc'!G$2*9.806</f>
        <v>6.705359903344573</v>
      </c>
      <c r="I677" s="4">
        <f t="shared" si="40"/>
        <v>17.805555555555554</v>
      </c>
    </row>
    <row r="678" spans="1:9" x14ac:dyDescent="0.2">
      <c r="A678" s="11">
        <v>64.2</v>
      </c>
      <c r="B678" s="15">
        <v>3.133</v>
      </c>
      <c r="C678" s="11">
        <f t="shared" si="41"/>
        <v>8319.6740321525194</v>
      </c>
      <c r="D678" s="11">
        <f t="shared" si="42"/>
        <v>248.83693476624384</v>
      </c>
      <c r="E678" s="11">
        <f t="shared" ref="E678:E741" si="43">D678*75*B678*B$31*B$32/B$23/C678/2/PI()*60</f>
        <v>1046.5104733159787</v>
      </c>
      <c r="F678" s="11">
        <f>'Speed Calc'!B$5*E678</f>
        <v>941.85942598438089</v>
      </c>
      <c r="G678" s="15">
        <f>'Speed Calc'!G$3+'Speed Calc'!G$5*A678^2</f>
        <v>20</v>
      </c>
      <c r="H678" s="7">
        <f>(F678-G678)/'Speed Calc'!G$2*9.806</f>
        <v>6.6961137268169173</v>
      </c>
      <c r="I678" s="4">
        <f t="shared" ref="I678:I741" si="44">A678/3.6</f>
        <v>17.833333333333332</v>
      </c>
    </row>
    <row r="679" spans="1:9" x14ac:dyDescent="0.2">
      <c r="A679" s="11">
        <v>64.3</v>
      </c>
      <c r="B679" s="15">
        <v>3.133</v>
      </c>
      <c r="C679" s="11">
        <f t="shared" si="41"/>
        <v>8332.6330259720726</v>
      </c>
      <c r="D679" s="11">
        <f t="shared" si="42"/>
        <v>248.87971221235836</v>
      </c>
      <c r="E679" s="11">
        <f t="shared" si="43"/>
        <v>1045.0625551685341</v>
      </c>
      <c r="F679" s="11">
        <f>'Speed Calc'!B$5*E679</f>
        <v>940.55629965168077</v>
      </c>
      <c r="G679" s="15">
        <f>'Speed Calc'!G$3+'Speed Calc'!G$5*A679^2</f>
        <v>20</v>
      </c>
      <c r="H679" s="7">
        <f>(F679-G679)/'Speed Calc'!G$2*9.806</f>
        <v>6.6866482032476897</v>
      </c>
      <c r="I679" s="4">
        <f t="shared" si="44"/>
        <v>17.861111111111111</v>
      </c>
    </row>
    <row r="680" spans="1:9" x14ac:dyDescent="0.2">
      <c r="A680" s="11">
        <v>64.400000000000006</v>
      </c>
      <c r="B680" s="15">
        <v>3.133</v>
      </c>
      <c r="C680" s="11">
        <f t="shared" si="41"/>
        <v>8345.5920197916239</v>
      </c>
      <c r="D680" s="11">
        <f t="shared" si="42"/>
        <v>248.91334349388808</v>
      </c>
      <c r="E680" s="11">
        <f t="shared" si="43"/>
        <v>1043.5807879402141</v>
      </c>
      <c r="F680" s="11">
        <f>'Speed Calc'!B$5*E680</f>
        <v>939.22270914619276</v>
      </c>
      <c r="G680" s="15">
        <f>'Speed Calc'!G$3+'Speed Calc'!G$5*A680^2</f>
        <v>20</v>
      </c>
      <c r="H680" s="7">
        <f>(F680-G680)/'Speed Calc'!G$2*9.806</f>
        <v>6.676961396953752</v>
      </c>
      <c r="I680" s="4">
        <f t="shared" si="44"/>
        <v>17.888888888888889</v>
      </c>
    </row>
    <row r="681" spans="1:9" x14ac:dyDescent="0.2">
      <c r="A681" s="11">
        <v>64.5</v>
      </c>
      <c r="B681" s="15">
        <v>3.133</v>
      </c>
      <c r="C681" s="11">
        <f t="shared" si="41"/>
        <v>8358.551013611177</v>
      </c>
      <c r="D681" s="11">
        <f t="shared" si="42"/>
        <v>248.93772000135277</v>
      </c>
      <c r="E681" s="11">
        <f t="shared" si="43"/>
        <v>1042.0648744242669</v>
      </c>
      <c r="F681" s="11">
        <f>'Speed Calc'!B$5*E681</f>
        <v>937.85838698184023</v>
      </c>
      <c r="G681" s="15">
        <f>'Speed Calc'!G$3+'Speed Calc'!G$5*A681^2</f>
        <v>20</v>
      </c>
      <c r="H681" s="7">
        <f>(F681-G681)/'Speed Calc'!G$2*9.806</f>
        <v>6.6670513649954994</v>
      </c>
      <c r="I681" s="4">
        <f t="shared" si="44"/>
        <v>17.916666666666668</v>
      </c>
    </row>
    <row r="682" spans="1:9" x14ac:dyDescent="0.2">
      <c r="A682" s="11">
        <v>64.599999999999994</v>
      </c>
      <c r="B682" s="15">
        <v>3.133</v>
      </c>
      <c r="C682" s="11">
        <f t="shared" si="41"/>
        <v>8371.5100074307284</v>
      </c>
      <c r="D682" s="11">
        <f t="shared" si="42"/>
        <v>248.95273241938679</v>
      </c>
      <c r="E682" s="11">
        <f t="shared" si="43"/>
        <v>1040.5145163039383</v>
      </c>
      <c r="F682" s="11">
        <f>'Speed Calc'!B$5*E682</f>
        <v>936.46306467354452</v>
      </c>
      <c r="G682" s="15">
        <f>'Speed Calc'!G$3+'Speed Calc'!G$5*A682^2</f>
        <v>20</v>
      </c>
      <c r="H682" s="7">
        <f>(F682-G682)/'Speed Calc'!G$2*9.806</f>
        <v>6.6569161571768714</v>
      </c>
      <c r="I682" s="4">
        <f t="shared" si="44"/>
        <v>17.944444444444443</v>
      </c>
    </row>
    <row r="683" spans="1:9" x14ac:dyDescent="0.2">
      <c r="A683" s="11">
        <v>64.7</v>
      </c>
      <c r="B683" s="15">
        <v>3.133</v>
      </c>
      <c r="C683" s="11">
        <f t="shared" ref="C683:C746" si="45">A683/3.6/B$23/2/PI()*B$32*B$31*B683*60</f>
        <v>8384.4690012502797</v>
      </c>
      <c r="D683" s="11">
        <f t="shared" si="42"/>
        <v>248.95827072467833</v>
      </c>
      <c r="E683" s="11">
        <f t="shared" si="43"/>
        <v>1038.9294141524447</v>
      </c>
      <c r="F683" s="11">
        <f>'Speed Calc'!B$5*E683</f>
        <v>935.03647273720026</v>
      </c>
      <c r="G683" s="15">
        <f>'Speed Calc'!G$3+'Speed Calc'!G$5*A683^2</f>
        <v>20</v>
      </c>
      <c r="H683" s="7">
        <f>(F683-G683)/'Speed Calc'!G$2*9.806</f>
        <v>6.6465538160451736</v>
      </c>
      <c r="I683" s="4">
        <f t="shared" si="44"/>
        <v>17.972222222222221</v>
      </c>
    </row>
    <row r="684" spans="1:9" x14ac:dyDescent="0.2">
      <c r="A684" s="11">
        <v>64.8</v>
      </c>
      <c r="B684" s="15">
        <v>3.133</v>
      </c>
      <c r="C684" s="11">
        <f t="shared" si="45"/>
        <v>8397.4279950698328</v>
      </c>
      <c r="D684" s="11">
        <f t="shared" si="42"/>
        <v>248.95422418392297</v>
      </c>
      <c r="E684" s="11">
        <f t="shared" si="43"/>
        <v>1037.3092674330123</v>
      </c>
      <c r="F684" s="11">
        <f>'Speed Calc'!B$5*E684</f>
        <v>933.57834068971113</v>
      </c>
      <c r="G684" s="15">
        <f>'Speed Calc'!G$3+'Speed Calc'!G$5*A684^2</f>
        <v>20</v>
      </c>
      <c r="H684" s="7">
        <f>(F684-G684)/'Speed Calc'!G$2*9.806</f>
        <v>6.6359623768913378</v>
      </c>
      <c r="I684" s="4">
        <f t="shared" si="44"/>
        <v>18</v>
      </c>
    </row>
    <row r="685" spans="1:9" x14ac:dyDescent="0.2">
      <c r="A685" s="11">
        <v>64.900000000000006</v>
      </c>
      <c r="B685" s="15">
        <v>3.133</v>
      </c>
      <c r="C685" s="11">
        <f t="shared" si="45"/>
        <v>8410.386988889386</v>
      </c>
      <c r="D685" s="11">
        <f t="shared" si="42"/>
        <v>248.9404813517618</v>
      </c>
      <c r="E685" s="11">
        <f t="shared" si="43"/>
        <v>1035.653774498855</v>
      </c>
      <c r="F685" s="11">
        <f>'Speed Calc'!B$5*E685</f>
        <v>932.08839704896957</v>
      </c>
      <c r="G685" s="15">
        <f>'Speed Calc'!G$3+'Speed Calc'!G$5*A685^2</f>
        <v>20</v>
      </c>
      <c r="H685" s="7">
        <f>(F685-G685)/'Speed Calc'!G$2*9.806</f>
        <v>6.6251398677497741</v>
      </c>
      <c r="I685" s="4">
        <f t="shared" si="44"/>
        <v>18.027777777777779</v>
      </c>
    </row>
    <row r="686" spans="1:9" x14ac:dyDescent="0.2">
      <c r="A686" s="11">
        <v>65</v>
      </c>
      <c r="B686" s="15">
        <v>3.133</v>
      </c>
      <c r="C686" s="11">
        <f t="shared" si="45"/>
        <v>8423.3459827089355</v>
      </c>
      <c r="D686" s="11">
        <f t="shared" si="42"/>
        <v>248.91693006872794</v>
      </c>
      <c r="E686" s="11">
        <f t="shared" si="43"/>
        <v>1033.9626325931777</v>
      </c>
      <c r="F686" s="11">
        <f>'Speed Calc'!B$5*E686</f>
        <v>930.56636933385994</v>
      </c>
      <c r="G686" s="15">
        <f>'Speed Calc'!G$3+'Speed Calc'!G$5*A686^2</f>
        <v>20</v>
      </c>
      <c r="H686" s="7">
        <f>(F686-G686)/'Speed Calc'!G$2*9.806</f>
        <v>6.6140843093983923</v>
      </c>
      <c r="I686" s="4">
        <f t="shared" si="44"/>
        <v>18.055555555555554</v>
      </c>
    </row>
    <row r="687" spans="1:9" x14ac:dyDescent="0.2">
      <c r="A687" s="11">
        <v>65.099999999999994</v>
      </c>
      <c r="B687" s="15">
        <v>3.133</v>
      </c>
      <c r="C687" s="11">
        <f t="shared" si="45"/>
        <v>8436.3049765284904</v>
      </c>
      <c r="D687" s="11">
        <f t="shared" si="42"/>
        <v>248.88345745918903</v>
      </c>
      <c r="E687" s="11">
        <f t="shared" si="43"/>
        <v>1032.2355378491709</v>
      </c>
      <c r="F687" s="11">
        <f>'Speed Calc'!B$5*E687</f>
        <v>929.01198406425385</v>
      </c>
      <c r="G687" s="15">
        <f>'Speed Calc'!G$3+'Speed Calc'!G$5*A687^2</f>
        <v>20</v>
      </c>
      <c r="H687" s="7">
        <f>(F687-G687)/'Speed Calc'!G$2*9.806</f>
        <v>6.6027937153585725</v>
      </c>
      <c r="I687" s="4">
        <f t="shared" si="44"/>
        <v>18.083333333333332</v>
      </c>
    </row>
    <row r="688" spans="1:9" x14ac:dyDescent="0.2">
      <c r="A688" s="11">
        <v>65.2</v>
      </c>
      <c r="B688" s="15">
        <v>3.133</v>
      </c>
      <c r="C688" s="11">
        <f t="shared" si="45"/>
        <v>8449.2639703480418</v>
      </c>
      <c r="D688" s="11">
        <f t="shared" si="42"/>
        <v>248.83994992929456</v>
      </c>
      <c r="E688" s="11">
        <f t="shared" si="43"/>
        <v>1030.4721852900234</v>
      </c>
      <c r="F688" s="11">
        <f>'Speed Calc'!B$5*E688</f>
        <v>927.4249667610211</v>
      </c>
      <c r="G688" s="15">
        <f>'Speed Calc'!G$3+'Speed Calc'!G$5*A688^2</f>
        <v>20</v>
      </c>
      <c r="H688" s="7">
        <f>(F688-G688)/'Speed Calc'!G$2*9.806</f>
        <v>6.591266091895239</v>
      </c>
      <c r="I688" s="4">
        <f t="shared" si="44"/>
        <v>18.111111111111111</v>
      </c>
    </row>
    <row r="689" spans="1:9" x14ac:dyDescent="0.2">
      <c r="A689" s="11">
        <v>65.3</v>
      </c>
      <c r="B689" s="15">
        <v>3.133</v>
      </c>
      <c r="C689" s="11">
        <f t="shared" si="45"/>
        <v>8462.2229641675931</v>
      </c>
      <c r="D689" s="11">
        <f t="shared" si="42"/>
        <v>248.7862931649185</v>
      </c>
      <c r="E689" s="11">
        <f t="shared" si="43"/>
        <v>1028.6722688289128</v>
      </c>
      <c r="F689" s="11">
        <f>'Speed Calc'!B$5*E689</f>
        <v>925.80504194602156</v>
      </c>
      <c r="G689" s="15">
        <f>'Speed Calc'!G$3+'Speed Calc'!G$5*A689^2</f>
        <v>20</v>
      </c>
      <c r="H689" s="7">
        <f>(F689-G689)/'Speed Calc'!G$2*9.806</f>
        <v>6.5794994380168044</v>
      </c>
      <c r="I689" s="4">
        <f t="shared" si="44"/>
        <v>18.138888888888889</v>
      </c>
    </row>
    <row r="690" spans="1:9" x14ac:dyDescent="0.2">
      <c r="A690" s="11">
        <v>65.400000000000006</v>
      </c>
      <c r="B690" s="15">
        <v>3.133</v>
      </c>
      <c r="C690" s="11">
        <f t="shared" si="45"/>
        <v>8475.1819579871481</v>
      </c>
      <c r="D690" s="11">
        <f t="shared" si="42"/>
        <v>248.72237212960448</v>
      </c>
      <c r="E690" s="11">
        <f t="shared" si="43"/>
        <v>1026.8354812690093</v>
      </c>
      <c r="F690" s="11">
        <f>'Speed Calc'!B$5*E690</f>
        <v>924.15193314210842</v>
      </c>
      <c r="G690" s="15">
        <f>'Speed Calc'!G$3+'Speed Calc'!G$5*A690^2</f>
        <v>20</v>
      </c>
      <c r="H690" s="7">
        <f>(F690-G690)/'Speed Calc'!G$2*9.806</f>
        <v>6.5674917454751958</v>
      </c>
      <c r="I690" s="4">
        <f t="shared" si="44"/>
        <v>18.166666666666668</v>
      </c>
    </row>
    <row r="691" spans="1:9" x14ac:dyDescent="0.2">
      <c r="A691" s="11">
        <v>65.5</v>
      </c>
      <c r="B691" s="15">
        <v>3.133</v>
      </c>
      <c r="C691" s="11">
        <f t="shared" si="45"/>
        <v>8488.1409518066976</v>
      </c>
      <c r="D691" s="11">
        <f t="shared" si="42"/>
        <v>248.64807106250885</v>
      </c>
      <c r="E691" s="11">
        <f t="shared" si="43"/>
        <v>1024.9615143034716</v>
      </c>
      <c r="F691" s="11">
        <f>'Speed Calc'!B$5*E691</f>
        <v>922.46536287312449</v>
      </c>
      <c r="G691" s="15">
        <f>'Speed Calc'!G$3+'Speed Calc'!G$5*A691^2</f>
        <v>20</v>
      </c>
      <c r="H691" s="7">
        <f>(F691-G691)/'Speed Calc'!G$2*9.806</f>
        <v>6.5552409987658207</v>
      </c>
      <c r="I691" s="4">
        <f t="shared" si="44"/>
        <v>18.194444444444443</v>
      </c>
    </row>
    <row r="692" spans="1:9" x14ac:dyDescent="0.2">
      <c r="A692" s="11">
        <v>65.599999999999994</v>
      </c>
      <c r="B692" s="15">
        <v>3.133</v>
      </c>
      <c r="C692" s="11">
        <f t="shared" si="45"/>
        <v>8501.0999456262489</v>
      </c>
      <c r="D692" s="11">
        <f t="shared" si="42"/>
        <v>248.56327347634655</v>
      </c>
      <c r="E692" s="11">
        <f t="shared" si="43"/>
        <v>1023.0500585154508</v>
      </c>
      <c r="F692" s="11">
        <f>'Speed Calc'!B$5*E692</f>
        <v>920.74505266390577</v>
      </c>
      <c r="G692" s="15">
        <f>'Speed Calc'!G$3+'Speed Calc'!G$5*A692^2</f>
        <v>20</v>
      </c>
      <c r="H692" s="7">
        <f>(F692-G692)/'Speed Calc'!G$2*9.806</f>
        <v>6.5427451751275996</v>
      </c>
      <c r="I692" s="4">
        <f t="shared" si="44"/>
        <v>18.222222222222221</v>
      </c>
    </row>
    <row r="693" spans="1:9" x14ac:dyDescent="0.2">
      <c r="A693" s="11">
        <v>65.7</v>
      </c>
      <c r="B693" s="15">
        <v>3.133</v>
      </c>
      <c r="C693" s="11">
        <f t="shared" si="45"/>
        <v>8514.0589394458038</v>
      </c>
      <c r="D693" s="11">
        <f t="shared" si="42"/>
        <v>248.46786215533422</v>
      </c>
      <c r="E693" s="11">
        <f t="shared" si="43"/>
        <v>1021.1008033780856</v>
      </c>
      <c r="F693" s="11">
        <f>'Speed Calc'!B$5*E693</f>
        <v>918.99072304027709</v>
      </c>
      <c r="G693" s="15">
        <f>'Speed Calc'!G$3+'Speed Calc'!G$5*A693^2</f>
        <v>20</v>
      </c>
      <c r="H693" s="7">
        <f>(F693-G693)/'Speed Calc'!G$2*9.806</f>
        <v>6.5300022445429304</v>
      </c>
      <c r="I693" s="4">
        <f t="shared" si="44"/>
        <v>18.25</v>
      </c>
    </row>
    <row r="694" spans="1:9" x14ac:dyDescent="0.2">
      <c r="A694" s="11">
        <v>65.8</v>
      </c>
      <c r="B694" s="15">
        <v>3.133</v>
      </c>
      <c r="C694" s="11">
        <f t="shared" si="45"/>
        <v>8527.0179332653533</v>
      </c>
      <c r="D694" s="11">
        <f t="shared" si="42"/>
        <v>248.36171915313867</v>
      </c>
      <c r="E694" s="11">
        <f t="shared" si="43"/>
        <v>1019.1134372545204</v>
      </c>
      <c r="F694" s="11">
        <f>'Speed Calc'!B$5*E694</f>
        <v>917.20209352906829</v>
      </c>
      <c r="G694" s="15">
        <f>'Speed Calc'!G$3+'Speed Calc'!G$5*A694^2</f>
        <v>20</v>
      </c>
      <c r="H694" s="7">
        <f>(F694-G694)/'Speed Calc'!G$2*9.806</f>
        <v>6.5170101697378096</v>
      </c>
      <c r="I694" s="4">
        <f t="shared" si="44"/>
        <v>18.277777777777775</v>
      </c>
    </row>
    <row r="695" spans="1:9" x14ac:dyDescent="0.2">
      <c r="A695" s="11">
        <v>65.900000000000006</v>
      </c>
      <c r="B695" s="15">
        <v>3.133</v>
      </c>
      <c r="C695" s="11">
        <f t="shared" si="45"/>
        <v>8539.9769270849065</v>
      </c>
      <c r="D695" s="11">
        <f t="shared" si="42"/>
        <v>248.24472579081589</v>
      </c>
      <c r="E695" s="11">
        <f t="shared" si="43"/>
        <v>1017.0876473978802</v>
      </c>
      <c r="F695" s="11">
        <f>'Speed Calc'!B$5*E695</f>
        <v>915.37888265809227</v>
      </c>
      <c r="G695" s="15">
        <f>'Speed Calc'!G$3+'Speed Calc'!G$5*A695^2</f>
        <v>20</v>
      </c>
      <c r="H695" s="7">
        <f>(F695-G695)/'Speed Calc'!G$2*9.806</f>
        <v>6.5037669061816681</v>
      </c>
      <c r="I695" s="4">
        <f t="shared" si="44"/>
        <v>18.305555555555557</v>
      </c>
    </row>
    <row r="696" spans="1:9" x14ac:dyDescent="0.2">
      <c r="A696" s="11">
        <v>66</v>
      </c>
      <c r="B696" s="15">
        <v>3.133</v>
      </c>
      <c r="C696" s="11">
        <f t="shared" si="45"/>
        <v>8552.9359209044578</v>
      </c>
      <c r="D696" s="11">
        <f t="shared" si="42"/>
        <v>248.11676265475415</v>
      </c>
      <c r="E696" s="11">
        <f t="shared" si="43"/>
        <v>1015.0231199512673</v>
      </c>
      <c r="F696" s="11">
        <f>'Speed Calc'!B$5*E696</f>
        <v>913.52080795614063</v>
      </c>
      <c r="G696" s="15">
        <f>'Speed Calc'!G$3+'Speed Calc'!G$5*A696^2</f>
        <v>20</v>
      </c>
      <c r="H696" s="7">
        <f>(F696-G696)/'Speed Calc'!G$2*9.806</f>
        <v>6.4902704020873445</v>
      </c>
      <c r="I696" s="4">
        <f t="shared" si="44"/>
        <v>18.333333333333332</v>
      </c>
    </row>
    <row r="697" spans="1:9" x14ac:dyDescent="0.2">
      <c r="A697" s="11">
        <v>66.099999999999994</v>
      </c>
      <c r="B697" s="15">
        <v>3.133</v>
      </c>
      <c r="C697" s="11">
        <f t="shared" si="45"/>
        <v>8565.8949147240128</v>
      </c>
      <c r="D697" s="11">
        <f t="shared" si="42"/>
        <v>247.97770959463008</v>
      </c>
      <c r="E697" s="11">
        <f t="shared" si="43"/>
        <v>1012.9195399478081</v>
      </c>
      <c r="F697" s="11">
        <f>'Speed Calc'!B$5*E697</f>
        <v>911.62758595302728</v>
      </c>
      <c r="G697" s="15">
        <f>'Speed Calc'!G$3+'Speed Calc'!G$5*A697^2</f>
        <v>20</v>
      </c>
      <c r="H697" s="7">
        <f>(F697-G697)/'Speed Calc'!G$2*9.806</f>
        <v>6.4765185984113964</v>
      </c>
      <c r="I697" s="4">
        <f t="shared" si="44"/>
        <v>18.361111111111111</v>
      </c>
    </row>
    <row r="698" spans="1:9" x14ac:dyDescent="0.2">
      <c r="A698" s="11">
        <v>66.2</v>
      </c>
      <c r="B698" s="15">
        <v>3.133</v>
      </c>
      <c r="C698" s="11">
        <f t="shared" si="45"/>
        <v>8578.8539085435659</v>
      </c>
      <c r="D698" s="11">
        <f t="shared" si="42"/>
        <v>247.82744572133711</v>
      </c>
      <c r="E698" s="11">
        <f t="shared" si="43"/>
        <v>1010.7765913105891</v>
      </c>
      <c r="F698" s="11">
        <f>'Speed Calc'!B$5*E698</f>
        <v>909.69893217953017</v>
      </c>
      <c r="G698" s="15">
        <f>'Speed Calc'!G$3+'Speed Calc'!G$5*A698^2</f>
        <v>20</v>
      </c>
      <c r="H698" s="7">
        <f>(F698-G698)/'Speed Calc'!G$2*9.806</f>
        <v>6.4625094288536831</v>
      </c>
      <c r="I698" s="4">
        <f t="shared" si="44"/>
        <v>18.388888888888889</v>
      </c>
    </row>
    <row r="699" spans="1:9" x14ac:dyDescent="0.2">
      <c r="A699" s="11">
        <v>66.3</v>
      </c>
      <c r="B699" s="15">
        <v>3.133</v>
      </c>
      <c r="C699" s="11">
        <f t="shared" si="45"/>
        <v>8591.8129023631154</v>
      </c>
      <c r="D699" s="11">
        <f t="shared" si="42"/>
        <v>247.66584940494258</v>
      </c>
      <c r="E699" s="11">
        <f t="shared" si="43"/>
        <v>1008.5939568527073</v>
      </c>
      <c r="F699" s="11">
        <f>'Speed Calc'!B$5*E699</f>
        <v>907.7345611674366</v>
      </c>
      <c r="G699" s="15">
        <f>'Speed Calc'!G$3+'Speed Calc'!G$5*A699^2</f>
        <v>20</v>
      </c>
      <c r="H699" s="7">
        <f>(F699-G699)/'Speed Calc'!G$2*9.806</f>
        <v>6.4482408198576913</v>
      </c>
      <c r="I699" s="4">
        <f t="shared" si="44"/>
        <v>18.416666666666664</v>
      </c>
    </row>
    <row r="700" spans="1:9" x14ac:dyDescent="0.2">
      <c r="A700" s="11">
        <v>66.400000000000006</v>
      </c>
      <c r="B700" s="15">
        <v>3.133</v>
      </c>
      <c r="C700" s="11">
        <f t="shared" si="45"/>
        <v>8604.7718961826686</v>
      </c>
      <c r="D700" s="11">
        <f t="shared" si="42"/>
        <v>247.49279827262563</v>
      </c>
      <c r="E700" s="11">
        <f t="shared" si="43"/>
        <v>1006.3713182772425</v>
      </c>
      <c r="F700" s="11">
        <f>'Speed Calc'!B$5*E700</f>
        <v>905.73418644951823</v>
      </c>
      <c r="G700" s="15">
        <f>'Speed Calc'!G$3+'Speed Calc'!G$5*A700^2</f>
        <v>20</v>
      </c>
      <c r="H700" s="7">
        <f>(F700-G700)/'Speed Calc'!G$2*9.806</f>
        <v>6.4337106906103525</v>
      </c>
      <c r="I700" s="4">
        <f t="shared" si="44"/>
        <v>18.444444444444446</v>
      </c>
    </row>
    <row r="701" spans="1:9" x14ac:dyDescent="0.2">
      <c r="A701" s="11">
        <v>66.5</v>
      </c>
      <c r="B701" s="15">
        <v>3.133</v>
      </c>
      <c r="C701" s="11">
        <f t="shared" si="45"/>
        <v>8617.7308900022199</v>
      </c>
      <c r="D701" s="11">
        <f t="shared" si="42"/>
        <v>247.30816920662554</v>
      </c>
      <c r="E701" s="11">
        <f t="shared" si="43"/>
        <v>1004.1083561772767</v>
      </c>
      <c r="F701" s="11">
        <f>'Speed Calc'!B$5*E701</f>
        <v>903.69752055954905</v>
      </c>
      <c r="G701" s="15">
        <f>'Speed Calc'!G$3+'Speed Calc'!G$5*A701^2</f>
        <v>20</v>
      </c>
      <c r="H701" s="7">
        <f>(F701-G701)/'Speed Calc'!G$2*9.806</f>
        <v>6.4189169530421761</v>
      </c>
      <c r="I701" s="4">
        <f t="shared" si="44"/>
        <v>18.472222222222221</v>
      </c>
    </row>
    <row r="702" spans="1:9" x14ac:dyDescent="0.2">
      <c r="A702" s="11">
        <v>66.599999999999994</v>
      </c>
      <c r="B702" s="15">
        <v>3.133</v>
      </c>
      <c r="C702" s="11">
        <f t="shared" si="45"/>
        <v>8630.689883821773</v>
      </c>
      <c r="D702" s="11">
        <f t="shared" si="42"/>
        <v>247.11183834217832</v>
      </c>
      <c r="E702" s="11">
        <f t="shared" si="43"/>
        <v>1001.8047500358581</v>
      </c>
      <c r="F702" s="11">
        <f>'Speed Calc'!B$5*E702</f>
        <v>901.62427503227229</v>
      </c>
      <c r="G702" s="15">
        <f>'Speed Calc'!G$3+'Speed Calc'!G$5*A702^2</f>
        <v>20</v>
      </c>
      <c r="H702" s="7">
        <f>(F702-G702)/'Speed Calc'!G$2*9.806</f>
        <v>6.4038575118270078</v>
      </c>
      <c r="I702" s="4">
        <f t="shared" si="44"/>
        <v>18.499999999999996</v>
      </c>
    </row>
    <row r="703" spans="1:9" x14ac:dyDescent="0.2">
      <c r="A703" s="11">
        <v>66.7</v>
      </c>
      <c r="B703" s="15">
        <v>3.133</v>
      </c>
      <c r="C703" s="11">
        <f t="shared" si="45"/>
        <v>8643.6488776413262</v>
      </c>
      <c r="D703" s="11">
        <f t="shared" si="42"/>
        <v>246.90368106547427</v>
      </c>
      <c r="E703" s="11">
        <f t="shared" si="43"/>
        <v>999.46017822605779</v>
      </c>
      <c r="F703" s="11">
        <f>'Speed Calc'!B$5*E703</f>
        <v>899.51416040345202</v>
      </c>
      <c r="G703" s="15">
        <f>'Speed Calc'!G$3+'Speed Calc'!G$5*A703^2</f>
        <v>20</v>
      </c>
      <c r="H703" s="7">
        <f>(F703-G703)/'Speed Calc'!G$2*9.806</f>
        <v>6.3885302643824069</v>
      </c>
      <c r="I703" s="4">
        <f t="shared" si="44"/>
        <v>18.527777777777779</v>
      </c>
    </row>
    <row r="704" spans="1:9" x14ac:dyDescent="0.2">
      <c r="A704" s="11">
        <v>66.8</v>
      </c>
      <c r="B704" s="15">
        <v>3.133</v>
      </c>
      <c r="C704" s="11">
        <f t="shared" si="45"/>
        <v>8656.6078714608757</v>
      </c>
      <c r="D704" s="11">
        <f t="shared" si="42"/>
        <v>246.68357201158909</v>
      </c>
      <c r="E704" s="11">
        <f t="shared" si="43"/>
        <v>997.074318010914</v>
      </c>
      <c r="F704" s="11">
        <f>'Speed Calc'!B$5*E704</f>
        <v>897.36688620982261</v>
      </c>
      <c r="G704" s="15">
        <f>'Speed Calc'!G$3+'Speed Calc'!G$5*A704^2</f>
        <v>20</v>
      </c>
      <c r="H704" s="7">
        <f>(F704-G704)/'Speed Calc'!G$2*9.806</f>
        <v>6.3729331008692744</v>
      </c>
      <c r="I704" s="4">
        <f t="shared" si="44"/>
        <v>18.555555555555554</v>
      </c>
    </row>
    <row r="705" spans="1:9" x14ac:dyDescent="0.2">
      <c r="A705" s="11">
        <v>66.900000000000006</v>
      </c>
      <c r="B705" s="15">
        <v>3.133</v>
      </c>
      <c r="C705" s="11">
        <f t="shared" si="45"/>
        <v>8669.5668652804306</v>
      </c>
      <c r="D705" s="11">
        <f t="shared" si="42"/>
        <v>246.45138506243657</v>
      </c>
      <c r="E705" s="11">
        <f t="shared" si="43"/>
        <v>994.64684554346582</v>
      </c>
      <c r="F705" s="11">
        <f>'Speed Calc'!B$5*E705</f>
        <v>895.18216098911921</v>
      </c>
      <c r="G705" s="15">
        <f>'Speed Calc'!G$3+'Speed Calc'!G$5*A705^2</f>
        <v>20</v>
      </c>
      <c r="H705" s="7">
        <f>(F705-G705)/'Speed Calc'!G$2*9.806</f>
        <v>6.357063904192076</v>
      </c>
      <c r="I705" s="4">
        <f t="shared" si="44"/>
        <v>18.583333333333336</v>
      </c>
    </row>
    <row r="706" spans="1:9" x14ac:dyDescent="0.2">
      <c r="A706" s="11">
        <v>67</v>
      </c>
      <c r="B706" s="15">
        <v>3.133</v>
      </c>
      <c r="C706" s="11">
        <f t="shared" si="45"/>
        <v>8682.525859099982</v>
      </c>
      <c r="D706" s="11">
        <f t="shared" si="42"/>
        <v>246.20699334471294</v>
      </c>
      <c r="E706" s="11">
        <f t="shared" si="43"/>
        <v>992.17743586675374</v>
      </c>
      <c r="F706" s="11">
        <f>'Speed Calc'!B$5*E706</f>
        <v>892.95969228007834</v>
      </c>
      <c r="G706" s="15">
        <f>'Speed Calc'!G$3+'Speed Calc'!G$5*A706^2</f>
        <v>20</v>
      </c>
      <c r="H706" s="7">
        <f>(F706-G706)/'Speed Calc'!G$2*9.806</f>
        <v>6.3409205499988506</v>
      </c>
      <c r="I706" s="4">
        <f t="shared" si="44"/>
        <v>18.611111111111111</v>
      </c>
    </row>
    <row r="707" spans="1:9" x14ac:dyDescent="0.2">
      <c r="A707" s="11">
        <v>67.099999999999994</v>
      </c>
      <c r="B707" s="15">
        <v>3.133</v>
      </c>
      <c r="C707" s="11">
        <f t="shared" si="45"/>
        <v>8695.4848529195315</v>
      </c>
      <c r="D707" s="11">
        <f t="shared" si="42"/>
        <v>245.9502692278341</v>
      </c>
      <c r="E707" s="11">
        <f t="shared" si="43"/>
        <v>989.66576291378863</v>
      </c>
      <c r="F707" s="11">
        <f>'Speed Calc'!B$5*E707</f>
        <v>890.6991866224098</v>
      </c>
      <c r="G707" s="15">
        <f>'Speed Calc'!G$3+'Speed Calc'!G$5*A707^2</f>
        <v>20</v>
      </c>
      <c r="H707" s="7">
        <f>(F707-G707)/'Speed Calc'!G$2*9.806</f>
        <v>6.3245009066809992</v>
      </c>
      <c r="I707" s="4">
        <f t="shared" si="44"/>
        <v>18.638888888888886</v>
      </c>
    </row>
    <row r="708" spans="1:9" x14ac:dyDescent="0.2">
      <c r="A708" s="11">
        <v>67.2</v>
      </c>
      <c r="B708" s="15">
        <v>3.133</v>
      </c>
      <c r="C708" s="11">
        <f t="shared" si="45"/>
        <v>8708.4438467390864</v>
      </c>
      <c r="D708" s="11">
        <f t="shared" si="42"/>
        <v>245.6810843218887</v>
      </c>
      <c r="E708" s="11">
        <f t="shared" si="43"/>
        <v>987.11149950758863</v>
      </c>
      <c r="F708" s="11">
        <f>'Speed Calc'!B$5*E708</f>
        <v>888.40034955682984</v>
      </c>
      <c r="G708" s="15">
        <f>'Speed Calc'!G$3+'Speed Calc'!G$5*A708^2</f>
        <v>20</v>
      </c>
      <c r="H708" s="7">
        <f>(F708-G708)/'Speed Calc'!G$2*9.806</f>
        <v>6.3078028353735354</v>
      </c>
      <c r="I708" s="4">
        <f t="shared" si="44"/>
        <v>18.666666666666668</v>
      </c>
    </row>
    <row r="709" spans="1:9" x14ac:dyDescent="0.2">
      <c r="A709" s="11">
        <v>67.3</v>
      </c>
      <c r="B709" s="15">
        <v>3.133</v>
      </c>
      <c r="C709" s="11">
        <f t="shared" si="45"/>
        <v>8721.4028405586359</v>
      </c>
      <c r="D709" s="11">
        <f t="shared" si="42"/>
        <v>245.39930947557582</v>
      </c>
      <c r="E709" s="11">
        <f t="shared" si="43"/>
        <v>984.51431736115148</v>
      </c>
      <c r="F709" s="11">
        <f>'Speed Calc'!B$5*E709</f>
        <v>886.0628856250363</v>
      </c>
      <c r="G709" s="15">
        <f>'Speed Calc'!G$3+'Speed Calc'!G$5*A709^2</f>
        <v>20</v>
      </c>
      <c r="H709" s="7">
        <f>(F709-G709)/'Speed Calc'!G$2*9.806</f>
        <v>6.2908241899548925</v>
      </c>
      <c r="I709" s="4">
        <f t="shared" si="44"/>
        <v>18.694444444444443</v>
      </c>
    </row>
    <row r="710" spans="1:9" x14ac:dyDescent="0.2">
      <c r="A710" s="11">
        <v>67.400000000000006</v>
      </c>
      <c r="B710" s="15">
        <v>3.133</v>
      </c>
      <c r="C710" s="11">
        <f t="shared" si="45"/>
        <v>8734.3618343781927</v>
      </c>
      <c r="D710" s="11">
        <f t="shared" si="42"/>
        <v>245.10481477415715</v>
      </c>
      <c r="E710" s="11">
        <f t="shared" si="43"/>
        <v>981.87388707748391</v>
      </c>
      <c r="F710" s="11">
        <f>'Speed Calc'!B$5*E710</f>
        <v>883.68649836973555</v>
      </c>
      <c r="G710" s="15">
        <f>'Speed Calc'!G$3+'Speed Calc'!G$5*A710^2</f>
        <v>20</v>
      </c>
      <c r="H710" s="7">
        <f>(F710-G710)/'Speed Calc'!G$2*9.806</f>
        <v>6.2735628170471305</v>
      </c>
      <c r="I710" s="4">
        <f t="shared" si="44"/>
        <v>18.722222222222225</v>
      </c>
    </row>
    <row r="711" spans="1:9" x14ac:dyDescent="0.2">
      <c r="A711" s="11">
        <v>67.5</v>
      </c>
      <c r="B711" s="15">
        <v>3.133</v>
      </c>
      <c r="C711" s="11">
        <f t="shared" si="45"/>
        <v>8747.3208281977422</v>
      </c>
      <c r="D711" s="11">
        <f t="shared" si="42"/>
        <v>244.79746953739135</v>
      </c>
      <c r="E711" s="11">
        <f t="shared" si="43"/>
        <v>979.18987814956552</v>
      </c>
      <c r="F711" s="11">
        <f>'Speed Calc'!B$5*E711</f>
        <v>881.27089033460902</v>
      </c>
      <c r="G711" s="15">
        <f>'Speed Calc'!G$3+'Speed Calc'!G$5*A711^2</f>
        <v>20</v>
      </c>
      <c r="H711" s="7">
        <f>(F711-G711)/'Speed Calc'!G$2*9.806</f>
        <v>6.2560165560156857</v>
      </c>
      <c r="I711" s="4">
        <f t="shared" si="44"/>
        <v>18.75</v>
      </c>
    </row>
    <row r="712" spans="1:9" x14ac:dyDescent="0.2">
      <c r="A712" s="11">
        <v>67.599999999999994</v>
      </c>
      <c r="B712" s="15">
        <v>3.133</v>
      </c>
      <c r="C712" s="11">
        <f t="shared" si="45"/>
        <v>8760.2798220172936</v>
      </c>
      <c r="D712" s="11">
        <f t="shared" si="42"/>
        <v>244.47714231748444</v>
      </c>
      <c r="E712" s="11">
        <f t="shared" si="43"/>
        <v>976.46195896036704</v>
      </c>
      <c r="F712" s="11">
        <f>'Speed Calc'!B$5*E712</f>
        <v>878.81576306433033</v>
      </c>
      <c r="G712" s="15">
        <f>'Speed Calc'!G$3+'Speed Calc'!G$5*A712^2</f>
        <v>20</v>
      </c>
      <c r="H712" s="7">
        <f>(F712-G712)/'Speed Calc'!G$2*9.806</f>
        <v>6.2381832389694978</v>
      </c>
      <c r="I712" s="4">
        <f t="shared" si="44"/>
        <v>18.777777777777775</v>
      </c>
    </row>
    <row r="713" spans="1:9" x14ac:dyDescent="0.2">
      <c r="A713" s="11">
        <v>67.7</v>
      </c>
      <c r="B713" s="15">
        <v>3.133</v>
      </c>
      <c r="C713" s="11">
        <f t="shared" si="45"/>
        <v>8773.2388158368485</v>
      </c>
      <c r="D713" s="11">
        <f t="shared" si="42"/>
        <v>244.14370089703868</v>
      </c>
      <c r="E713" s="11">
        <f t="shared" si="43"/>
        <v>973.68979678287201</v>
      </c>
      <c r="F713" s="11">
        <f>'Speed Calc'!B$5*E713</f>
        <v>876.32081710458488</v>
      </c>
      <c r="G713" s="15">
        <f>'Speed Calc'!G$3+'Speed Calc'!G$5*A713^2</f>
        <v>20</v>
      </c>
      <c r="H713" s="7">
        <f>(F713-G713)/'Speed Calc'!G$2*9.806</f>
        <v>6.2200606907611551</v>
      </c>
      <c r="I713" s="4">
        <f t="shared" si="44"/>
        <v>18.805555555555557</v>
      </c>
    </row>
    <row r="714" spans="1:9" x14ac:dyDescent="0.2">
      <c r="A714" s="11">
        <v>67.8</v>
      </c>
      <c r="B714" s="15">
        <v>3.133</v>
      </c>
      <c r="C714" s="11">
        <f t="shared" si="45"/>
        <v>8786.1978096563998</v>
      </c>
      <c r="D714" s="11">
        <f t="shared" si="42"/>
        <v>243.79701228698681</v>
      </c>
      <c r="E714" s="11">
        <f t="shared" si="43"/>
        <v>970.87305778003577</v>
      </c>
      <c r="F714" s="11">
        <f>'Speed Calc'!B$5*E714</f>
        <v>873.78575200203215</v>
      </c>
      <c r="G714" s="15">
        <f>'Speed Calc'!G$3+'Speed Calc'!G$5*A714^2</f>
        <v>20</v>
      </c>
      <c r="H714" s="7">
        <f>(F714-G714)/'Speed Calc'!G$2*9.806</f>
        <v>6.2016467289866126</v>
      </c>
      <c r="I714" s="4">
        <f t="shared" si="44"/>
        <v>18.833333333333332</v>
      </c>
    </row>
    <row r="715" spans="1:9" x14ac:dyDescent="0.2">
      <c r="A715" s="11">
        <v>67.900000000000006</v>
      </c>
      <c r="B715" s="15">
        <v>3.133</v>
      </c>
      <c r="C715" s="11">
        <f t="shared" si="45"/>
        <v>8799.1568034759512</v>
      </c>
      <c r="D715" s="11">
        <f t="shared" si="42"/>
        <v>243.43694272454246</v>
      </c>
      <c r="E715" s="11">
        <f t="shared" si="43"/>
        <v>968.01140700480778</v>
      </c>
      <c r="F715" s="11">
        <f>'Speed Calc'!B$5*E715</f>
        <v>871.21026630432698</v>
      </c>
      <c r="G715" s="15">
        <f>'Speed Calc'!G$3+'Speed Calc'!G$5*A715^2</f>
        <v>20</v>
      </c>
      <c r="H715" s="7">
        <f>(F715-G715)/'Speed Calc'!G$2*9.806</f>
        <v>6.1829391639853561</v>
      </c>
      <c r="I715" s="4">
        <f t="shared" si="44"/>
        <v>18.861111111111111</v>
      </c>
    </row>
    <row r="716" spans="1:9" x14ac:dyDescent="0.2">
      <c r="A716" s="11">
        <v>68</v>
      </c>
      <c r="B716" s="15">
        <v>3.133</v>
      </c>
      <c r="C716" s="11">
        <f t="shared" si="45"/>
        <v>8812.1157972955043</v>
      </c>
      <c r="D716" s="11">
        <f t="shared" si="42"/>
        <v>243.0633576711441</v>
      </c>
      <c r="E716" s="11">
        <f t="shared" si="43"/>
        <v>965.10450840013073</v>
      </c>
      <c r="F716" s="11">
        <f>'Speed Calc'!B$5*E716</f>
        <v>868.59405756011768</v>
      </c>
      <c r="G716" s="15">
        <f>'Speed Calc'!G$3+'Speed Calc'!G$5*A716^2</f>
        <v>20</v>
      </c>
      <c r="H716" s="7">
        <f>(F716-G716)/'Speed Calc'!G$2*9.806</f>
        <v>6.1639357988403809</v>
      </c>
      <c r="I716" s="4">
        <f t="shared" si="44"/>
        <v>18.888888888888889</v>
      </c>
    </row>
    <row r="717" spans="1:9" x14ac:dyDescent="0.2">
      <c r="A717" s="11">
        <v>68.099999999999994</v>
      </c>
      <c r="B717" s="15">
        <v>3.133</v>
      </c>
      <c r="C717" s="11">
        <f t="shared" si="45"/>
        <v>8825.0747911150556</v>
      </c>
      <c r="D717" s="11">
        <f t="shared" si="42"/>
        <v>242.67612181040019</v>
      </c>
      <c r="E717" s="11">
        <f t="shared" si="43"/>
        <v>962.15202479894356</v>
      </c>
      <c r="F717" s="11">
        <f>'Speed Calc'!B$5*E717</f>
        <v>865.93682231904927</v>
      </c>
      <c r="G717" s="15">
        <f>'Speed Calc'!G$3+'Speed Calc'!G$5*A717^2</f>
        <v>20</v>
      </c>
      <c r="H717" s="7">
        <f>(F717-G717)/'Speed Calc'!G$2*9.806</f>
        <v>6.1446344293782191</v>
      </c>
      <c r="I717" s="4">
        <f t="shared" si="44"/>
        <v>18.916666666666664</v>
      </c>
    </row>
    <row r="718" spans="1:9" x14ac:dyDescent="0.2">
      <c r="A718" s="11">
        <v>68.2</v>
      </c>
      <c r="B718" s="15">
        <v>3.133</v>
      </c>
      <c r="C718" s="11">
        <f t="shared" si="45"/>
        <v>8838.0337849346088</v>
      </c>
      <c r="D718" s="11">
        <f t="shared" si="42"/>
        <v>242.27509904603079</v>
      </c>
      <c r="E718" s="11">
        <f t="shared" si="43"/>
        <v>959.153617924169</v>
      </c>
      <c r="F718" s="11">
        <f>'Speed Calc'!B$5*E718</f>
        <v>863.23825613175211</v>
      </c>
      <c r="G718" s="15">
        <f>'Speed Calc'!G$3+'Speed Calc'!G$5*A718^2</f>
        <v>20</v>
      </c>
      <c r="H718" s="7">
        <f>(F718-G718)/'Speed Calc'!G$2*9.806</f>
        <v>6.1250328441688593</v>
      </c>
      <c r="I718" s="4">
        <f t="shared" si="44"/>
        <v>18.944444444444446</v>
      </c>
    </row>
    <row r="719" spans="1:9" x14ac:dyDescent="0.2">
      <c r="A719" s="11">
        <v>68.3</v>
      </c>
      <c r="B719" s="15">
        <v>3.133</v>
      </c>
      <c r="C719" s="11">
        <f t="shared" si="45"/>
        <v>8850.9927787541583</v>
      </c>
      <c r="D719" s="11">
        <f t="shared" si="42"/>
        <v>241.86015249981472</v>
      </c>
      <c r="E719" s="11">
        <f t="shared" si="43"/>
        <v>956.10894838872593</v>
      </c>
      <c r="F719" s="11">
        <f>'Speed Calc'!B$5*E719</f>
        <v>860.49805354985335</v>
      </c>
      <c r="G719" s="15">
        <f>'Speed Calc'!G$3+'Speed Calc'!G$5*A719^2</f>
        <v>20</v>
      </c>
      <c r="H719" s="7">
        <f>(F719-G719)/'Speed Calc'!G$2*9.806</f>
        <v>6.1051288245258233</v>
      </c>
      <c r="I719" s="4">
        <f t="shared" si="44"/>
        <v>18.972222222222221</v>
      </c>
    </row>
    <row r="720" spans="1:9" x14ac:dyDescent="0.2">
      <c r="A720" s="11">
        <v>68.400000000000006</v>
      </c>
      <c r="B720" s="15">
        <v>3.133</v>
      </c>
      <c r="C720" s="11">
        <f t="shared" si="45"/>
        <v>8863.9517725737114</v>
      </c>
      <c r="D720" s="11">
        <f t="shared" si="42"/>
        <v>241.43114450953237</v>
      </c>
      <c r="E720" s="11">
        <f t="shared" si="43"/>
        <v>953.01767569552271</v>
      </c>
      <c r="F720" s="11">
        <f>'Speed Calc'!B$5*E720</f>
        <v>857.71590812597049</v>
      </c>
      <c r="G720" s="15">
        <f>'Speed Calc'!G$3+'Speed Calc'!G$5*A720^2</f>
        <v>20</v>
      </c>
      <c r="H720" s="7">
        <f>(F720-G720)/'Speed Calc'!G$2*9.806</f>
        <v>6.084920144506123</v>
      </c>
      <c r="I720" s="4">
        <f t="shared" si="44"/>
        <v>19</v>
      </c>
    </row>
    <row r="721" spans="1:9" x14ac:dyDescent="0.2">
      <c r="A721" s="11">
        <v>68.5</v>
      </c>
      <c r="B721" s="15">
        <v>3.133</v>
      </c>
      <c r="C721" s="11">
        <f t="shared" si="45"/>
        <v>8876.9107663932646</v>
      </c>
      <c r="D721" s="11">
        <f t="shared" si="42"/>
        <v>240.98793662691273</v>
      </c>
      <c r="E721" s="11">
        <f t="shared" si="43"/>
        <v>949.87945823746611</v>
      </c>
      <c r="F721" s="11">
        <f>'Speed Calc'!B$5*E721</f>
        <v>854.89151241371951</v>
      </c>
      <c r="G721" s="15">
        <f>'Speed Calc'!G$3+'Speed Calc'!G$5*A721^2</f>
        <v>20</v>
      </c>
      <c r="H721" s="7">
        <f>(F721-G721)/'Speed Calc'!G$2*9.806</f>
        <v>6.0644045709103205</v>
      </c>
      <c r="I721" s="4">
        <f t="shared" si="44"/>
        <v>19.027777777777779</v>
      </c>
    </row>
    <row r="722" spans="1:9" x14ac:dyDescent="0.2">
      <c r="A722" s="11">
        <v>68.599999999999994</v>
      </c>
      <c r="B722" s="15">
        <v>3.133</v>
      </c>
      <c r="C722" s="11">
        <f t="shared" si="45"/>
        <v>8889.8697602128177</v>
      </c>
      <c r="D722" s="11">
        <f t="shared" si="42"/>
        <v>240.53038961556905</v>
      </c>
      <c r="E722" s="11">
        <f t="shared" si="43"/>
        <v>946.69395329742906</v>
      </c>
      <c r="F722" s="11">
        <f>'Speed Calc'!B$5*E722</f>
        <v>852.02455796768618</v>
      </c>
      <c r="G722" s="15">
        <f>'Speed Calc'!G$3+'Speed Calc'!G$5*A722^2</f>
        <v>20</v>
      </c>
      <c r="H722" s="7">
        <f>(F722-G722)/'Speed Calc'!G$2*9.806</f>
        <v>6.0435798632823188</v>
      </c>
      <c r="I722" s="4">
        <f t="shared" si="44"/>
        <v>19.055555555555554</v>
      </c>
    </row>
    <row r="723" spans="1:9" x14ac:dyDescent="0.2">
      <c r="A723" s="11">
        <v>68.7</v>
      </c>
      <c r="B723" s="15">
        <v>3.133</v>
      </c>
      <c r="C723" s="11">
        <f t="shared" si="45"/>
        <v>8902.828754032369</v>
      </c>
      <c r="D723" s="11">
        <f t="shared" si="42"/>
        <v>240.05836344896056</v>
      </c>
      <c r="E723" s="11">
        <f t="shared" si="43"/>
        <v>943.46081704831647</v>
      </c>
      <c r="F723" s="11">
        <f>'Speed Calc'!B$5*E723</f>
        <v>849.11473534348488</v>
      </c>
      <c r="G723" s="15">
        <f>'Speed Calc'!G$3+'Speed Calc'!G$5*A723^2</f>
        <v>20</v>
      </c>
      <c r="H723" s="7">
        <f>(F723-G723)/'Speed Calc'!G$2*9.806</f>
        <v>6.0224437739097869</v>
      </c>
      <c r="I723" s="4">
        <f t="shared" si="44"/>
        <v>19.083333333333332</v>
      </c>
    </row>
    <row r="724" spans="1:9" x14ac:dyDescent="0.2">
      <c r="A724" s="11">
        <v>68.8</v>
      </c>
      <c r="B724" s="15">
        <v>3.133</v>
      </c>
      <c r="C724" s="11">
        <f t="shared" si="45"/>
        <v>8915.7877478519204</v>
      </c>
      <c r="D724" s="11">
        <f t="shared" si="42"/>
        <v>239.57171730831598</v>
      </c>
      <c r="E724" s="11">
        <f t="shared" si="43"/>
        <v>940.1797045529845</v>
      </c>
      <c r="F724" s="11">
        <f>'Speed Calc'!B$5*E724</f>
        <v>846.16173409768612</v>
      </c>
      <c r="G724" s="15">
        <f>'Speed Calc'!G$3+'Speed Calc'!G$5*A724^2</f>
        <v>20</v>
      </c>
      <c r="H724" s="7">
        <f>(F724-G724)/'Speed Calc'!G$2*9.806</f>
        <v>6.0009940478236361</v>
      </c>
      <c r="I724" s="4">
        <f t="shared" si="44"/>
        <v>19.111111111111111</v>
      </c>
    </row>
    <row r="725" spans="1:9" x14ac:dyDescent="0.2">
      <c r="A725" s="11">
        <v>68.900000000000006</v>
      </c>
      <c r="B725" s="15">
        <v>3.133</v>
      </c>
      <c r="C725" s="11">
        <f t="shared" si="45"/>
        <v>8928.7467416714735</v>
      </c>
      <c r="D725" s="11">
        <f t="shared" si="42"/>
        <v>239.07030958059698</v>
      </c>
      <c r="E725" s="11">
        <f t="shared" si="43"/>
        <v>936.85026976431323</v>
      </c>
      <c r="F725" s="11">
        <f>'Speed Calc'!B$5*E725</f>
        <v>843.16524278788188</v>
      </c>
      <c r="G725" s="15">
        <f>'Speed Calc'!G$3+'Speed Calc'!G$5*A725^2</f>
        <v>20</v>
      </c>
      <c r="H725" s="7">
        <f>(F725-G725)/'Speed Calc'!G$2*9.806</f>
        <v>5.9792284227984958</v>
      </c>
      <c r="I725" s="4">
        <f t="shared" si="44"/>
        <v>19.138888888888889</v>
      </c>
    </row>
    <row r="726" spans="1:9" x14ac:dyDescent="0.2">
      <c r="A726" s="11">
        <v>69</v>
      </c>
      <c r="B726" s="15">
        <v>3.133</v>
      </c>
      <c r="C726" s="11">
        <f t="shared" si="45"/>
        <v>8941.7057354910266</v>
      </c>
      <c r="D726" s="11">
        <f t="shared" si="42"/>
        <v>238.55399785642629</v>
      </c>
      <c r="E726" s="11">
        <f t="shared" si="43"/>
        <v>933.47216552514624</v>
      </c>
      <c r="F726" s="11">
        <f>'Speed Calc'!B$5*E726</f>
        <v>840.12494897263161</v>
      </c>
      <c r="G726" s="15">
        <f>'Speed Calc'!G$3+'Speed Calc'!G$5*A726^2</f>
        <v>20</v>
      </c>
      <c r="H726" s="7">
        <f>(F726-G726)/'Speed Calc'!G$2*9.806</f>
        <v>5.9571446293523147</v>
      </c>
      <c r="I726" s="4">
        <f t="shared" si="44"/>
        <v>19.166666666666668</v>
      </c>
    </row>
    <row r="727" spans="1:9" x14ac:dyDescent="0.2">
      <c r="A727" s="11">
        <v>69.099999999999994</v>
      </c>
      <c r="B727" s="15">
        <v>3.133</v>
      </c>
      <c r="C727" s="11">
        <f t="shared" si="45"/>
        <v>8954.6647293105761</v>
      </c>
      <c r="D727" s="11">
        <f t="shared" si="42"/>
        <v>238.02263892804569</v>
      </c>
      <c r="E727" s="11">
        <f t="shared" si="43"/>
        <v>930.0450435683407</v>
      </c>
      <c r="F727" s="11">
        <f>'Speed Calc'!B$5*E727</f>
        <v>837.0405392115066</v>
      </c>
      <c r="G727" s="15">
        <f>'Speed Calc'!G$3+'Speed Calc'!G$5*A727^2</f>
        <v>20</v>
      </c>
      <c r="H727" s="7">
        <f>(F727-G727)/'Speed Calc'!G$2*9.806</f>
        <v>5.9347403907466916</v>
      </c>
      <c r="I727" s="4">
        <f t="shared" si="44"/>
        <v>19.194444444444443</v>
      </c>
    </row>
    <row r="728" spans="1:9" x14ac:dyDescent="0.2">
      <c r="A728" s="11">
        <v>69.2</v>
      </c>
      <c r="B728" s="15">
        <v>3.133</v>
      </c>
      <c r="C728" s="11">
        <f t="shared" si="45"/>
        <v>8967.6237231301293</v>
      </c>
      <c r="D728" s="11">
        <f t="shared" si="42"/>
        <v>237.47608878725086</v>
      </c>
      <c r="E728" s="11">
        <f t="shared" si="43"/>
        <v>926.56855451673039</v>
      </c>
      <c r="F728" s="11">
        <f>'Speed Calc'!B$5*E728</f>
        <v>833.91169906505741</v>
      </c>
      <c r="G728" s="15">
        <f>'Speed Calc'!G$3+'Speed Calc'!G$5*A728^2</f>
        <v>20</v>
      </c>
      <c r="H728" s="7">
        <f>(F728-G728)/'Speed Calc'!G$2*9.806</f>
        <v>5.9120134229866306</v>
      </c>
      <c r="I728" s="4">
        <f t="shared" si="44"/>
        <v>19.222222222222221</v>
      </c>
    </row>
    <row r="729" spans="1:9" x14ac:dyDescent="0.2">
      <c r="A729" s="11">
        <v>69.3</v>
      </c>
      <c r="B729" s="15">
        <v>3.133</v>
      </c>
      <c r="C729" s="11">
        <f t="shared" si="45"/>
        <v>8980.5827169496824</v>
      </c>
      <c r="D729" s="11">
        <f t="shared" si="42"/>
        <v>236.91420262334219</v>
      </c>
      <c r="E729" s="11">
        <f t="shared" si="43"/>
        <v>923.04234788315159</v>
      </c>
      <c r="F729" s="11">
        <f>'Speed Calc'!B$5*E729</f>
        <v>830.73811309483642</v>
      </c>
      <c r="G729" s="15">
        <f>'Speed Calc'!G$3+'Speed Calc'!G$5*A729^2</f>
        <v>20</v>
      </c>
      <c r="H729" s="7">
        <f>(F729-G729)/'Speed Calc'!G$2*9.806</f>
        <v>5.8889614348207147</v>
      </c>
      <c r="I729" s="4">
        <f t="shared" si="44"/>
        <v>19.25</v>
      </c>
    </row>
    <row r="730" spans="1:9" x14ac:dyDescent="0.2">
      <c r="A730" s="11">
        <v>69.400000000000006</v>
      </c>
      <c r="B730" s="15">
        <v>3.133</v>
      </c>
      <c r="C730" s="11">
        <f t="shared" si="45"/>
        <v>8993.5417107692338</v>
      </c>
      <c r="D730" s="11">
        <f t="shared" si="42"/>
        <v>236.33683482106312</v>
      </c>
      <c r="E730" s="11">
        <f t="shared" si="43"/>
        <v>919.4660720704187</v>
      </c>
      <c r="F730" s="11">
        <f>'Speed Calc'!B$5*E730</f>
        <v>827.51946486337681</v>
      </c>
      <c r="G730" s="15">
        <f>'Speed Calc'!G$3+'Speed Calc'!G$5*A730^2</f>
        <v>20</v>
      </c>
      <c r="H730" s="7">
        <f>(F730-G730)/'Speed Calc'!G$2*9.806</f>
        <v>5.8655821277409421</v>
      </c>
      <c r="I730" s="4">
        <f t="shared" si="44"/>
        <v>19.277777777777779</v>
      </c>
    </row>
    <row r="731" spans="1:9" x14ac:dyDescent="0.2">
      <c r="A731" s="11">
        <v>69.5</v>
      </c>
      <c r="B731" s="15">
        <v>3.133</v>
      </c>
      <c r="C731" s="11">
        <f t="shared" si="45"/>
        <v>9006.5007045887851</v>
      </c>
      <c r="D731" s="11">
        <f t="shared" si="42"/>
        <v>235.74383895855132</v>
      </c>
      <c r="E731" s="11">
        <f t="shared" si="43"/>
        <v>915.83937437135057</v>
      </c>
      <c r="F731" s="11">
        <f>'Speed Calc'!B$5*E731</f>
        <v>824.25543693421548</v>
      </c>
      <c r="G731" s="15">
        <f>'Speed Calc'!G$3+'Speed Calc'!G$5*A731^2</f>
        <v>20</v>
      </c>
      <c r="H731" s="7">
        <f>(F731-G731)/'Speed Calc'!G$2*9.806</f>
        <v>5.8418731959829016</v>
      </c>
      <c r="I731" s="4">
        <f t="shared" si="44"/>
        <v>19.305555555555554</v>
      </c>
    </row>
    <row r="732" spans="1:9" x14ac:dyDescent="0.2">
      <c r="A732" s="11">
        <v>69.599999999999994</v>
      </c>
      <c r="B732" s="15">
        <v>3.133</v>
      </c>
      <c r="C732" s="11">
        <f t="shared" si="45"/>
        <v>9019.4596984083382</v>
      </c>
      <c r="D732" s="11">
        <f t="shared" si="42"/>
        <v>235.13506780527626</v>
      </c>
      <c r="E732" s="11">
        <f t="shared" si="43"/>
        <v>912.16190096874425</v>
      </c>
      <c r="F732" s="11">
        <f>'Speed Calc'!B$5*E732</f>
        <v>820.94571087186989</v>
      </c>
      <c r="G732" s="15">
        <f>'Speed Calc'!G$3+'Speed Calc'!G$5*A732^2</f>
        <v>20</v>
      </c>
      <c r="H732" s="7">
        <f>(F732-G732)/'Speed Calc'!G$2*9.806</f>
        <v>5.817832326525596</v>
      </c>
      <c r="I732" s="4">
        <f t="shared" si="44"/>
        <v>19.333333333333332</v>
      </c>
    </row>
    <row r="733" spans="1:9" x14ac:dyDescent="0.2">
      <c r="A733" s="11">
        <v>69.7</v>
      </c>
      <c r="B733" s="15">
        <v>3.133</v>
      </c>
      <c r="C733" s="11">
        <f t="shared" si="45"/>
        <v>9032.4186922278932</v>
      </c>
      <c r="D733" s="11">
        <f t="shared" si="42"/>
        <v>234.51037331999208</v>
      </c>
      <c r="E733" s="11">
        <f t="shared" si="43"/>
        <v>908.4332969354067</v>
      </c>
      <c r="F733" s="11">
        <f>'Speed Calc'!B$5*E733</f>
        <v>817.58996724186602</v>
      </c>
      <c r="G733" s="15">
        <f>'Speed Calc'!G$3+'Speed Calc'!G$5*A733^2</f>
        <v>20</v>
      </c>
      <c r="H733" s="7">
        <f>(F733-G733)/'Speed Calc'!G$2*9.806</f>
        <v>5.7934571990916579</v>
      </c>
      <c r="I733" s="4">
        <f t="shared" si="44"/>
        <v>19.361111111111111</v>
      </c>
    </row>
    <row r="734" spans="1:9" x14ac:dyDescent="0.2">
      <c r="A734" s="11">
        <v>69.8</v>
      </c>
      <c r="B734" s="15">
        <v>3.133</v>
      </c>
      <c r="C734" s="11">
        <f t="shared" si="45"/>
        <v>9045.3776860474445</v>
      </c>
      <c r="D734" s="11">
        <f t="shared" si="42"/>
        <v>233.86960664867286</v>
      </c>
      <c r="E734" s="11">
        <f t="shared" si="43"/>
        <v>904.65320623412117</v>
      </c>
      <c r="F734" s="11">
        <f>'Speed Calc'!B$5*E734</f>
        <v>814.18788561070903</v>
      </c>
      <c r="G734" s="15">
        <f>'Speed Calc'!G$3+'Speed Calc'!G$5*A734^2</f>
        <v>20</v>
      </c>
      <c r="H734" s="7">
        <f>(F734-G734)/'Speed Calc'!G$2*9.806</f>
        <v>5.7687454861471199</v>
      </c>
      <c r="I734" s="4">
        <f t="shared" si="44"/>
        <v>19.388888888888889</v>
      </c>
    </row>
    <row r="735" spans="1:9" x14ac:dyDescent="0.2">
      <c r="A735" s="11">
        <v>69.900000000000006</v>
      </c>
      <c r="B735" s="15">
        <v>3.133</v>
      </c>
      <c r="C735" s="11">
        <f t="shared" si="45"/>
        <v>9058.3366798669958</v>
      </c>
      <c r="D735" s="11">
        <f t="shared" si="42"/>
        <v>233.21261812246107</v>
      </c>
      <c r="E735" s="11">
        <f t="shared" si="43"/>
        <v>900.82127171766081</v>
      </c>
      <c r="F735" s="11">
        <f>'Speed Calc'!B$5*E735</f>
        <v>810.73914454589476</v>
      </c>
      <c r="G735" s="15">
        <f>'Speed Calc'!G$3+'Speed Calc'!G$5*A735^2</f>
        <v>20</v>
      </c>
      <c r="H735" s="7">
        <f>(F735-G735)/'Speed Calc'!G$2*9.806</f>
        <v>5.7436948529015135</v>
      </c>
      <c r="I735" s="4">
        <f t="shared" si="44"/>
        <v>19.416666666666668</v>
      </c>
    </row>
    <row r="736" spans="1:9" x14ac:dyDescent="0.2">
      <c r="A736" s="11">
        <v>70</v>
      </c>
      <c r="B736" s="15">
        <v>3.133</v>
      </c>
      <c r="C736" s="11">
        <f t="shared" si="45"/>
        <v>9071.2956736865453</v>
      </c>
      <c r="D736" s="11">
        <f t="shared" si="42"/>
        <v>232.53925725561595</v>
      </c>
      <c r="E736" s="11">
        <f t="shared" si="43"/>
        <v>896.9371351288047</v>
      </c>
      <c r="F736" s="11">
        <f>'Speed Calc'!B$5*E736</f>
        <v>807.24342161592426</v>
      </c>
      <c r="G736" s="15">
        <f>'Speed Calc'!G$3+'Speed Calc'!G$5*A736^2</f>
        <v>20</v>
      </c>
      <c r="H736" s="7">
        <f>(F736-G736)/'Speed Calc'!G$2*9.806</f>
        <v>5.7183029573079649</v>
      </c>
      <c r="I736" s="4">
        <f t="shared" si="44"/>
        <v>19.444444444444443</v>
      </c>
    </row>
    <row r="737" spans="1:9" x14ac:dyDescent="0.2">
      <c r="A737" s="11">
        <v>70.099999999999994</v>
      </c>
      <c r="B737" s="15">
        <v>3.133</v>
      </c>
      <c r="C737" s="11">
        <f t="shared" si="45"/>
        <v>9084.2546675060985</v>
      </c>
      <c r="D737" s="11">
        <f t="shared" si="42"/>
        <v>231.84937274344998</v>
      </c>
      <c r="E737" s="11">
        <f t="shared" si="43"/>
        <v>893.00043710030673</v>
      </c>
      <c r="F737" s="11">
        <f>'Speed Calc'!B$5*E737</f>
        <v>803.70039339027608</v>
      </c>
      <c r="G737" s="15">
        <f>'Speed Calc'!G$3+'Speed Calc'!G$5*A737^2</f>
        <v>20</v>
      </c>
      <c r="H737" s="7">
        <f>(F737-G737)/'Speed Calc'!G$2*9.806</f>
        <v>5.6925674500629979</v>
      </c>
      <c r="I737" s="4">
        <f t="shared" si="44"/>
        <v>19.472222222222221</v>
      </c>
    </row>
    <row r="738" spans="1:9" x14ac:dyDescent="0.2">
      <c r="A738" s="11">
        <v>70.2</v>
      </c>
      <c r="B738" s="15">
        <v>3.133</v>
      </c>
      <c r="C738" s="11">
        <f t="shared" si="45"/>
        <v>9097.2136613256516</v>
      </c>
      <c r="D738" s="11">
        <f t="shared" si="42"/>
        <v>231.14281246027917</v>
      </c>
      <c r="E738" s="11">
        <f t="shared" si="43"/>
        <v>889.01081715491989</v>
      </c>
      <c r="F738" s="11">
        <f>'Speed Calc'!B$5*E738</f>
        <v>800.10973543942794</v>
      </c>
      <c r="G738" s="15">
        <f>'Speed Calc'!G$3+'Speed Calc'!G$5*A738^2</f>
        <v>20</v>
      </c>
      <c r="H738" s="7">
        <f>(F738-G738)/'Speed Calc'!G$2*9.806</f>
        <v>5.6664859746066885</v>
      </c>
      <c r="I738" s="4">
        <f t="shared" si="44"/>
        <v>19.5</v>
      </c>
    </row>
    <row r="739" spans="1:9" x14ac:dyDescent="0.2">
      <c r="A739" s="11">
        <v>70.3</v>
      </c>
      <c r="B739" s="15">
        <v>3.133</v>
      </c>
      <c r="C739" s="11">
        <f t="shared" si="45"/>
        <v>9110.172655145203</v>
      </c>
      <c r="D739" s="11">
        <f t="shared" si="42"/>
        <v>230.41942345736601</v>
      </c>
      <c r="E739" s="11">
        <f t="shared" si="43"/>
        <v>884.96791370538881</v>
      </c>
      <c r="F739" s="11">
        <f>'Speed Calc'!B$5*E739</f>
        <v>796.47112233484995</v>
      </c>
      <c r="G739" s="15">
        <f>'Speed Calc'!G$3+'Speed Calc'!G$5*A739^2</f>
        <v>20</v>
      </c>
      <c r="H739" s="7">
        <f>(F739-G739)/'Speed Calc'!G$2*9.806</f>
        <v>5.640056167122621</v>
      </c>
      <c r="I739" s="4">
        <f t="shared" si="44"/>
        <v>19.527777777777775</v>
      </c>
    </row>
    <row r="740" spans="1:9" x14ac:dyDescent="0.2">
      <c r="A740" s="11">
        <v>70.400000000000006</v>
      </c>
      <c r="B740" s="15">
        <v>3.133</v>
      </c>
      <c r="C740" s="11">
        <f t="shared" si="45"/>
        <v>9123.1316489647597</v>
      </c>
      <c r="D740" s="11">
        <f t="shared" si="42"/>
        <v>229.67905196086457</v>
      </c>
      <c r="E740" s="11">
        <f t="shared" si="43"/>
        <v>880.87136405445176</v>
      </c>
      <c r="F740" s="11">
        <f>'Speed Calc'!B$5*E740</f>
        <v>792.78422764900665</v>
      </c>
      <c r="G740" s="15">
        <f>'Speed Calc'!G$3+'Speed Calc'!G$5*A740^2</f>
        <v>20</v>
      </c>
      <c r="H740" s="7">
        <f>(F740-G740)/'Speed Calc'!G$2*9.806</f>
        <v>5.6132756565378958</v>
      </c>
      <c r="I740" s="4">
        <f t="shared" si="44"/>
        <v>19.555555555555557</v>
      </c>
    </row>
    <row r="741" spans="1:9" x14ac:dyDescent="0.2">
      <c r="A741" s="11">
        <v>70.5</v>
      </c>
      <c r="B741" s="15">
        <v>3.133</v>
      </c>
      <c r="C741" s="11">
        <f t="shared" si="45"/>
        <v>9136.0906427843092</v>
      </c>
      <c r="D741" s="11">
        <f t="shared" ref="D741:D804" si="46">-4.687*10^(-17)*C741^5+9.129*10^(-13)*C741^4-6.175*10^(-9)*C741^3+1.799*10^(-5)*C741^2+6.502*10^(-3)*C741</f>
        <v>228.92154336976239</v>
      </c>
      <c r="E741" s="11">
        <f t="shared" si="43"/>
        <v>876.72080439483454</v>
      </c>
      <c r="F741" s="11">
        <f>'Speed Calc'!B$5*E741</f>
        <v>789.04872395535108</v>
      </c>
      <c r="G741" s="15">
        <f>'Speed Calc'!G$3+'Speed Calc'!G$5*A741^2</f>
        <v>20</v>
      </c>
      <c r="H741" s="7">
        <f>(F741-G741)/'Speed Calc'!G$2*9.806</f>
        <v>5.5861420645230906</v>
      </c>
      <c r="I741" s="4">
        <f t="shared" si="44"/>
        <v>19.583333333333332</v>
      </c>
    </row>
    <row r="742" spans="1:9" x14ac:dyDescent="0.2">
      <c r="A742" s="11">
        <v>70.599999999999994</v>
      </c>
      <c r="B742" s="15">
        <v>3.133</v>
      </c>
      <c r="C742" s="11">
        <f t="shared" si="45"/>
        <v>9149.0496366038606</v>
      </c>
      <c r="D742" s="11">
        <f t="shared" si="46"/>
        <v>228.14674225382768</v>
      </c>
      <c r="E742" s="11">
        <f t="shared" ref="E742:E805" si="47">D742*75*B742*B$31*B$32/B$23/C742/2/PI()*60</f>
        <v>872.51586980925617</v>
      </c>
      <c r="F742" s="11">
        <f>'Speed Calc'!B$5*E742</f>
        <v>785.26428282833058</v>
      </c>
      <c r="G742" s="15">
        <f>'Speed Calc'!G$3+'Speed Calc'!G$5*A742^2</f>
        <v>20</v>
      </c>
      <c r="H742" s="7">
        <f>(F742-G742)/'Speed Calc'!G$2*9.806</f>
        <v>5.5586530054923031</v>
      </c>
      <c r="I742" s="4">
        <f t="shared" ref="I742:I805" si="48">A742/3.6</f>
        <v>19.611111111111111</v>
      </c>
    </row>
    <row r="743" spans="1:9" x14ac:dyDescent="0.2">
      <c r="A743" s="11">
        <v>70.7</v>
      </c>
      <c r="B743" s="15">
        <v>3.133</v>
      </c>
      <c r="C743" s="11">
        <f t="shared" si="45"/>
        <v>9162.0086304234119</v>
      </c>
      <c r="D743" s="11">
        <f t="shared" si="46"/>
        <v>227.35449235154948</v>
      </c>
      <c r="E743" s="11">
        <f t="shared" si="47"/>
        <v>868.25619427041545</v>
      </c>
      <c r="F743" s="11">
        <f>'Speed Calc'!B$5*E743</f>
        <v>781.43057484337396</v>
      </c>
      <c r="G743" s="15">
        <f>'Speed Calc'!G$3+'Speed Calc'!G$5*A743^2</f>
        <v>20</v>
      </c>
      <c r="H743" s="7">
        <f>(F743-G743)/'Speed Calc'!G$2*9.806</f>
        <v>5.5308060866030555</v>
      </c>
      <c r="I743" s="4">
        <f t="shared" si="48"/>
        <v>19.638888888888889</v>
      </c>
    </row>
    <row r="744" spans="1:9" x14ac:dyDescent="0.2">
      <c r="A744" s="11">
        <v>70.8</v>
      </c>
      <c r="B744" s="15">
        <v>3.133</v>
      </c>
      <c r="C744" s="11">
        <f t="shared" si="45"/>
        <v>9174.967624242965</v>
      </c>
      <c r="D744" s="11">
        <f t="shared" si="46"/>
        <v>226.54463656809051</v>
      </c>
      <c r="E744" s="11">
        <f t="shared" si="47"/>
        <v>863.94141064102325</v>
      </c>
      <c r="F744" s="11">
        <f>'Speed Calc'!B$5*E744</f>
        <v>777.54726957692094</v>
      </c>
      <c r="G744" s="15">
        <f>'Speed Calc'!G$3+'Speed Calc'!G$5*A744^2</f>
        <v>20</v>
      </c>
      <c r="H744" s="7">
        <f>(F744-G744)/'Speed Calc'!G$2*9.806</f>
        <v>5.502598907756509</v>
      </c>
      <c r="I744" s="4">
        <f t="shared" si="48"/>
        <v>19.666666666666664</v>
      </c>
    </row>
    <row r="745" spans="1:9" x14ac:dyDescent="0.2">
      <c r="A745" s="11">
        <v>70.900000000000006</v>
      </c>
      <c r="B745" s="15">
        <v>3.133</v>
      </c>
      <c r="C745" s="11">
        <f t="shared" si="45"/>
        <v>9187.92661806252</v>
      </c>
      <c r="D745" s="11">
        <f t="shared" si="46"/>
        <v>225.71701697322374</v>
      </c>
      <c r="E745" s="11">
        <f t="shared" si="47"/>
        <v>859.57115067377151</v>
      </c>
      <c r="F745" s="11">
        <f>'Speed Calc'!B$5*E745</f>
        <v>773.6140356063944</v>
      </c>
      <c r="G745" s="15">
        <f>'Speed Calc'!G$3+'Speed Calc'!G$5*A745^2</f>
        <v>20</v>
      </c>
      <c r="H745" s="7">
        <f>(F745-G745)/'Speed Calc'!G$2*9.806</f>
        <v>5.4740290615972622</v>
      </c>
      <c r="I745" s="4">
        <f t="shared" si="48"/>
        <v>19.694444444444446</v>
      </c>
    </row>
    <row r="746" spans="1:9" x14ac:dyDescent="0.2">
      <c r="A746" s="11">
        <v>71</v>
      </c>
      <c r="B746" s="15">
        <v>3.133</v>
      </c>
      <c r="C746" s="11">
        <f t="shared" si="45"/>
        <v>9200.8856118820695</v>
      </c>
      <c r="D746" s="11">
        <f t="shared" si="46"/>
        <v>224.87147479927827</v>
      </c>
      <c r="E746" s="11">
        <f t="shared" si="47"/>
        <v>855.1450450113399</v>
      </c>
      <c r="F746" s="11">
        <f>'Speed Calc'!B$5*E746</f>
        <v>769.63054051020595</v>
      </c>
      <c r="G746" s="15">
        <f>'Speed Calc'!G$3+'Speed Calc'!G$5*A746^2</f>
        <v>20</v>
      </c>
      <c r="H746" s="7">
        <f>(F746-G746)/'Speed Calc'!G$2*9.806</f>
        <v>5.4450941335133924</v>
      </c>
      <c r="I746" s="4">
        <f t="shared" si="48"/>
        <v>19.722222222222221</v>
      </c>
    </row>
    <row r="747" spans="1:9" x14ac:dyDescent="0.2">
      <c r="A747" s="11">
        <v>71.099999999999994</v>
      </c>
      <c r="B747" s="15">
        <v>3.133</v>
      </c>
      <c r="C747" s="11">
        <f t="shared" ref="C747:C810" si="49">A747/3.6/B$23/2/PI()*B$32*B$31*B747*60</f>
        <v>9213.8446057016208</v>
      </c>
      <c r="D747" s="11">
        <f t="shared" si="46"/>
        <v>224.00785043908553</v>
      </c>
      <c r="E747" s="11">
        <f t="shared" si="47"/>
        <v>850.66272318640097</v>
      </c>
      <c r="F747" s="11">
        <f>'Speed Calc'!B$5*E747</f>
        <v>765.59645086776084</v>
      </c>
      <c r="G747" s="15">
        <f>'Speed Calc'!G$3+'Speed Calc'!G$5*A747^2</f>
        <v>20</v>
      </c>
      <c r="H747" s="7">
        <f>(F747-G747)/'Speed Calc'!G$2*9.806</f>
        <v>5.4157917016364907</v>
      </c>
      <c r="I747" s="4">
        <f t="shared" si="48"/>
        <v>19.749999999999996</v>
      </c>
    </row>
    <row r="748" spans="1:9" x14ac:dyDescent="0.2">
      <c r="A748" s="11">
        <v>71.2</v>
      </c>
      <c r="B748" s="15">
        <v>3.133</v>
      </c>
      <c r="C748" s="11">
        <f t="shared" si="49"/>
        <v>9226.8035995211721</v>
      </c>
      <c r="D748" s="11">
        <f t="shared" si="46"/>
        <v>223.12598344392416</v>
      </c>
      <c r="E748" s="11">
        <f t="shared" si="47"/>
        <v>846.12381362162284</v>
      </c>
      <c r="F748" s="11">
        <f>'Speed Calc'!B$5*E748</f>
        <v>761.51143225946055</v>
      </c>
      <c r="G748" s="15">
        <f>'Speed Calc'!G$3+'Speed Calc'!G$5*A748^2</f>
        <v>20</v>
      </c>
      <c r="H748" s="7">
        <f>(F748-G748)/'Speed Calc'!G$2*9.806</f>
        <v>5.3861193368416815</v>
      </c>
      <c r="I748" s="4">
        <f t="shared" si="48"/>
        <v>19.777777777777779</v>
      </c>
    </row>
    <row r="749" spans="1:9" x14ac:dyDescent="0.2">
      <c r="A749" s="11">
        <v>71.3</v>
      </c>
      <c r="B749" s="15">
        <v>3.133</v>
      </c>
      <c r="C749" s="11">
        <f t="shared" si="49"/>
        <v>9239.7625933407253</v>
      </c>
      <c r="D749" s="11">
        <f t="shared" si="46"/>
        <v>222.22571252146335</v>
      </c>
      <c r="E749" s="11">
        <f t="shared" si="47"/>
        <v>841.52794362966506</v>
      </c>
      <c r="F749" s="11">
        <f>'Speed Calc'!B$5*E749</f>
        <v>757.3751492666986</v>
      </c>
      <c r="G749" s="15">
        <f>'Speed Calc'!G$3+'Speed Calc'!G$5*A749^2</f>
        <v>20</v>
      </c>
      <c r="H749" s="7">
        <f>(F749-G749)/'Speed Calc'!G$2*9.806</f>
        <v>5.3560746027475892</v>
      </c>
      <c r="I749" s="4">
        <f t="shared" si="48"/>
        <v>19.805555555555554</v>
      </c>
    </row>
    <row r="750" spans="1:9" x14ac:dyDescent="0.2">
      <c r="A750" s="11">
        <v>71.400000000000006</v>
      </c>
      <c r="B750" s="15">
        <v>3.133</v>
      </c>
      <c r="C750" s="11">
        <f t="shared" si="49"/>
        <v>9252.7215871602784</v>
      </c>
      <c r="D750" s="11">
        <f t="shared" si="46"/>
        <v>221.30687553370541</v>
      </c>
      <c r="E750" s="11">
        <f t="shared" si="47"/>
        <v>836.87473941317182</v>
      </c>
      <c r="F750" s="11">
        <f>'Speed Calc'!B$5*E750</f>
        <v>753.18726547185463</v>
      </c>
      <c r="G750" s="15">
        <f>'Speed Calc'!G$3+'Speed Calc'!G$5*A750^2</f>
        <v>20</v>
      </c>
      <c r="H750" s="7">
        <f>(F750-G750)/'Speed Calc'!G$2*9.806</f>
        <v>5.3256550557163003</v>
      </c>
      <c r="I750" s="4">
        <f t="shared" si="48"/>
        <v>19.833333333333336</v>
      </c>
    </row>
    <row r="751" spans="1:9" x14ac:dyDescent="0.2">
      <c r="A751" s="11">
        <v>71.5</v>
      </c>
      <c r="B751" s="15">
        <v>3.133</v>
      </c>
      <c r="C751" s="11">
        <f t="shared" si="49"/>
        <v>9265.6805809798316</v>
      </c>
      <c r="D751" s="11">
        <f t="shared" si="46"/>
        <v>220.36930949493401</v>
      </c>
      <c r="E751" s="11">
        <f t="shared" si="47"/>
        <v>832.16382606478589</v>
      </c>
      <c r="F751" s="11">
        <f>'Speed Calc'!B$5*E751</f>
        <v>748.94744345830736</v>
      </c>
      <c r="G751" s="15">
        <f>'Speed Calc'!G$3+'Speed Calc'!G$5*A751^2</f>
        <v>20</v>
      </c>
      <c r="H751" s="7">
        <f>(F751-G751)/'Speed Calc'!G$2*9.806</f>
        <v>5.2948582448534527</v>
      </c>
      <c r="I751" s="4">
        <f t="shared" si="48"/>
        <v>19.861111111111111</v>
      </c>
    </row>
    <row r="752" spans="1:9" x14ac:dyDescent="0.2">
      <c r="A752" s="11">
        <v>71.599999999999994</v>
      </c>
      <c r="B752" s="15">
        <v>3.133</v>
      </c>
      <c r="C752" s="11">
        <f t="shared" si="49"/>
        <v>9278.6395747993811</v>
      </c>
      <c r="D752" s="11">
        <f t="shared" si="46"/>
        <v>219.41285056965671</v>
      </c>
      <c r="E752" s="11">
        <f t="shared" si="47"/>
        <v>827.39482756714165</v>
      </c>
      <c r="F752" s="11">
        <f>'Speed Calc'!B$5*E752</f>
        <v>744.65534481042755</v>
      </c>
      <c r="G752" s="15">
        <f>'Speed Calc'!G$3+'Speed Calc'!G$5*A752^2</f>
        <v>20</v>
      </c>
      <c r="H752" s="7">
        <f>(F752-G752)/'Speed Calc'!G$2*9.806</f>
        <v>5.2636817120081867</v>
      </c>
      <c r="I752" s="4">
        <f t="shared" si="48"/>
        <v>19.888888888888886</v>
      </c>
    </row>
    <row r="753" spans="1:9" x14ac:dyDescent="0.2">
      <c r="A753" s="11">
        <v>71.7</v>
      </c>
      <c r="B753" s="15">
        <v>3.133</v>
      </c>
      <c r="C753" s="11">
        <f t="shared" si="49"/>
        <v>9291.598568618936</v>
      </c>
      <c r="D753" s="11">
        <f t="shared" si="46"/>
        <v>218.43733407054535</v>
      </c>
      <c r="E753" s="11">
        <f t="shared" si="47"/>
        <v>822.56736679284859</v>
      </c>
      <c r="F753" s="11">
        <f>'Speed Calc'!B$5*E753</f>
        <v>740.31063011356378</v>
      </c>
      <c r="G753" s="15">
        <f>'Speed Calc'!G$3+'Speed Calc'!G$5*A753^2</f>
        <v>20</v>
      </c>
      <c r="H753" s="7">
        <f>(F753-G753)/'Speed Calc'!G$2*9.806</f>
        <v>5.232122991773041</v>
      </c>
      <c r="I753" s="4">
        <f t="shared" si="48"/>
        <v>19.916666666666668</v>
      </c>
    </row>
    <row r="754" spans="1:9" x14ac:dyDescent="0.2">
      <c r="A754" s="11">
        <v>71.8</v>
      </c>
      <c r="B754" s="15">
        <v>3.133</v>
      </c>
      <c r="C754" s="11">
        <f t="shared" si="49"/>
        <v>9304.5575624384855</v>
      </c>
      <c r="D754" s="11">
        <f t="shared" si="46"/>
        <v>217.44259445639085</v>
      </c>
      <c r="E754" s="11">
        <f t="shared" si="47"/>
        <v>817.68106550453399</v>
      </c>
      <c r="F754" s="11">
        <f>'Speed Calc'!B$5*E754</f>
        <v>735.91295895408064</v>
      </c>
      <c r="G754" s="15">
        <f>'Speed Calc'!G$3+'Speed Calc'!G$5*A754^2</f>
        <v>20</v>
      </c>
      <c r="H754" s="7">
        <f>(F754-G754)/'Speed Calc'!G$2*9.806</f>
        <v>5.2001796114842325</v>
      </c>
      <c r="I754" s="4">
        <f t="shared" si="48"/>
        <v>19.944444444444443</v>
      </c>
    </row>
    <row r="755" spans="1:9" x14ac:dyDescent="0.2">
      <c r="A755" s="11">
        <v>71.900000000000006</v>
      </c>
      <c r="B755" s="15">
        <v>3.133</v>
      </c>
      <c r="C755" s="11">
        <f t="shared" si="49"/>
        <v>9317.5165562580405</v>
      </c>
      <c r="D755" s="11">
        <f t="shared" si="46"/>
        <v>216.42846533003777</v>
      </c>
      <c r="E755" s="11">
        <f t="shared" si="47"/>
        <v>812.73554435480105</v>
      </c>
      <c r="F755" s="11">
        <f>'Speed Calc'!B$5*E755</f>
        <v>731.46198991932101</v>
      </c>
      <c r="G755" s="15">
        <f>'Speed Calc'!G$3+'Speed Calc'!G$5*A755^2</f>
        <v>20</v>
      </c>
      <c r="H755" s="7">
        <f>(F755-G755)/'Speed Calc'!G$2*9.806</f>
        <v>5.1678490912213793</v>
      </c>
      <c r="I755" s="4">
        <f t="shared" si="48"/>
        <v>19.972222222222225</v>
      </c>
    </row>
    <row r="756" spans="1:9" x14ac:dyDescent="0.2">
      <c r="A756" s="11">
        <v>72</v>
      </c>
      <c r="B756" s="15">
        <v>3.133</v>
      </c>
      <c r="C756" s="11">
        <f t="shared" si="49"/>
        <v>9330.4755500775918</v>
      </c>
      <c r="D756" s="11">
        <f t="shared" si="46"/>
        <v>215.39477943633062</v>
      </c>
      <c r="E756" s="11">
        <f t="shared" si="47"/>
        <v>807.73042288623992</v>
      </c>
      <c r="F756" s="11">
        <f>'Speed Calc'!B$5*E756</f>
        <v>726.95738059761595</v>
      </c>
      <c r="G756" s="15">
        <f>'Speed Calc'!G$3+'Speed Calc'!G$5*A756^2</f>
        <v>20</v>
      </c>
      <c r="H756" s="7">
        <f>(F756-G756)/'Speed Calc'!G$2*9.806</f>
        <v>5.1351289438075716</v>
      </c>
      <c r="I756" s="4">
        <f t="shared" si="48"/>
        <v>20</v>
      </c>
    </row>
    <row r="757" spans="1:9" x14ac:dyDescent="0.2">
      <c r="A757" s="11">
        <v>72.099999999999994</v>
      </c>
      <c r="B757" s="15">
        <v>3.133</v>
      </c>
      <c r="C757" s="11">
        <f t="shared" si="49"/>
        <v>9343.4345438971432</v>
      </c>
      <c r="D757" s="11">
        <f t="shared" si="46"/>
        <v>214.34136866006116</v>
      </c>
      <c r="E757" s="11">
        <f t="shared" si="47"/>
        <v>802.66531953143578</v>
      </c>
      <c r="F757" s="11">
        <f>'Speed Calc'!B$5*E757</f>
        <v>722.39878757829217</v>
      </c>
      <c r="G757" s="15">
        <f>'Speed Calc'!G$3+'Speed Calc'!G$5*A757^2</f>
        <v>20</v>
      </c>
      <c r="H757" s="7">
        <f>(F757-G757)/'Speed Calc'!G$2*9.806</f>
        <v>5.1020166748094313</v>
      </c>
      <c r="I757" s="4">
        <f t="shared" si="48"/>
        <v>20.027777777777775</v>
      </c>
    </row>
    <row r="758" spans="1:9" x14ac:dyDescent="0.2">
      <c r="A758" s="11">
        <v>72.2</v>
      </c>
      <c r="B758" s="15">
        <v>3.133</v>
      </c>
      <c r="C758" s="11">
        <f t="shared" si="49"/>
        <v>9356.3935377166981</v>
      </c>
      <c r="D758" s="11">
        <f t="shared" si="46"/>
        <v>213.26806402391577</v>
      </c>
      <c r="E758" s="11">
        <f t="shared" si="47"/>
        <v>797.53985161298135</v>
      </c>
      <c r="F758" s="11">
        <f>'Speed Calc'!B$5*E758</f>
        <v>717.78586645168321</v>
      </c>
      <c r="G758" s="15">
        <f>'Speed Calc'!G$3+'Speed Calc'!G$5*A758^2</f>
        <v>20</v>
      </c>
      <c r="H758" s="7">
        <f>(F758-G758)/'Speed Calc'!G$2*9.806</f>
        <v>5.0685097825371885</v>
      </c>
      <c r="I758" s="4">
        <f t="shared" si="48"/>
        <v>20.055555555555557</v>
      </c>
    </row>
    <row r="759" spans="1:9" x14ac:dyDescent="0.2">
      <c r="A759" s="11">
        <v>72.3</v>
      </c>
      <c r="B759" s="15">
        <v>3.133</v>
      </c>
      <c r="C759" s="11">
        <f t="shared" si="49"/>
        <v>9369.3525315362476</v>
      </c>
      <c r="D759" s="11">
        <f t="shared" si="46"/>
        <v>212.17469568640877</v>
      </c>
      <c r="E759" s="11">
        <f t="shared" si="47"/>
        <v>792.35363534343526</v>
      </c>
      <c r="F759" s="11">
        <f>'Speed Calc'!B$5*E759</f>
        <v>713.11827180909177</v>
      </c>
      <c r="G759" s="15">
        <f>'Speed Calc'!G$3+'Speed Calc'!G$5*A759^2</f>
        <v>20</v>
      </c>
      <c r="H759" s="7">
        <f>(F759-G759)/'Speed Calc'!G$2*9.806</f>
        <v>5.0346057580444095</v>
      </c>
      <c r="I759" s="4">
        <f t="shared" si="48"/>
        <v>20.083333333333332</v>
      </c>
    </row>
    <row r="760" spans="1:9" x14ac:dyDescent="0.2">
      <c r="A760" s="11">
        <v>72.400000000000006</v>
      </c>
      <c r="B760" s="15">
        <v>3.133</v>
      </c>
      <c r="C760" s="11">
        <f t="shared" si="49"/>
        <v>9382.3115253557989</v>
      </c>
      <c r="D760" s="11">
        <f t="shared" si="46"/>
        <v>211.06109293983761</v>
      </c>
      <c r="E760" s="11">
        <f t="shared" si="47"/>
        <v>787.10628582536151</v>
      </c>
      <c r="F760" s="11">
        <f>'Speed Calc'!B$5*E760</f>
        <v>708.39565724282534</v>
      </c>
      <c r="G760" s="15">
        <f>'Speed Calc'!G$3+'Speed Calc'!G$5*A760^2</f>
        <v>20</v>
      </c>
      <c r="H760" s="7">
        <f>(F760-G760)/'Speed Calc'!G$2*9.806</f>
        <v>5.0003020851282551</v>
      </c>
      <c r="I760" s="4">
        <f t="shared" si="48"/>
        <v>20.111111111111111</v>
      </c>
    </row>
    <row r="761" spans="1:9" x14ac:dyDescent="0.2">
      <c r="A761" s="11">
        <v>72.5</v>
      </c>
      <c r="B761" s="15">
        <v>3.133</v>
      </c>
      <c r="C761" s="11">
        <f t="shared" si="49"/>
        <v>9395.2705191753521</v>
      </c>
      <c r="D761" s="11">
        <f t="shared" si="46"/>
        <v>209.92708420822231</v>
      </c>
      <c r="E761" s="11">
        <f t="shared" si="47"/>
        <v>781.79741705131073</v>
      </c>
      <c r="F761" s="11">
        <f>'Speed Calc'!B$5*E761</f>
        <v>703.61767534617968</v>
      </c>
      <c r="G761" s="15">
        <f>'Speed Calc'!G$3+'Speed Calc'!G$5*A761^2</f>
        <v>20</v>
      </c>
      <c r="H761" s="7">
        <f>(F761-G761)/'Speed Calc'!G$2*9.806</f>
        <v>4.9655962403293605</v>
      </c>
      <c r="I761" s="4">
        <f t="shared" si="48"/>
        <v>20.138888888888889</v>
      </c>
    </row>
    <row r="762" spans="1:9" x14ac:dyDescent="0.2">
      <c r="A762" s="11">
        <v>72.599999999999994</v>
      </c>
      <c r="B762" s="15">
        <v>3.133</v>
      </c>
      <c r="C762" s="11">
        <f t="shared" si="49"/>
        <v>9408.2295129949071</v>
      </c>
      <c r="D762" s="11">
        <f t="shared" si="46"/>
        <v>208.77249704525471</v>
      </c>
      <c r="E762" s="11">
        <f t="shared" si="47"/>
        <v>776.42664190383971</v>
      </c>
      <c r="F762" s="11">
        <f>'Speed Calc'!B$5*E762</f>
        <v>698.78397771345578</v>
      </c>
      <c r="G762" s="15">
        <f>'Speed Calc'!G$3+'Speed Calc'!G$5*A762^2</f>
        <v>20</v>
      </c>
      <c r="H762" s="7">
        <f>(F762-G762)/'Speed Calc'!G$2*9.806</f>
        <v>4.9304856929319607</v>
      </c>
      <c r="I762" s="4">
        <f t="shared" si="48"/>
        <v>20.166666666666664</v>
      </c>
    </row>
    <row r="763" spans="1:9" x14ac:dyDescent="0.2">
      <c r="A763" s="11">
        <v>72.7</v>
      </c>
      <c r="B763" s="15">
        <v>3.133</v>
      </c>
      <c r="C763" s="11">
        <f t="shared" si="49"/>
        <v>9421.1885068144584</v>
      </c>
      <c r="D763" s="11">
        <f t="shared" si="46"/>
        <v>207.59715813223227</v>
      </c>
      <c r="E763" s="11">
        <f t="shared" si="47"/>
        <v>770.99357215547059</v>
      </c>
      <c r="F763" s="11">
        <f>'Speed Calc'!B$5*E763</f>
        <v>693.89421493992359</v>
      </c>
      <c r="G763" s="15">
        <f>'Speed Calc'!G$3+'Speed Calc'!G$5*A763^2</f>
        <v>20</v>
      </c>
      <c r="H763" s="7">
        <f>(F763-G763)/'Speed Calc'!G$2*9.806</f>
        <v>4.8949679049636226</v>
      </c>
      <c r="I763" s="4">
        <f t="shared" si="48"/>
        <v>20.194444444444446</v>
      </c>
    </row>
    <row r="764" spans="1:9" x14ac:dyDescent="0.2">
      <c r="A764" s="11">
        <v>72.8</v>
      </c>
      <c r="B764" s="15">
        <v>3.133</v>
      </c>
      <c r="C764" s="11">
        <f t="shared" si="49"/>
        <v>9434.1475006340097</v>
      </c>
      <c r="D764" s="11">
        <f t="shared" si="46"/>
        <v>206.40089327601467</v>
      </c>
      <c r="E764" s="11">
        <f t="shared" si="47"/>
        <v>765.49781846873577</v>
      </c>
      <c r="F764" s="11">
        <f>'Speed Calc'!B$5*E764</f>
        <v>688.94803662186223</v>
      </c>
      <c r="G764" s="15">
        <f>'Speed Calc'!G$3+'Speed Calc'!G$5*A764^2</f>
        <v>20</v>
      </c>
      <c r="H764" s="7">
        <f>(F764-G764)/'Speed Calc'!G$2*9.806</f>
        <v>4.8590403311955406</v>
      </c>
      <c r="I764" s="4">
        <f t="shared" si="48"/>
        <v>20.222222222222221</v>
      </c>
    </row>
    <row r="765" spans="1:9" x14ac:dyDescent="0.2">
      <c r="A765" s="11">
        <v>72.900000000000006</v>
      </c>
      <c r="B765" s="15">
        <v>3.133</v>
      </c>
      <c r="C765" s="11">
        <f t="shared" si="49"/>
        <v>9447.106494453561</v>
      </c>
      <c r="D765" s="11">
        <f t="shared" si="46"/>
        <v>205.18352740696065</v>
      </c>
      <c r="E765" s="11">
        <f t="shared" si="47"/>
        <v>759.93899039615064</v>
      </c>
      <c r="F765" s="11">
        <f>'Speed Calc'!B$5*E765</f>
        <v>683.94509135653561</v>
      </c>
      <c r="G765" s="15">
        <f>'Speed Calc'!G$3+'Speed Calc'!G$5*A765^2</f>
        <v>20</v>
      </c>
      <c r="H765" s="7">
        <f>(F765-G765)/'Speed Calc'!G$2*9.806</f>
        <v>4.822700419142361</v>
      </c>
      <c r="I765" s="4">
        <f t="shared" si="48"/>
        <v>20.25</v>
      </c>
    </row>
    <row r="766" spans="1:9" x14ac:dyDescent="0.2">
      <c r="A766" s="11">
        <v>73</v>
      </c>
      <c r="B766" s="15">
        <v>3.133</v>
      </c>
      <c r="C766" s="11">
        <f t="shared" si="49"/>
        <v>9460.0654882731124</v>
      </c>
      <c r="D766" s="11">
        <f t="shared" si="46"/>
        <v>203.94488457687794</v>
      </c>
      <c r="E766" s="11">
        <f t="shared" si="47"/>
        <v>754.31669638023357</v>
      </c>
      <c r="F766" s="11">
        <f>'Speed Calc'!B$5*E766</f>
        <v>678.88502674221024</v>
      </c>
      <c r="G766" s="15">
        <f>'Speed Calc'!G$3+'Speed Calc'!G$5*A766^2</f>
        <v>20</v>
      </c>
      <c r="H766" s="7">
        <f>(F766-G766)/'Speed Calc'!G$2*9.806</f>
        <v>4.7859456090623063</v>
      </c>
      <c r="I766" s="4">
        <f t="shared" si="48"/>
        <v>20.277777777777779</v>
      </c>
    </row>
    <row r="767" spans="1:9" x14ac:dyDescent="0.2">
      <c r="A767" s="11">
        <v>73.099999999999994</v>
      </c>
      <c r="B767" s="15">
        <v>3.133</v>
      </c>
      <c r="C767" s="11">
        <f t="shared" si="49"/>
        <v>9473.0244820926637</v>
      </c>
      <c r="D767" s="11">
        <f t="shared" si="46"/>
        <v>202.68478795695862</v>
      </c>
      <c r="E767" s="11">
        <f t="shared" si="47"/>
        <v>748.63054375347258</v>
      </c>
      <c r="F767" s="11">
        <f>'Speed Calc'!B$5*E767</f>
        <v>673.76748937812533</v>
      </c>
      <c r="G767" s="15">
        <f>'Speed Calc'!G$3+'Speed Calc'!G$5*A767^2</f>
        <v>20</v>
      </c>
      <c r="H767" s="7">
        <f>(F767-G767)/'Speed Calc'!G$2*9.806</f>
        <v>4.7487733339569598</v>
      </c>
      <c r="I767" s="4">
        <f t="shared" si="48"/>
        <v>20.305555555555554</v>
      </c>
    </row>
    <row r="768" spans="1:9" x14ac:dyDescent="0.2">
      <c r="A768" s="11">
        <v>73.2</v>
      </c>
      <c r="B768" s="15">
        <v>3.133</v>
      </c>
      <c r="C768" s="11">
        <f t="shared" si="49"/>
        <v>9485.9834759122186</v>
      </c>
      <c r="D768" s="11">
        <f t="shared" si="46"/>
        <v>201.40305983573393</v>
      </c>
      <c r="E768" s="11">
        <f t="shared" si="47"/>
        <v>742.8801387383628</v>
      </c>
      <c r="F768" s="11">
        <f>'Speed Calc'!B$5*E768</f>
        <v>668.59212486452657</v>
      </c>
      <c r="G768" s="15">
        <f>'Speed Calc'!G$3+'Speed Calc'!G$5*A768^2</f>
        <v>20</v>
      </c>
      <c r="H768" s="7">
        <f>(F768-G768)/'Speed Calc'!G$2*9.806</f>
        <v>4.7111810195715158</v>
      </c>
      <c r="I768" s="4">
        <f t="shared" si="48"/>
        <v>20.333333333333332</v>
      </c>
    </row>
    <row r="769" spans="1:9" x14ac:dyDescent="0.2">
      <c r="A769" s="11">
        <v>73.3</v>
      </c>
      <c r="B769" s="15">
        <v>3.133</v>
      </c>
      <c r="C769" s="11">
        <f t="shared" si="49"/>
        <v>9498.9424697317718</v>
      </c>
      <c r="D769" s="11">
        <f t="shared" si="46"/>
        <v>200.09952161701599</v>
      </c>
      <c r="E769" s="11">
        <f t="shared" si="47"/>
        <v>737.06508644739847</v>
      </c>
      <c r="F769" s="11">
        <f>'Speed Calc'!B$5*E769</f>
        <v>663.3585778026586</v>
      </c>
      <c r="G769" s="15">
        <f>'Speed Calc'!G$3+'Speed Calc'!G$5*A769^2</f>
        <v>20</v>
      </c>
      <c r="H769" s="7">
        <f>(F769-G769)/'Speed Calc'!G$2*9.806</f>
        <v>4.6731660843947189</v>
      </c>
      <c r="I769" s="4">
        <f t="shared" si="48"/>
        <v>20.361111111111111</v>
      </c>
    </row>
    <row r="770" spans="1:9" x14ac:dyDescent="0.2">
      <c r="A770" s="11">
        <v>73.400000000000006</v>
      </c>
      <c r="B770" s="15">
        <v>3.133</v>
      </c>
      <c r="C770" s="11">
        <f t="shared" si="49"/>
        <v>9511.9014635513231</v>
      </c>
      <c r="D770" s="11">
        <f t="shared" si="46"/>
        <v>198.77399381783505</v>
      </c>
      <c r="E770" s="11">
        <f t="shared" si="47"/>
        <v>731.18499088304452</v>
      </c>
      <c r="F770" s="11">
        <f>'Speed Calc'!B$5*E770</f>
        <v>658.06649179474005</v>
      </c>
      <c r="G770" s="15">
        <f>'Speed Calc'!G$3+'Speed Calc'!G$5*A770^2</f>
        <v>20</v>
      </c>
      <c r="H770" s="7">
        <f>(F770-G770)/'Speed Calc'!G$2*9.806</f>
        <v>4.634725939658682</v>
      </c>
      <c r="I770" s="4">
        <f t="shared" si="48"/>
        <v>20.388888888888889</v>
      </c>
    </row>
    <row r="771" spans="1:9" x14ac:dyDescent="0.2">
      <c r="A771" s="11">
        <v>73.5</v>
      </c>
      <c r="B771" s="15">
        <v>3.133</v>
      </c>
      <c r="C771" s="11">
        <f t="shared" si="49"/>
        <v>9524.8604573708744</v>
      </c>
      <c r="D771" s="11">
        <f t="shared" si="46"/>
        <v>197.42629606639329</v>
      </c>
      <c r="E771" s="11">
        <f t="shared" si="47"/>
        <v>725.23945493777148</v>
      </c>
      <c r="F771" s="11">
        <f>'Speed Calc'!B$5*E771</f>
        <v>652.71550944399439</v>
      </c>
      <c r="G771" s="15">
        <f>'Speed Calc'!G$3+'Speed Calc'!G$5*A771^2</f>
        <v>20</v>
      </c>
      <c r="H771" s="7">
        <f>(F771-G771)/'Speed Calc'!G$2*9.806</f>
        <v>4.5958579893391169</v>
      </c>
      <c r="I771" s="4">
        <f t="shared" si="48"/>
        <v>20.416666666666668</v>
      </c>
    </row>
    <row r="772" spans="1:9" x14ac:dyDescent="0.2">
      <c r="A772" s="11">
        <v>73.599999999999994</v>
      </c>
      <c r="B772" s="15">
        <v>3.133</v>
      </c>
      <c r="C772" s="11">
        <f t="shared" si="49"/>
        <v>9537.8194511904258</v>
      </c>
      <c r="D772" s="11">
        <f t="shared" si="46"/>
        <v>196.05624710000308</v>
      </c>
      <c r="E772" s="11">
        <f t="shared" si="47"/>
        <v>719.2280803940331</v>
      </c>
      <c r="F772" s="11">
        <f>'Speed Calc'!B$5*E772</f>
        <v>647.30527235462978</v>
      </c>
      <c r="G772" s="15">
        <f>'Speed Calc'!G$3+'Speed Calc'!G$5*A772^2</f>
        <v>20</v>
      </c>
      <c r="H772" s="7">
        <f>(F772-G772)/'Speed Calc'!G$2*9.806</f>
        <v>4.5565596301551849</v>
      </c>
      <c r="I772" s="4">
        <f t="shared" si="48"/>
        <v>20.444444444444443</v>
      </c>
    </row>
    <row r="773" spans="1:9" x14ac:dyDescent="0.2">
      <c r="A773" s="11">
        <v>73.7</v>
      </c>
      <c r="B773" s="15">
        <v>3.133</v>
      </c>
      <c r="C773" s="11">
        <f t="shared" si="49"/>
        <v>9550.7784450099789</v>
      </c>
      <c r="D773" s="11">
        <f t="shared" si="46"/>
        <v>194.66366476303483</v>
      </c>
      <c r="E773" s="11">
        <f t="shared" si="47"/>
        <v>713.1504679242795</v>
      </c>
      <c r="F773" s="11">
        <f>'Speed Calc'!B$5*E773</f>
        <v>641.8354211318516</v>
      </c>
      <c r="G773" s="15">
        <f>'Speed Calc'!G$3+'Speed Calc'!G$5*A773^2</f>
        <v>20</v>
      </c>
      <c r="H773" s="7">
        <f>(F773-G773)/'Speed Calc'!G$2*9.806</f>
        <v>4.5168282515695823</v>
      </c>
      <c r="I773" s="4">
        <f t="shared" si="48"/>
        <v>20.472222222222221</v>
      </c>
    </row>
    <row r="774" spans="1:9" x14ac:dyDescent="0.2">
      <c r="A774" s="11">
        <v>73.8</v>
      </c>
      <c r="B774" s="15">
        <v>3.133</v>
      </c>
      <c r="C774" s="11">
        <f t="shared" si="49"/>
        <v>9563.737438829532</v>
      </c>
      <c r="D774" s="11">
        <f t="shared" si="46"/>
        <v>193.24836600486015</v>
      </c>
      <c r="E774" s="11">
        <f t="shared" si="47"/>
        <v>707.00621709095162</v>
      </c>
      <c r="F774" s="11">
        <f>'Speed Calc'!B$5*E774</f>
        <v>636.30559538185651</v>
      </c>
      <c r="G774" s="15">
        <f>'Speed Calc'!G$3+'Speed Calc'!G$5*A774^2</f>
        <v>20</v>
      </c>
      <c r="H774" s="7">
        <f>(F774-G774)/'Speed Calc'!G$2*9.806</f>
        <v>4.4766612357885069</v>
      </c>
      <c r="I774" s="4">
        <f t="shared" si="48"/>
        <v>20.5</v>
      </c>
    </row>
    <row r="775" spans="1:9" x14ac:dyDescent="0.2">
      <c r="A775" s="11">
        <v>73.900000000000006</v>
      </c>
      <c r="B775" s="15">
        <v>3.133</v>
      </c>
      <c r="C775" s="11">
        <f t="shared" si="49"/>
        <v>9576.6964326490852</v>
      </c>
      <c r="D775" s="11">
        <f t="shared" si="46"/>
        <v>191.8101668777974</v>
      </c>
      <c r="E775" s="11">
        <f t="shared" si="47"/>
        <v>700.79492634648568</v>
      </c>
      <c r="F775" s="11">
        <f>'Speed Calc'!B$5*E775</f>
        <v>630.71543371183714</v>
      </c>
      <c r="G775" s="15">
        <f>'Speed Calc'!G$3+'Speed Calc'!G$5*A775^2</f>
        <v>20</v>
      </c>
      <c r="H775" s="7">
        <f>(F775-G775)/'Speed Calc'!G$2*9.806</f>
        <v>4.4360559577616847</v>
      </c>
      <c r="I775" s="4">
        <f t="shared" si="48"/>
        <v>20.527777777777779</v>
      </c>
    </row>
    <row r="776" spans="1:9" x14ac:dyDescent="0.2">
      <c r="A776" s="11">
        <v>74</v>
      </c>
      <c r="B776" s="15">
        <v>3.133</v>
      </c>
      <c r="C776" s="11">
        <f t="shared" si="49"/>
        <v>9589.6554264686365</v>
      </c>
      <c r="D776" s="11">
        <f t="shared" si="46"/>
        <v>190.34888253505201</v>
      </c>
      <c r="E776" s="11">
        <f t="shared" si="47"/>
        <v>694.51619303329778</v>
      </c>
      <c r="F776" s="11">
        <f>'Speed Calc'!B$5*E776</f>
        <v>625.06457372996806</v>
      </c>
      <c r="G776" s="15">
        <f>'Speed Calc'!G$3+'Speed Calc'!G$5*A776^2</f>
        <v>20</v>
      </c>
      <c r="H776" s="7">
        <f>(F776-G776)/'Speed Calc'!G$2*9.806</f>
        <v>4.3950097851822711</v>
      </c>
      <c r="I776" s="4">
        <f t="shared" si="48"/>
        <v>20.555555555555554</v>
      </c>
    </row>
    <row r="777" spans="1:9" x14ac:dyDescent="0.2">
      <c r="A777" s="11">
        <v>74.099999999999994</v>
      </c>
      <c r="B777" s="15">
        <v>3.133</v>
      </c>
      <c r="C777" s="11">
        <f t="shared" si="49"/>
        <v>9602.614420288186</v>
      </c>
      <c r="D777" s="11">
        <f t="shared" si="46"/>
        <v>188.86432722866687</v>
      </c>
      <c r="E777" s="11">
        <f t="shared" si="47"/>
        <v>688.16961338380645</v>
      </c>
      <c r="F777" s="11">
        <f>'Speed Calc'!B$5*E777</f>
        <v>619.35265204542577</v>
      </c>
      <c r="G777" s="15">
        <f>'Speed Calc'!G$3+'Speed Calc'!G$5*A777^2</f>
        <v>20</v>
      </c>
      <c r="H777" s="7">
        <f>(F777-G777)/'Speed Calc'!G$2*9.806</f>
        <v>4.3535200784869961</v>
      </c>
      <c r="I777" s="4">
        <f t="shared" si="48"/>
        <v>20.583333333333332</v>
      </c>
    </row>
    <row r="778" spans="1:9" x14ac:dyDescent="0.2">
      <c r="A778" s="11">
        <v>74.2</v>
      </c>
      <c r="B778" s="15">
        <v>3.133</v>
      </c>
      <c r="C778" s="11">
        <f t="shared" si="49"/>
        <v>9615.5734141077392</v>
      </c>
      <c r="D778" s="11">
        <f t="shared" si="46"/>
        <v>187.35631430746238</v>
      </c>
      <c r="E778" s="11">
        <f t="shared" si="47"/>
        <v>681.7547825204158</v>
      </c>
      <c r="F778" s="11">
        <f>'Speed Calc'!B$5*E778</f>
        <v>613.57930426837424</v>
      </c>
      <c r="G778" s="15">
        <f>'Speed Calc'!G$3+'Speed Calc'!G$5*A778^2</f>
        <v>20</v>
      </c>
      <c r="H778" s="7">
        <f>(F778-G778)/'Speed Calc'!G$2*9.806</f>
        <v>4.311584190856057</v>
      </c>
      <c r="I778" s="4">
        <f t="shared" si="48"/>
        <v>20.611111111111111</v>
      </c>
    </row>
    <row r="779" spans="1:9" x14ac:dyDescent="0.2">
      <c r="A779" s="11">
        <v>74.3</v>
      </c>
      <c r="B779" s="15">
        <v>3.133</v>
      </c>
      <c r="C779" s="11">
        <f t="shared" si="49"/>
        <v>9628.5324079272923</v>
      </c>
      <c r="D779" s="11">
        <f t="shared" si="46"/>
        <v>185.8246562149796</v>
      </c>
      <c r="E779" s="11">
        <f t="shared" si="47"/>
        <v>675.27129445551157</v>
      </c>
      <c r="F779" s="11">
        <f>'Speed Calc'!B$5*E779</f>
        <v>607.7441650099604</v>
      </c>
      <c r="G779" s="15">
        <f>'Speed Calc'!G$3+'Speed Calc'!G$5*A779^2</f>
        <v>20</v>
      </c>
      <c r="H779" s="7">
        <f>(F779-G779)/'Speed Calc'!G$2*9.806</f>
        <v>4.26919946821309</v>
      </c>
      <c r="I779" s="4">
        <f t="shared" si="48"/>
        <v>20.638888888888889</v>
      </c>
    </row>
    <row r="780" spans="1:9" x14ac:dyDescent="0.2">
      <c r="A780" s="11">
        <v>74.400000000000006</v>
      </c>
      <c r="B780" s="15">
        <v>3.133</v>
      </c>
      <c r="C780" s="11">
        <f t="shared" si="49"/>
        <v>9641.4914017468454</v>
      </c>
      <c r="D780" s="11">
        <f t="shared" si="46"/>
        <v>184.2691644874358</v>
      </c>
      <c r="E780" s="11">
        <f t="shared" si="47"/>
        <v>668.71874209150076</v>
      </c>
      <c r="F780" s="11">
        <f>'Speed Calc'!B$5*E780</f>
        <v>601.84686788235069</v>
      </c>
      <c r="G780" s="15">
        <f>'Speed Calc'!G$3+'Speed Calc'!G$5*A780^2</f>
        <v>20</v>
      </c>
      <c r="H780" s="7">
        <f>(F780-G780)/'Speed Calc'!G$2*9.806</f>
        <v>4.2263632492254297</v>
      </c>
      <c r="I780" s="4">
        <f t="shared" si="48"/>
        <v>20.666666666666668</v>
      </c>
    </row>
    <row r="781" spans="1:9" x14ac:dyDescent="0.2">
      <c r="A781" s="11">
        <v>74.5</v>
      </c>
      <c r="B781" s="15">
        <v>3.133</v>
      </c>
      <c r="C781" s="11">
        <f t="shared" si="49"/>
        <v>9654.4503955663968</v>
      </c>
      <c r="D781" s="11">
        <f t="shared" si="46"/>
        <v>182.68964975165295</v>
      </c>
      <c r="E781" s="11">
        <f t="shared" si="47"/>
        <v>662.09671722075575</v>
      </c>
      <c r="F781" s="11">
        <f>'Speed Calc'!B$5*E781</f>
        <v>595.88704549868021</v>
      </c>
      <c r="G781" s="15">
        <f>'Speed Calc'!G$3+'Speed Calc'!G$5*A781^2</f>
        <v>20</v>
      </c>
      <c r="H781" s="7">
        <f>(F781-G781)/'Speed Calc'!G$2*9.806</f>
        <v>4.1830728653037461</v>
      </c>
      <c r="I781" s="4">
        <f t="shared" si="48"/>
        <v>20.694444444444443</v>
      </c>
    </row>
    <row r="782" spans="1:9" x14ac:dyDescent="0.2">
      <c r="A782" s="11">
        <v>74.599999999999994</v>
      </c>
      <c r="B782" s="15">
        <v>3.133</v>
      </c>
      <c r="C782" s="11">
        <f t="shared" si="49"/>
        <v>9667.4093893859499</v>
      </c>
      <c r="D782" s="11">
        <f t="shared" si="46"/>
        <v>181.08592172301152</v>
      </c>
      <c r="E782" s="11">
        <f t="shared" si="47"/>
        <v>655.40481052564496</v>
      </c>
      <c r="F782" s="11">
        <f>'Speed Calc'!B$5*E782</f>
        <v>589.86432947308049</v>
      </c>
      <c r="G782" s="15">
        <f>'Speed Calc'!G$3+'Speed Calc'!G$5*A782^2</f>
        <v>20</v>
      </c>
      <c r="H782" s="7">
        <f>(F782-G782)/'Speed Calc'!G$2*9.806</f>
        <v>4.1393256406022418</v>
      </c>
      <c r="I782" s="4">
        <f t="shared" si="48"/>
        <v>20.722222222222221</v>
      </c>
    </row>
    <row r="783" spans="1:9" x14ac:dyDescent="0.2">
      <c r="A783" s="11">
        <v>74.7</v>
      </c>
      <c r="B783" s="15">
        <v>3.133</v>
      </c>
      <c r="C783" s="11">
        <f t="shared" si="49"/>
        <v>9680.3683832055012</v>
      </c>
      <c r="D783" s="11">
        <f t="shared" si="46"/>
        <v>179.45778920339436</v>
      </c>
      <c r="E783" s="11">
        <f t="shared" si="47"/>
        <v>648.64261157853389</v>
      </c>
      <c r="F783" s="11">
        <f>'Speed Calc'!B$5*E783</f>
        <v>583.77835042068057</v>
      </c>
      <c r="G783" s="15">
        <f>'Speed Calc'!G$3+'Speed Calc'!G$5*A783^2</f>
        <v>20</v>
      </c>
      <c r="H783" s="7">
        <f>(F783-G783)/'Speed Calc'!G$2*9.806</f>
        <v>4.0951188920186619</v>
      </c>
      <c r="I783" s="4">
        <f t="shared" si="48"/>
        <v>20.75</v>
      </c>
    </row>
    <row r="784" spans="1:9" x14ac:dyDescent="0.2">
      <c r="A784" s="11">
        <v>74.8</v>
      </c>
      <c r="B784" s="15">
        <v>3.133</v>
      </c>
      <c r="C784" s="11">
        <f t="shared" si="49"/>
        <v>9693.3273770250507</v>
      </c>
      <c r="D784" s="11">
        <f t="shared" si="46"/>
        <v>177.80506007912743</v>
      </c>
      <c r="E784" s="11">
        <f t="shared" si="47"/>
        <v>641.8097088417702</v>
      </c>
      <c r="F784" s="11">
        <f>'Speed Calc'!B$5*E784</f>
        <v>577.62873795759322</v>
      </c>
      <c r="G784" s="15">
        <f>'Speed Calc'!G$3+'Speed Calc'!G$5*A784^2</f>
        <v>20</v>
      </c>
      <c r="H784" s="7">
        <f>(F784-G784)/'Speed Calc'!G$2*9.806</f>
        <v>4.0504499291941913</v>
      </c>
      <c r="I784" s="4">
        <f t="shared" si="48"/>
        <v>20.777777777777775</v>
      </c>
    </row>
    <row r="785" spans="1:9" x14ac:dyDescent="0.2">
      <c r="A785" s="11">
        <v>74.900000000000006</v>
      </c>
      <c r="B785" s="15">
        <v>3.133</v>
      </c>
      <c r="C785" s="11">
        <f t="shared" si="49"/>
        <v>9706.2863708446057</v>
      </c>
      <c r="D785" s="11">
        <f t="shared" si="46"/>
        <v>176.12754131892879</v>
      </c>
      <c r="E785" s="11">
        <f t="shared" si="47"/>
        <v>634.90568966770059</v>
      </c>
      <c r="F785" s="11">
        <f>'Speed Calc'!B$5*E785</f>
        <v>571.41512070093052</v>
      </c>
      <c r="G785" s="15">
        <f>'Speed Calc'!G$3+'Speed Calc'!G$5*A785^2</f>
        <v>20</v>
      </c>
      <c r="H785" s="7">
        <f>(F785-G785)/'Speed Calc'!G$2*9.806</f>
        <v>4.0053160545135738</v>
      </c>
      <c r="I785" s="4">
        <f t="shared" si="48"/>
        <v>20.805555555555557</v>
      </c>
    </row>
    <row r="786" spans="1:9" x14ac:dyDescent="0.2">
      <c r="A786" s="11">
        <v>75</v>
      </c>
      <c r="B786" s="15">
        <v>3.133</v>
      </c>
      <c r="C786" s="11">
        <f t="shared" si="49"/>
        <v>9719.2453646641588</v>
      </c>
      <c r="D786" s="11">
        <f t="shared" si="46"/>
        <v>174.42503897185162</v>
      </c>
      <c r="E786" s="11">
        <f t="shared" si="47"/>
        <v>627.93014029866561</v>
      </c>
      <c r="F786" s="11">
        <f>'Speed Calc'!B$5*E786</f>
        <v>565.13712626879908</v>
      </c>
      <c r="G786" s="15">
        <f>'Speed Calc'!G$3+'Speed Calc'!G$5*A786^2</f>
        <v>20</v>
      </c>
      <c r="H786" s="7">
        <f>(F786-G786)/'Speed Calc'!G$2*9.806</f>
        <v>3.9597145631050692</v>
      </c>
      <c r="I786" s="4">
        <f t="shared" si="48"/>
        <v>20.833333333333332</v>
      </c>
    </row>
    <row r="787" spans="1:9" x14ac:dyDescent="0.2">
      <c r="A787" s="11">
        <v>75.099999999999994</v>
      </c>
      <c r="B787" s="15">
        <v>3.133</v>
      </c>
      <c r="C787" s="11">
        <f t="shared" si="49"/>
        <v>9732.204358483712</v>
      </c>
      <c r="D787" s="11">
        <f t="shared" si="46"/>
        <v>172.69735816522464</v>
      </c>
      <c r="E787" s="11">
        <f t="shared" si="47"/>
        <v>620.88264586698608</v>
      </c>
      <c r="F787" s="11">
        <f>'Speed Calc'!B$5*E787</f>
        <v>558.79438128028744</v>
      </c>
      <c r="G787" s="15">
        <f>'Speed Calc'!G$3+'Speed Calc'!G$5*A787^2</f>
        <v>20</v>
      </c>
      <c r="H787" s="7">
        <f>(F787-G787)/'Speed Calc'!G$2*9.806</f>
        <v>3.9136427428403691</v>
      </c>
      <c r="I787" s="4">
        <f t="shared" si="48"/>
        <v>20.861111111111111</v>
      </c>
    </row>
    <row r="788" spans="1:9" x14ac:dyDescent="0.2">
      <c r="A788" s="11">
        <v>75.2</v>
      </c>
      <c r="B788" s="15">
        <v>3.133</v>
      </c>
      <c r="C788" s="11">
        <f t="shared" si="49"/>
        <v>9745.1633523032633</v>
      </c>
      <c r="D788" s="11">
        <f t="shared" si="46"/>
        <v>170.9443031026035</v>
      </c>
      <c r="E788" s="11">
        <f t="shared" si="47"/>
        <v>613.76279039498593</v>
      </c>
      <c r="F788" s="11">
        <f>'Speed Calc'!B$5*E788</f>
        <v>552.3865113554873</v>
      </c>
      <c r="G788" s="15">
        <f>'Speed Calc'!G$3+'Speed Calc'!G$5*A788^2</f>
        <v>20</v>
      </c>
      <c r="H788" s="7">
        <f>(F788-G788)/'Speed Calc'!G$2*9.806</f>
        <v>3.8670978743347466</v>
      </c>
      <c r="I788" s="4">
        <f t="shared" si="48"/>
        <v>20.888888888888889</v>
      </c>
    </row>
    <row r="789" spans="1:9" x14ac:dyDescent="0.2">
      <c r="A789" s="11">
        <v>75.3</v>
      </c>
      <c r="B789" s="15">
        <v>3.133</v>
      </c>
      <c r="C789" s="11">
        <f t="shared" si="49"/>
        <v>9758.122346122811</v>
      </c>
      <c r="D789" s="11">
        <f t="shared" si="46"/>
        <v>169.16567706171298</v>
      </c>
      <c r="E789" s="11">
        <f t="shared" si="47"/>
        <v>606.57015679498716</v>
      </c>
      <c r="F789" s="11">
        <f>'Speed Calc'!B$5*E789</f>
        <v>545.91314111548843</v>
      </c>
      <c r="G789" s="15">
        <f>'Speed Calc'!G$3+'Speed Calc'!G$5*A789^2</f>
        <v>20</v>
      </c>
      <c r="H789" s="7">
        <f>(F789-G789)/'Speed Calc'!G$2*9.806</f>
        <v>3.8200772309470215</v>
      </c>
      <c r="I789" s="4">
        <f t="shared" si="48"/>
        <v>20.916666666666664</v>
      </c>
    </row>
    <row r="790" spans="1:9" x14ac:dyDescent="0.2">
      <c r="A790" s="11">
        <v>75.400000000000006</v>
      </c>
      <c r="B790" s="15">
        <v>3.133</v>
      </c>
      <c r="C790" s="11">
        <f t="shared" si="49"/>
        <v>9771.0813399423678</v>
      </c>
      <c r="D790" s="11">
        <f t="shared" si="46"/>
        <v>167.36128239237854</v>
      </c>
      <c r="E790" s="11">
        <f t="shared" si="47"/>
        <v>599.30432686925985</v>
      </c>
      <c r="F790" s="11">
        <f>'Speed Calc'!B$5*E790</f>
        <v>539.37389418233386</v>
      </c>
      <c r="G790" s="15">
        <f>'Speed Calc'!G$3+'Speed Calc'!G$5*A790^2</f>
        <v>20</v>
      </c>
      <c r="H790" s="7">
        <f>(F790-G790)/'Speed Calc'!G$2*9.806</f>
        <v>3.772578078779234</v>
      </c>
      <c r="I790" s="4">
        <f t="shared" si="48"/>
        <v>20.944444444444446</v>
      </c>
    </row>
    <row r="791" spans="1:9" x14ac:dyDescent="0.2">
      <c r="A791" s="11">
        <v>75.5</v>
      </c>
      <c r="B791" s="15">
        <v>3.133</v>
      </c>
      <c r="C791" s="11">
        <f t="shared" si="49"/>
        <v>9784.0403337619191</v>
      </c>
      <c r="D791" s="11">
        <f t="shared" si="46"/>
        <v>165.53092051449687</v>
      </c>
      <c r="E791" s="11">
        <f t="shared" si="47"/>
        <v>591.9648813101212</v>
      </c>
      <c r="F791" s="11">
        <f>'Speed Calc'!B$5*E791</f>
        <v>532.76839317910913</v>
      </c>
      <c r="G791" s="15">
        <f>'Speed Calc'!G$3+'Speed Calc'!G$5*A791^2</f>
        <v>20</v>
      </c>
      <c r="H791" s="7">
        <f>(F791-G791)/'Speed Calc'!G$2*9.806</f>
        <v>3.7245976766772912</v>
      </c>
      <c r="I791" s="4">
        <f t="shared" si="48"/>
        <v>20.972222222222221</v>
      </c>
    </row>
    <row r="792" spans="1:9" x14ac:dyDescent="0.2">
      <c r="A792" s="11">
        <v>75.599999999999994</v>
      </c>
      <c r="B792" s="15">
        <v>3.133</v>
      </c>
      <c r="C792" s="11">
        <f t="shared" si="49"/>
        <v>9796.9993275814722</v>
      </c>
      <c r="D792" s="11">
        <f t="shared" si="46"/>
        <v>163.6743919159577</v>
      </c>
      <c r="E792" s="11">
        <f t="shared" si="47"/>
        <v>584.55139969984884</v>
      </c>
      <c r="F792" s="11">
        <f>'Speed Calc'!B$5*E792</f>
        <v>526.09625972986396</v>
      </c>
      <c r="G792" s="15">
        <f>'Speed Calc'!G$3+'Speed Calc'!G$5*A792^2</f>
        <v>20</v>
      </c>
      <c r="H792" s="7">
        <f>(F792-G792)/'Speed Calc'!G$2*9.806</f>
        <v>3.676133276230404</v>
      </c>
      <c r="I792" s="4">
        <f t="shared" si="48"/>
        <v>20.999999999999996</v>
      </c>
    </row>
    <row r="793" spans="1:9" x14ac:dyDescent="0.2">
      <c r="A793" s="11">
        <v>75.7</v>
      </c>
      <c r="B793" s="15">
        <v>3.133</v>
      </c>
      <c r="C793" s="11">
        <f t="shared" si="49"/>
        <v>9809.9583214010254</v>
      </c>
      <c r="D793" s="11">
        <f t="shared" si="46"/>
        <v>161.79149615059632</v>
      </c>
      <c r="E793" s="11">
        <f t="shared" si="47"/>
        <v>577.0634605107133</v>
      </c>
      <c r="F793" s="11">
        <f>'Speed Calc'!B$5*E793</f>
        <v>519.35711445964193</v>
      </c>
      <c r="G793" s="15">
        <f>'Speed Calc'!G$3+'Speed Calc'!G$5*A793^2</f>
        <v>20</v>
      </c>
      <c r="H793" s="7">
        <f>(F793-G793)/'Speed Calc'!G$2*9.806</f>
        <v>3.6271821217712952</v>
      </c>
      <c r="I793" s="4">
        <f t="shared" si="48"/>
        <v>21.027777777777779</v>
      </c>
    </row>
    <row r="794" spans="1:9" x14ac:dyDescent="0.2">
      <c r="A794" s="11">
        <v>75.8</v>
      </c>
      <c r="B794" s="15">
        <v>3.133</v>
      </c>
      <c r="C794" s="11">
        <f t="shared" si="49"/>
        <v>9822.9173152205767</v>
      </c>
      <c r="D794" s="11">
        <f t="shared" si="46"/>
        <v>159.88203183614181</v>
      </c>
      <c r="E794" s="11">
        <f t="shared" si="47"/>
        <v>569.50064110499056</v>
      </c>
      <c r="F794" s="11">
        <f>'Speed Calc'!B$5*E794</f>
        <v>512.55057699449151</v>
      </c>
      <c r="G794" s="15">
        <f>'Speed Calc'!G$3+'Speed Calc'!G$5*A794^2</f>
        <v>20</v>
      </c>
      <c r="H794" s="7">
        <f>(F794-G794)/'Speed Calc'!G$2*9.806</f>
        <v>3.5777414503762839</v>
      </c>
      <c r="I794" s="4">
        <f t="shared" si="48"/>
        <v>21.055555555555554</v>
      </c>
    </row>
    <row r="795" spans="1:9" x14ac:dyDescent="0.2">
      <c r="A795" s="11">
        <v>75.900000000000006</v>
      </c>
      <c r="B795" s="15">
        <v>3.133</v>
      </c>
      <c r="C795" s="11">
        <f t="shared" si="49"/>
        <v>9835.876309040128</v>
      </c>
      <c r="D795" s="11">
        <f t="shared" si="46"/>
        <v>157.94579665215474</v>
      </c>
      <c r="E795" s="11">
        <f t="shared" si="47"/>
        <v>561.86251773493768</v>
      </c>
      <c r="F795" s="11">
        <f>'Speed Calc'!B$5*E795</f>
        <v>505.6762659614439</v>
      </c>
      <c r="G795" s="15">
        <f>'Speed Calc'!G$3+'Speed Calc'!G$5*A795^2</f>
        <v>20</v>
      </c>
      <c r="H795" s="7">
        <f>(F795-G795)/'Speed Calc'!G$2*9.806</f>
        <v>3.5278084918651245</v>
      </c>
      <c r="I795" s="4">
        <f t="shared" si="48"/>
        <v>21.083333333333336</v>
      </c>
    </row>
    <row r="796" spans="1:9" x14ac:dyDescent="0.2">
      <c r="A796" s="11">
        <v>76</v>
      </c>
      <c r="B796" s="15">
        <v>3.133</v>
      </c>
      <c r="C796" s="11">
        <f t="shared" si="49"/>
        <v>9848.8353028596794</v>
      </c>
      <c r="D796" s="11">
        <f t="shared" si="46"/>
        <v>155.98258733797132</v>
      </c>
      <c r="E796" s="11">
        <f t="shared" si="47"/>
        <v>554.14866554279274</v>
      </c>
      <c r="F796" s="11">
        <f>'Speed Calc'!B$5*E796</f>
        <v>498.73379898851346</v>
      </c>
      <c r="G796" s="15">
        <f>'Speed Calc'!G$3+'Speed Calc'!G$5*A796^2</f>
        <v>20</v>
      </c>
      <c r="H796" s="7">
        <f>(F796-G796)/'Speed Calc'!G$2*9.806</f>
        <v>3.4773804688010093</v>
      </c>
      <c r="I796" s="4">
        <f t="shared" si="48"/>
        <v>21.111111111111111</v>
      </c>
    </row>
    <row r="797" spans="1:9" x14ac:dyDescent="0.2">
      <c r="A797" s="11">
        <v>76.099999999999994</v>
      </c>
      <c r="B797" s="15">
        <v>3.133</v>
      </c>
      <c r="C797" s="11">
        <f t="shared" si="49"/>
        <v>9861.7942966792307</v>
      </c>
      <c r="D797" s="11">
        <f t="shared" si="46"/>
        <v>153.99219969065911</v>
      </c>
      <c r="E797" s="11">
        <f t="shared" si="47"/>
        <v>546.35865856081421</v>
      </c>
      <c r="F797" s="11">
        <f>'Speed Calc'!B$5*E797</f>
        <v>491.7227927047328</v>
      </c>
      <c r="G797" s="15">
        <f>'Speed Calc'!G$3+'Speed Calc'!G$5*A797^2</f>
        <v>20</v>
      </c>
      <c r="H797" s="7">
        <f>(F797-G797)/'Speed Calc'!G$2*9.806</f>
        <v>3.4264545964908222</v>
      </c>
      <c r="I797" s="4">
        <f t="shared" si="48"/>
        <v>21.138888888888886</v>
      </c>
    </row>
    <row r="798" spans="1:9" x14ac:dyDescent="0.2">
      <c r="A798" s="11">
        <v>76.2</v>
      </c>
      <c r="B798" s="15">
        <v>3.133</v>
      </c>
      <c r="C798" s="11">
        <f t="shared" si="49"/>
        <v>9874.7532904987875</v>
      </c>
      <c r="D798" s="11">
        <f t="shared" si="46"/>
        <v>151.9744285629435</v>
      </c>
      <c r="E798" s="11">
        <f t="shared" si="47"/>
        <v>538.49206971121703</v>
      </c>
      <c r="F798" s="11">
        <f>'Speed Calc'!B$5*E798</f>
        <v>484.64286274009532</v>
      </c>
      <c r="G798" s="15">
        <f>'Speed Calc'!G$3+'Speed Calc'!G$5*A798^2</f>
        <v>20</v>
      </c>
      <c r="H798" s="7">
        <f>(F798-G798)/'Speed Calc'!G$2*9.806</f>
        <v>3.3750280829847217</v>
      </c>
      <c r="I798" s="4">
        <f t="shared" si="48"/>
        <v>21.166666666666668</v>
      </c>
    </row>
    <row r="799" spans="1:9" x14ac:dyDescent="0.2">
      <c r="A799" s="11">
        <v>76.3</v>
      </c>
      <c r="B799" s="15">
        <v>3.133</v>
      </c>
      <c r="C799" s="11">
        <f t="shared" si="49"/>
        <v>9887.712284318337</v>
      </c>
      <c r="D799" s="11">
        <f t="shared" si="46"/>
        <v>149.92906786116794</v>
      </c>
      <c r="E799" s="11">
        <f t="shared" si="47"/>
        <v>530.54847080622983</v>
      </c>
      <c r="F799" s="11">
        <f>'Speed Calc'!B$5*E799</f>
        <v>477.49362372560688</v>
      </c>
      <c r="G799" s="15">
        <f>'Speed Calc'!G$3+'Speed Calc'!G$5*A799^2</f>
        <v>20</v>
      </c>
      <c r="H799" s="7">
        <f>(F799-G799)/'Speed Calc'!G$2*9.806</f>
        <v>3.3230981290765191</v>
      </c>
      <c r="I799" s="4">
        <f t="shared" si="48"/>
        <v>21.194444444444443</v>
      </c>
    </row>
    <row r="800" spans="1:9" x14ac:dyDescent="0.2">
      <c r="A800" s="11">
        <v>76.400000000000006</v>
      </c>
      <c r="B800" s="15">
        <v>3.133</v>
      </c>
      <c r="C800" s="11">
        <f t="shared" si="49"/>
        <v>9900.6712781378919</v>
      </c>
      <c r="D800" s="11">
        <f t="shared" si="46"/>
        <v>147.85591054323308</v>
      </c>
      <c r="E800" s="11">
        <f t="shared" si="47"/>
        <v>522.52743254807501</v>
      </c>
      <c r="F800" s="11">
        <f>'Speed Calc'!B$5*E800</f>
        <v>470.2746892932675</v>
      </c>
      <c r="G800" s="15">
        <f>'Speed Calc'!G$3+'Speed Calc'!G$5*A800^2</f>
        <v>20</v>
      </c>
      <c r="H800" s="7">
        <f>(F800-G800)/'Speed Calc'!G$2*9.806</f>
        <v>3.2706619283035412</v>
      </c>
      <c r="I800" s="4">
        <f t="shared" si="48"/>
        <v>21.222222222222225</v>
      </c>
    </row>
    <row r="801" spans="1:9" x14ac:dyDescent="0.2">
      <c r="A801" s="11">
        <v>76.5</v>
      </c>
      <c r="B801" s="15">
        <v>3.133</v>
      </c>
      <c r="C801" s="11">
        <f t="shared" si="49"/>
        <v>9913.6302719574396</v>
      </c>
      <c r="D801" s="11">
        <f t="shared" si="46"/>
        <v>145.75474861653609</v>
      </c>
      <c r="E801" s="11">
        <f t="shared" si="47"/>
        <v>514.42852452895113</v>
      </c>
      <c r="F801" s="11">
        <f>'Speed Calc'!B$5*E801</f>
        <v>462.98567207605601</v>
      </c>
      <c r="G801" s="15">
        <f>'Speed Calc'!G$3+'Speed Calc'!G$5*A801^2</f>
        <v>20</v>
      </c>
      <c r="H801" s="7">
        <f>(F801-G801)/'Speed Calc'!G$2*9.806</f>
        <v>3.2177166669465223</v>
      </c>
      <c r="I801" s="4">
        <f t="shared" si="48"/>
        <v>21.25</v>
      </c>
    </row>
    <row r="802" spans="1:9" x14ac:dyDescent="0.2">
      <c r="A802" s="11">
        <v>76.599999999999994</v>
      </c>
      <c r="B802" s="15">
        <v>3.133</v>
      </c>
      <c r="C802" s="11">
        <f t="shared" si="49"/>
        <v>9926.5892657769909</v>
      </c>
      <c r="D802" s="11">
        <f t="shared" si="46"/>
        <v>143.62537313592134</v>
      </c>
      <c r="E802" s="11">
        <f t="shared" si="47"/>
        <v>506.25131523105449</v>
      </c>
      <c r="F802" s="11">
        <f>'Speed Calc'!B$5*E802</f>
        <v>455.62618370794905</v>
      </c>
      <c r="G802" s="15">
        <f>'Speed Calc'!G$3+'Speed Calc'!G$5*A802^2</f>
        <v>20</v>
      </c>
      <c r="H802" s="7">
        <f>(F802-G802)/'Speed Calc'!G$2*9.806</f>
        <v>3.1642595240297391</v>
      </c>
      <c r="I802" s="4">
        <f t="shared" si="48"/>
        <v>21.277777777777775</v>
      </c>
    </row>
    <row r="803" spans="1:9" x14ac:dyDescent="0.2">
      <c r="A803" s="11">
        <v>76.7</v>
      </c>
      <c r="B803" s="15">
        <v>3.133</v>
      </c>
      <c r="C803" s="11">
        <f t="shared" si="49"/>
        <v>9939.5482595965459</v>
      </c>
      <c r="D803" s="11">
        <f t="shared" si="46"/>
        <v>141.46757420162223</v>
      </c>
      <c r="E803" s="11">
        <f t="shared" si="47"/>
        <v>497.99537202657115</v>
      </c>
      <c r="F803" s="11">
        <f>'Speed Calc'!B$5*E803</f>
        <v>448.19583482391403</v>
      </c>
      <c r="G803" s="15">
        <f>'Speed Calc'!G$3+'Speed Calc'!G$5*A803^2</f>
        <v>20</v>
      </c>
      <c r="H803" s="7">
        <f>(F803-G803)/'Speed Calc'!G$2*9.806</f>
        <v>3.1102876713209637</v>
      </c>
      <c r="I803" s="4">
        <f t="shared" si="48"/>
        <v>21.305555555555557</v>
      </c>
    </row>
    <row r="804" spans="1:9" x14ac:dyDescent="0.2">
      <c r="A804" s="11">
        <v>76.8</v>
      </c>
      <c r="B804" s="15">
        <v>3.133</v>
      </c>
      <c r="C804" s="11">
        <f t="shared" si="49"/>
        <v>9952.5072534160972</v>
      </c>
      <c r="D804" s="11">
        <f t="shared" si="46"/>
        <v>139.28114095720952</v>
      </c>
      <c r="E804" s="11">
        <f t="shared" si="47"/>
        <v>489.66026117768979</v>
      </c>
      <c r="F804" s="11">
        <f>'Speed Calc'!B$5*E804</f>
        <v>440.6942350599208</v>
      </c>
      <c r="G804" s="15">
        <f>'Speed Calc'!G$3+'Speed Calc'!G$5*A804^2</f>
        <v>20</v>
      </c>
      <c r="H804" s="7">
        <f>(F804-G804)/'Speed Calc'!G$2*9.806</f>
        <v>3.055798273331543</v>
      </c>
      <c r="I804" s="4">
        <f t="shared" si="48"/>
        <v>21.333333333333332</v>
      </c>
    </row>
    <row r="805" spans="1:9" x14ac:dyDescent="0.2">
      <c r="A805" s="11">
        <v>76.900000000000006</v>
      </c>
      <c r="B805" s="15">
        <v>3.133</v>
      </c>
      <c r="C805" s="11">
        <f t="shared" si="49"/>
        <v>9965.4662472356522</v>
      </c>
      <c r="D805" s="11">
        <f t="shared" ref="D805:D868" si="50">-4.687*10^(-17)*C805^5+9.129*10^(-13)*C805^4-6.175*10^(-9)*C805^3+1.799*10^(-5)*C805^2+6.502*10^(-3)*C805</f>
        <v>137.06586158753106</v>
      </c>
      <c r="E805" s="11">
        <f t="shared" si="47"/>
        <v>481.24554783658493</v>
      </c>
      <c r="F805" s="11">
        <f>'Speed Calc'!B$5*E805</f>
        <v>433.12099305292645</v>
      </c>
      <c r="G805" s="15">
        <f>'Speed Calc'!G$3+'Speed Calc'!G$5*A805^2</f>
        <v>20</v>
      </c>
      <c r="H805" s="7">
        <f>(F805-G805)/'Speed Calc'!G$2*9.806</f>
        <v>3.000788487316294</v>
      </c>
      <c r="I805" s="4">
        <f t="shared" si="48"/>
        <v>21.361111111111111</v>
      </c>
    </row>
    <row r="806" spans="1:9" x14ac:dyDescent="0.2">
      <c r="A806" s="11">
        <v>77</v>
      </c>
      <c r="B806" s="15">
        <v>3.133</v>
      </c>
      <c r="C806" s="11">
        <f t="shared" si="49"/>
        <v>9978.4252410552035</v>
      </c>
      <c r="D806" s="11">
        <f t="shared" si="50"/>
        <v>134.82152331665259</v>
      </c>
      <c r="E806" s="11">
        <f t="shared" ref="E806:E869" si="51">D806*75*B806*B$31*B$32/B$23/C806/2/PI()*60</f>
        <v>472.75079604540508</v>
      </c>
      <c r="F806" s="11">
        <f>'Speed Calc'!B$5*E806</f>
        <v>425.47571644086457</v>
      </c>
      <c r="G806" s="15">
        <f>'Speed Calc'!G$3+'Speed Calc'!G$5*A806^2</f>
        <v>20</v>
      </c>
      <c r="H806" s="7">
        <f>(F806-G806)/'Speed Calc'!G$2*9.806</f>
        <v>2.9452554632734209</v>
      </c>
      <c r="I806" s="4">
        <f t="shared" ref="I806:I869" si="52">A806/3.6</f>
        <v>21.388888888888889</v>
      </c>
    </row>
    <row r="807" spans="1:9" x14ac:dyDescent="0.2">
      <c r="A807" s="11">
        <v>77.099999999999994</v>
      </c>
      <c r="B807" s="15">
        <v>3.133</v>
      </c>
      <c r="C807" s="11">
        <f t="shared" si="49"/>
        <v>9991.384234874753</v>
      </c>
      <c r="D807" s="11">
        <f t="shared" si="50"/>
        <v>132.54791240581454</v>
      </c>
      <c r="E807" s="11">
        <f t="shared" si="51"/>
        <v>464.1755687363156</v>
      </c>
      <c r="F807" s="11">
        <f>'Speed Calc'!B$5*E807</f>
        <v>417.75801186268404</v>
      </c>
      <c r="G807" s="15">
        <f>'Speed Calc'!G$3+'Speed Calc'!G$5*A807^2</f>
        <v>20</v>
      </c>
      <c r="H807" s="7">
        <f>(F807-G807)/'Speed Calc'!G$2*9.806</f>
        <v>2.8891963439447994</v>
      </c>
      <c r="I807" s="4">
        <f t="shared" si="52"/>
        <v>21.416666666666664</v>
      </c>
    </row>
    <row r="808" spans="1:9" x14ac:dyDescent="0.2">
      <c r="A808" s="11">
        <v>77.2</v>
      </c>
      <c r="B808" s="15">
        <v>3.133</v>
      </c>
      <c r="C808" s="11">
        <f t="shared" si="49"/>
        <v>10004.343228694306</v>
      </c>
      <c r="D808" s="11">
        <f t="shared" si="50"/>
        <v>130.24481415136353</v>
      </c>
      <c r="E808" s="11">
        <f t="shared" si="51"/>
        <v>455.51942773145282</v>
      </c>
      <c r="F808" s="11">
        <f>'Speed Calc'!B$5*E808</f>
        <v>409.96748495830752</v>
      </c>
      <c r="G808" s="15">
        <f>'Speed Calc'!G$3+'Speed Calc'!G$5*A808^2</f>
        <v>20</v>
      </c>
      <c r="H808" s="7">
        <f>(F808-G808)/'Speed Calc'!G$2*9.806</f>
        <v>2.832608264815677</v>
      </c>
      <c r="I808" s="4">
        <f t="shared" si="52"/>
        <v>21.444444444444446</v>
      </c>
    </row>
    <row r="809" spans="1:9" x14ac:dyDescent="0.2">
      <c r="A809" s="11">
        <v>77.3</v>
      </c>
      <c r="B809" s="15">
        <v>3.133</v>
      </c>
      <c r="C809" s="11">
        <f t="shared" si="49"/>
        <v>10017.302222513859</v>
      </c>
      <c r="D809" s="11">
        <f t="shared" si="50"/>
        <v>127.91201288270715</v>
      </c>
      <c r="E809" s="11">
        <f t="shared" si="51"/>
        <v>446.78193374296154</v>
      </c>
      <c r="F809" s="11">
        <f>'Speed Calc'!B$5*E809</f>
        <v>402.1037403686654</v>
      </c>
      <c r="G809" s="15">
        <f>'Speed Calc'!G$3+'Speed Calc'!G$5*A809^2</f>
        <v>20</v>
      </c>
      <c r="H809" s="7">
        <f>(F809-G809)/'Speed Calc'!G$2*9.806</f>
        <v>2.7754883541149127</v>
      </c>
      <c r="I809" s="4">
        <f t="shared" si="52"/>
        <v>21.472222222222221</v>
      </c>
    </row>
    <row r="810" spans="1:9" x14ac:dyDescent="0.2">
      <c r="A810" s="11">
        <v>77.400000000000006</v>
      </c>
      <c r="B810" s="15">
        <v>3.133</v>
      </c>
      <c r="C810" s="11">
        <f t="shared" si="49"/>
        <v>10030.261216333412</v>
      </c>
      <c r="D810" s="11">
        <f t="shared" si="50"/>
        <v>125.54929196025044</v>
      </c>
      <c r="E810" s="11">
        <f t="shared" si="51"/>
        <v>437.96264637296662</v>
      </c>
      <c r="F810" s="11">
        <f>'Speed Calc'!B$5*E810</f>
        <v>394.16638173566997</v>
      </c>
      <c r="G810" s="15">
        <f>'Speed Calc'!G$3+'Speed Calc'!G$5*A810^2</f>
        <v>20</v>
      </c>
      <c r="H810" s="7">
        <f>(F810-G810)/'Speed Calc'!G$2*9.806</f>
        <v>2.7178337328147992</v>
      </c>
      <c r="I810" s="4">
        <f t="shared" si="52"/>
        <v>21.5</v>
      </c>
    </row>
    <row r="811" spans="1:9" x14ac:dyDescent="0.2">
      <c r="A811" s="11">
        <v>77.5</v>
      </c>
      <c r="B811" s="15">
        <v>3.133</v>
      </c>
      <c r="C811" s="11">
        <f t="shared" ref="C811:C874" si="53">A811/3.6/B$23/2/PI()*B$32*B$31*B811*60</f>
        <v>10043.220210152966</v>
      </c>
      <c r="D811" s="11">
        <f t="shared" si="50"/>
        <v>123.15643377334182</v>
      </c>
      <c r="E811" s="11">
        <f t="shared" si="51"/>
        <v>429.06112411357788</v>
      </c>
      <c r="F811" s="11">
        <f>'Speed Calc'!B$5*E811</f>
        <v>386.15501170222012</v>
      </c>
      <c r="G811" s="15">
        <f>'Speed Calc'!G$3+'Speed Calc'!G$5*A811^2</f>
        <v>20</v>
      </c>
      <c r="H811" s="7">
        <f>(F811-G811)/'Speed Calc'!G$2*9.806</f>
        <v>2.659641514631089</v>
      </c>
      <c r="I811" s="4">
        <f t="shared" si="52"/>
        <v>21.527777777777779</v>
      </c>
    </row>
    <row r="812" spans="1:9" x14ac:dyDescent="0.2">
      <c r="A812" s="11">
        <v>77.599999999999994</v>
      </c>
      <c r="B812" s="15">
        <v>3.133</v>
      </c>
      <c r="C812" s="11">
        <f t="shared" si="53"/>
        <v>10056.179203972515</v>
      </c>
      <c r="D812" s="11">
        <f t="shared" si="50"/>
        <v>120.73321973822763</v>
      </c>
      <c r="E812" s="11">
        <f t="shared" si="51"/>
        <v>420.07692434692609</v>
      </c>
      <c r="F812" s="11">
        <f>'Speed Calc'!B$5*E812</f>
        <v>378.06923191223348</v>
      </c>
      <c r="G812" s="15">
        <f>'Speed Calc'!G$3+'Speed Calc'!G$5*A812^2</f>
        <v>20</v>
      </c>
      <c r="H812" s="7">
        <f>(F812-G812)/'Speed Calc'!G$2*9.806</f>
        <v>2.6009088060232304</v>
      </c>
      <c r="I812" s="4">
        <f t="shared" si="52"/>
        <v>21.555555555555554</v>
      </c>
    </row>
    <row r="813" spans="1:9" x14ac:dyDescent="0.2">
      <c r="A813" s="11">
        <v>77.7</v>
      </c>
      <c r="B813" s="15">
        <v>3.133</v>
      </c>
      <c r="C813" s="11">
        <f t="shared" si="53"/>
        <v>10069.138197792065</v>
      </c>
      <c r="D813" s="11">
        <f t="shared" si="50"/>
        <v>118.27943029598063</v>
      </c>
      <c r="E813" s="11">
        <f t="shared" si="51"/>
        <v>411.00960334510654</v>
      </c>
      <c r="F813" s="11">
        <f>'Speed Calc'!B$5*E813</f>
        <v>369.90864301059588</v>
      </c>
      <c r="G813" s="15">
        <f>'Speed Calc'!G$3+'Speed Calc'!G$5*A813^2</f>
        <v>20</v>
      </c>
      <c r="H813" s="7">
        <f>(F813-G813)/'Speed Calc'!G$2*9.806</f>
        <v>2.5416327061940023</v>
      </c>
      <c r="I813" s="4">
        <f t="shared" si="52"/>
        <v>21.583333333333332</v>
      </c>
    </row>
    <row r="814" spans="1:9" x14ac:dyDescent="0.2">
      <c r="A814" s="11">
        <v>77.8</v>
      </c>
      <c r="B814" s="15">
        <v>3.133</v>
      </c>
      <c r="C814" s="11">
        <f t="shared" si="53"/>
        <v>10082.09719161162</v>
      </c>
      <c r="D814" s="11">
        <f t="shared" si="50"/>
        <v>115.79484491044589</v>
      </c>
      <c r="E814" s="11">
        <f t="shared" si="51"/>
        <v>401.85871627018503</v>
      </c>
      <c r="F814" s="11">
        <f>'Speed Calc'!B$5*E814</f>
        <v>361.67284464316651</v>
      </c>
      <c r="G814" s="15">
        <f>'Speed Calc'!G$3+'Speed Calc'!G$5*A814^2</f>
        <v>20</v>
      </c>
      <c r="H814" s="7">
        <f>(F814-G814)/'Speed Calc'!G$2*9.806</f>
        <v>2.4818103070895488</v>
      </c>
      <c r="I814" s="4">
        <f t="shared" si="52"/>
        <v>21.611111111111111</v>
      </c>
    </row>
    <row r="815" spans="1:9" x14ac:dyDescent="0.2">
      <c r="A815" s="11">
        <v>77.900000000000006</v>
      </c>
      <c r="B815" s="15">
        <v>3.133</v>
      </c>
      <c r="C815" s="11">
        <f t="shared" si="53"/>
        <v>10095.056185431175</v>
      </c>
      <c r="D815" s="11">
        <f t="shared" si="50"/>
        <v>113.27924206620952</v>
      </c>
      <c r="E815" s="11">
        <f t="shared" si="51"/>
        <v>392.62381717428195</v>
      </c>
      <c r="F815" s="11">
        <f>'Speed Calc'!B$5*E815</f>
        <v>353.36143545685377</v>
      </c>
      <c r="G815" s="15">
        <f>'Speed Calc'!G$3+'Speed Calc'!G$5*A815^2</f>
        <v>20</v>
      </c>
      <c r="H815" s="7">
        <f>(F815-G815)/'Speed Calc'!G$2*9.806</f>
        <v>2.4214386933999315</v>
      </c>
      <c r="I815" s="4">
        <f t="shared" si="52"/>
        <v>21.638888888888889</v>
      </c>
    </row>
    <row r="816" spans="1:9" x14ac:dyDescent="0.2">
      <c r="A816" s="11">
        <v>78</v>
      </c>
      <c r="B816" s="15">
        <v>3.133</v>
      </c>
      <c r="C816" s="11">
        <f t="shared" si="53"/>
        <v>10108.015179250726</v>
      </c>
      <c r="D816" s="11">
        <f t="shared" si="50"/>
        <v>110.73239926651107</v>
      </c>
      <c r="E816" s="11">
        <f t="shared" si="51"/>
        <v>383.3044589994613</v>
      </c>
      <c r="F816" s="11">
        <f>'Speed Calc'!B$5*E816</f>
        <v>344.97401309951516</v>
      </c>
      <c r="G816" s="15">
        <f>'Speed Calc'!G$3+'Speed Calc'!G$5*A816^2</f>
        <v>20</v>
      </c>
      <c r="H816" s="7">
        <f>(F816-G816)/'Speed Calc'!G$2*9.806</f>
        <v>2.360514942558404</v>
      </c>
      <c r="I816" s="4">
        <f t="shared" si="52"/>
        <v>21.666666666666668</v>
      </c>
    </row>
    <row r="817" spans="1:9" x14ac:dyDescent="0.2">
      <c r="A817" s="11">
        <v>78.099999999999994</v>
      </c>
      <c r="B817" s="15">
        <v>3.133</v>
      </c>
      <c r="C817" s="11">
        <f t="shared" si="53"/>
        <v>10120.974173070275</v>
      </c>
      <c r="D817" s="11">
        <f t="shared" si="50"/>
        <v>108.15409303120416</v>
      </c>
      <c r="E817" s="11">
        <f t="shared" si="51"/>
        <v>373.90019357778647</v>
      </c>
      <c r="F817" s="11">
        <f>'Speed Calc'!B$5*E817</f>
        <v>336.51017422000785</v>
      </c>
      <c r="G817" s="15">
        <f>'Speed Calc'!G$3+'Speed Calc'!G$5*A817^2</f>
        <v>20</v>
      </c>
      <c r="H817" s="7">
        <f>(F817-G817)/'Speed Calc'!G$2*9.806</f>
        <v>2.2990361247417757</v>
      </c>
      <c r="I817" s="4">
        <f t="shared" si="52"/>
        <v>21.694444444444443</v>
      </c>
    </row>
    <row r="818" spans="1:9" x14ac:dyDescent="0.2">
      <c r="A818" s="11">
        <v>78.2</v>
      </c>
      <c r="B818" s="15">
        <v>3.133</v>
      </c>
      <c r="C818" s="11">
        <f t="shared" si="53"/>
        <v>10133.93316688983</v>
      </c>
      <c r="D818" s="11">
        <f t="shared" si="50"/>
        <v>105.54409889469999</v>
      </c>
      <c r="E818" s="11">
        <f t="shared" si="51"/>
        <v>364.41057163131705</v>
      </c>
      <c r="F818" s="11">
        <f>'Speed Calc'!B$5*E818</f>
        <v>327.96951446818537</v>
      </c>
      <c r="G818" s="15">
        <f>'Speed Calc'!G$3+'Speed Calc'!G$5*A818^2</f>
        <v>20</v>
      </c>
      <c r="H818" s="7">
        <f>(F818-G818)/'Speed Calc'!G$2*9.806</f>
        <v>2.2369993028703892</v>
      </c>
      <c r="I818" s="4">
        <f t="shared" si="52"/>
        <v>21.722222222222221</v>
      </c>
    </row>
    <row r="819" spans="1:9" x14ac:dyDescent="0.2">
      <c r="A819" s="11">
        <v>78.3</v>
      </c>
      <c r="B819" s="15">
        <v>3.133</v>
      </c>
      <c r="C819" s="11">
        <f t="shared" si="53"/>
        <v>10146.89216070938</v>
      </c>
      <c r="D819" s="11">
        <f t="shared" si="50"/>
        <v>102.90219140391096</v>
      </c>
      <c r="E819" s="11">
        <f t="shared" si="51"/>
        <v>354.83514277210679</v>
      </c>
      <c r="F819" s="11">
        <f>'Speed Calc'!B$5*E819</f>
        <v>319.35162849489615</v>
      </c>
      <c r="G819" s="15">
        <f>'Speed Calc'!G$3+'Speed Calc'!G$5*A819^2</f>
        <v>20</v>
      </c>
      <c r="H819" s="7">
        <f>(F819-G819)/'Speed Calc'!G$2*9.806</f>
        <v>2.1744015326081119</v>
      </c>
      <c r="I819" s="4">
        <f t="shared" si="52"/>
        <v>21.75</v>
      </c>
    </row>
    <row r="820" spans="1:9" x14ac:dyDescent="0.2">
      <c r="A820" s="11">
        <v>78.400000000000006</v>
      </c>
      <c r="B820" s="15">
        <v>3.133</v>
      </c>
      <c r="C820" s="11">
        <f t="shared" si="53"/>
        <v>10159.851154528933</v>
      </c>
      <c r="D820" s="11">
        <f t="shared" si="50"/>
        <v>100.22814411619163</v>
      </c>
      <c r="E820" s="11">
        <f t="shared" si="51"/>
        <v>345.17345550219056</v>
      </c>
      <c r="F820" s="11">
        <f>'Speed Calc'!B$5*E820</f>
        <v>310.65610995197153</v>
      </c>
      <c r="G820" s="15">
        <f>'Speed Calc'!G$3+'Speed Calc'!G$5*A820^2</f>
        <v>20</v>
      </c>
      <c r="H820" s="7">
        <f>(F820-G820)/'Speed Calc'!G$2*9.806</f>
        <v>2.1112398623622464</v>
      </c>
      <c r="I820" s="4">
        <f t="shared" si="52"/>
        <v>21.777777777777779</v>
      </c>
    </row>
    <row r="821" spans="1:9" x14ac:dyDescent="0.2">
      <c r="A821" s="11">
        <v>78.5</v>
      </c>
      <c r="B821" s="15">
        <v>3.133</v>
      </c>
      <c r="C821" s="11">
        <f t="shared" si="53"/>
        <v>10172.810148348486</v>
      </c>
      <c r="D821" s="11">
        <f t="shared" si="50"/>
        <v>97.521729597289408</v>
      </c>
      <c r="E821" s="11">
        <f t="shared" si="51"/>
        <v>335.42505721360681</v>
      </c>
      <c r="F821" s="11">
        <f>'Speed Calc'!B$5*E821</f>
        <v>301.88255149224614</v>
      </c>
      <c r="G821" s="15">
        <f>'Speed Calc'!G$3+'Speed Calc'!G$5*A821^2</f>
        <v>20</v>
      </c>
      <c r="H821" s="7">
        <f>(F821-G821)/'Speed Calc'!G$2*9.806</f>
        <v>2.0475113332836781</v>
      </c>
      <c r="I821" s="4">
        <f t="shared" si="52"/>
        <v>21.805555555555554</v>
      </c>
    </row>
    <row r="822" spans="1:9" x14ac:dyDescent="0.2">
      <c r="A822" s="11">
        <v>78.599999999999994</v>
      </c>
      <c r="B822" s="15">
        <v>3.133</v>
      </c>
      <c r="C822" s="11">
        <f t="shared" si="53"/>
        <v>10185.769142168037</v>
      </c>
      <c r="D822" s="11">
        <f t="shared" si="50"/>
        <v>94.782719419282387</v>
      </c>
      <c r="E822" s="11">
        <f t="shared" si="51"/>
        <v>325.58949418837466</v>
      </c>
      <c r="F822" s="11">
        <f>'Speed Calc'!B$5*E822</f>
        <v>293.03054476953719</v>
      </c>
      <c r="G822" s="15">
        <f>'Speed Calc'!G$3+'Speed Calc'!G$5*A822^2</f>
        <v>20</v>
      </c>
      <c r="H822" s="7">
        <f>(F822-G822)/'Speed Calc'!G$2*9.806</f>
        <v>1.9832129792667268</v>
      </c>
      <c r="I822" s="4">
        <f t="shared" si="52"/>
        <v>21.833333333333332</v>
      </c>
    </row>
    <row r="823" spans="1:9" x14ac:dyDescent="0.2">
      <c r="A823" s="11">
        <v>78.7</v>
      </c>
      <c r="B823" s="15">
        <v>3.133</v>
      </c>
      <c r="C823" s="11">
        <f t="shared" si="53"/>
        <v>10198.728135987591</v>
      </c>
      <c r="D823" s="11">
        <f t="shared" si="50"/>
        <v>92.01088415852908</v>
      </c>
      <c r="E823" s="11">
        <f t="shared" si="51"/>
        <v>315.66631159851147</v>
      </c>
      <c r="F823" s="11">
        <f>'Speed Calc'!B$5*E823</f>
        <v>284.09968043866036</v>
      </c>
      <c r="G823" s="15">
        <f>'Speed Calc'!G$3+'Speed Calc'!G$5*A823^2</f>
        <v>20</v>
      </c>
      <c r="H823" s="7">
        <f>(F823-G823)/'Speed Calc'!G$2*9.806</f>
        <v>1.9183418269492616</v>
      </c>
      <c r="I823" s="4">
        <f t="shared" si="52"/>
        <v>21.861111111111111</v>
      </c>
    </row>
    <row r="824" spans="1:9" x14ac:dyDescent="0.2">
      <c r="A824" s="11">
        <v>78.8</v>
      </c>
      <c r="B824" s="15">
        <v>3.133</v>
      </c>
      <c r="C824" s="11">
        <f t="shared" si="53"/>
        <v>10211.687129807144</v>
      </c>
      <c r="D824" s="11">
        <f t="shared" si="50"/>
        <v>89.205993393610015</v>
      </c>
      <c r="E824" s="11">
        <f t="shared" si="51"/>
        <v>305.6550535060241</v>
      </c>
      <c r="F824" s="11">
        <f>'Speed Calc'!B$5*E824</f>
        <v>275.08954815542171</v>
      </c>
      <c r="G824" s="15">
        <f>'Speed Calc'!G$3+'Speed Calc'!G$5*A824^2</f>
        <v>20</v>
      </c>
      <c r="H824" s="7">
        <f>(F824-G824)/'Speed Calc'!G$2*9.806</f>
        <v>1.8528948957126408</v>
      </c>
      <c r="I824" s="4">
        <f t="shared" si="52"/>
        <v>21.888888888888889</v>
      </c>
    </row>
    <row r="825" spans="1:9" x14ac:dyDescent="0.2">
      <c r="A825" s="11">
        <v>78.900000000000006</v>
      </c>
      <c r="B825" s="15">
        <v>3.133</v>
      </c>
      <c r="C825" s="11">
        <f t="shared" si="53"/>
        <v>10224.646123626695</v>
      </c>
      <c r="D825" s="11">
        <f t="shared" si="50"/>
        <v>86.367815703274758</v>
      </c>
      <c r="E825" s="11">
        <f t="shared" si="51"/>
        <v>295.55526286291735</v>
      </c>
      <c r="F825" s="11">
        <f>'Speed Calc'!B$5*E825</f>
        <v>265.99973657662559</v>
      </c>
      <c r="G825" s="15">
        <f>'Speed Calc'!G$3+'Speed Calc'!G$5*A825^2</f>
        <v>20</v>
      </c>
      <c r="H825" s="7">
        <f>(F825-G825)/'Speed Calc'!G$2*9.806</f>
        <v>1.7868691976817705</v>
      </c>
      <c r="I825" s="4">
        <f t="shared" si="52"/>
        <v>21.916666666666668</v>
      </c>
    </row>
    <row r="826" spans="1:9" x14ac:dyDescent="0.2">
      <c r="A826" s="11">
        <v>79</v>
      </c>
      <c r="B826" s="15">
        <v>3.133</v>
      </c>
      <c r="C826" s="11">
        <f t="shared" si="53"/>
        <v>10237.605117446245</v>
      </c>
      <c r="D826" s="11">
        <f t="shared" si="50"/>
        <v>83.496118664376496</v>
      </c>
      <c r="E826" s="11">
        <f t="shared" si="51"/>
        <v>285.3664815111602</v>
      </c>
      <c r="F826" s="11">
        <f>'Speed Calc'!B$5*E826</f>
        <v>256.82983336004418</v>
      </c>
      <c r="G826" s="15">
        <f>'Speed Calc'!G$3+'Speed Calc'!G$5*A826^2</f>
        <v>20</v>
      </c>
      <c r="H826" s="7">
        <f>(F826-G826)/'Speed Calc'!G$2*9.806</f>
        <v>1.7202617377248837</v>
      </c>
      <c r="I826" s="4">
        <f t="shared" si="52"/>
        <v>21.944444444444443</v>
      </c>
    </row>
    <row r="827" spans="1:9" x14ac:dyDescent="0.2">
      <c r="A827" s="11">
        <v>79.099999999999994</v>
      </c>
      <c r="B827" s="15">
        <v>3.133</v>
      </c>
      <c r="C827" s="11">
        <f t="shared" si="53"/>
        <v>10250.5641112658</v>
      </c>
      <c r="D827" s="11">
        <f t="shared" si="50"/>
        <v>80.590668849836575</v>
      </c>
      <c r="E827" s="11">
        <f t="shared" si="51"/>
        <v>275.08825018275445</v>
      </c>
      <c r="F827" s="11">
        <f>'Speed Calc'!B$5*E827</f>
        <v>247.57942516447901</v>
      </c>
      <c r="G827" s="15">
        <f>'Speed Calc'!G$3+'Speed Calc'!G$5*A827^2</f>
        <v>20</v>
      </c>
      <c r="H827" s="7">
        <f>(F827-G827)/'Speed Calc'!G$2*9.806</f>
        <v>1.6530695134539859</v>
      </c>
      <c r="I827" s="4">
        <f t="shared" si="52"/>
        <v>21.972222222222221</v>
      </c>
    </row>
    <row r="828" spans="1:9" x14ac:dyDescent="0.2">
      <c r="A828" s="11">
        <v>79.2</v>
      </c>
      <c r="B828" s="15">
        <v>3.133</v>
      </c>
      <c r="C828" s="11">
        <f t="shared" si="53"/>
        <v>10263.523105085351</v>
      </c>
      <c r="D828" s="11">
        <f t="shared" si="50"/>
        <v>77.65123182656825</v>
      </c>
      <c r="E828" s="11">
        <f t="shared" si="51"/>
        <v>264.72010849966443</v>
      </c>
      <c r="F828" s="11">
        <f>'Speed Calc'!B$5*E828</f>
        <v>238.248097649698</v>
      </c>
      <c r="G828" s="15">
        <f>'Speed Calc'!G$3+'Speed Calc'!G$5*A828^2</f>
        <v>20</v>
      </c>
      <c r="H828" s="7">
        <f>(F828-G828)/'Speed Calc'!G$2*9.806</f>
        <v>1.5852895152243986</v>
      </c>
      <c r="I828" s="4">
        <f t="shared" si="52"/>
        <v>22</v>
      </c>
    </row>
    <row r="829" spans="1:9" x14ac:dyDescent="0.2">
      <c r="A829" s="11">
        <v>79.3</v>
      </c>
      <c r="B829" s="15">
        <v>3.133</v>
      </c>
      <c r="C829" s="11">
        <f t="shared" si="53"/>
        <v>10276.482098904902</v>
      </c>
      <c r="D829" s="11">
        <f t="shared" si="50"/>
        <v>74.67757215342732</v>
      </c>
      <c r="E829" s="11">
        <f t="shared" si="51"/>
        <v>254.26159497383838</v>
      </c>
      <c r="F829" s="11">
        <f>'Speed Calc'!B$5*E829</f>
        <v>228.83543547645456</v>
      </c>
      <c r="G829" s="15">
        <f>'Speed Calc'!G$3+'Speed Calc'!G$5*A829^2</f>
        <v>20</v>
      </c>
      <c r="H829" s="7">
        <f>(F829-G829)/'Speed Calc'!G$2*9.806</f>
        <v>1.5169187261348986</v>
      </c>
      <c r="I829" s="4">
        <f t="shared" si="52"/>
        <v>22.027777777777775</v>
      </c>
    </row>
    <row r="830" spans="1:9" x14ac:dyDescent="0.2">
      <c r="A830" s="11">
        <v>79.400000000000006</v>
      </c>
      <c r="B830" s="15">
        <v>3.133</v>
      </c>
      <c r="C830" s="11">
        <f t="shared" si="53"/>
        <v>10289.441092724455</v>
      </c>
      <c r="D830" s="11">
        <f t="shared" si="50"/>
        <v>71.669453379171529</v>
      </c>
      <c r="E830" s="11">
        <f t="shared" si="51"/>
        <v>243.71224700725836</v>
      </c>
      <c r="F830" s="11">
        <f>'Speed Calc'!B$5*E830</f>
        <v>219.34102230653252</v>
      </c>
      <c r="G830" s="15">
        <f>'Speed Calc'!G$3+'Speed Calc'!G$5*A830^2</f>
        <v>20</v>
      </c>
      <c r="H830" s="7">
        <f>(F830-G830)/'Speed Calc'!G$2*9.806</f>
        <v>1.4479541220280427</v>
      </c>
      <c r="I830" s="4">
        <f t="shared" si="52"/>
        <v>22.055555555555557</v>
      </c>
    </row>
    <row r="831" spans="1:9" x14ac:dyDescent="0.2">
      <c r="A831" s="11">
        <v>79.5</v>
      </c>
      <c r="B831" s="15">
        <v>3.133</v>
      </c>
      <c r="C831" s="11">
        <f t="shared" si="53"/>
        <v>10302.400086544005</v>
      </c>
      <c r="D831" s="11">
        <f t="shared" si="50"/>
        <v>68.626638040378992</v>
      </c>
      <c r="E831" s="11">
        <f t="shared" si="51"/>
        <v>233.07160089185325</v>
      </c>
      <c r="F831" s="11">
        <f>'Speed Calc'!B$5*E831</f>
        <v>209.76444080266793</v>
      </c>
      <c r="G831" s="15">
        <f>'Speed Calc'!G$3+'Speed Calc'!G$5*A831^2</f>
        <v>20</v>
      </c>
      <c r="H831" s="7">
        <f>(F831-G831)/'Speed Calc'!G$2*9.806</f>
        <v>1.3783926714896011</v>
      </c>
      <c r="I831" s="4">
        <f t="shared" si="52"/>
        <v>22.083333333333332</v>
      </c>
    </row>
    <row r="832" spans="1:9" x14ac:dyDescent="0.2">
      <c r="A832" s="11">
        <v>79.599999999999994</v>
      </c>
      <c r="B832" s="15">
        <v>3.133</v>
      </c>
      <c r="C832" s="11">
        <f t="shared" si="53"/>
        <v>10315.35908036356</v>
      </c>
      <c r="D832" s="11">
        <f t="shared" si="50"/>
        <v>65.548887659410596</v>
      </c>
      <c r="E832" s="11">
        <f t="shared" si="51"/>
        <v>222.33919180955857</v>
      </c>
      <c r="F832" s="11">
        <f>'Speed Calc'!B$5*E832</f>
        <v>200.10527262860271</v>
      </c>
      <c r="G832" s="15">
        <f>'Speed Calc'!G$3+'Speed Calc'!G$5*A832^2</f>
        <v>20</v>
      </c>
      <c r="H832" s="7">
        <f>(F832-G832)/'Speed Calc'!G$2*9.806</f>
        <v>1.3082313358489468</v>
      </c>
      <c r="I832" s="4">
        <f t="shared" si="52"/>
        <v>22.111111111111111</v>
      </c>
    </row>
    <row r="833" spans="1:9" x14ac:dyDescent="0.2">
      <c r="A833" s="11">
        <v>79.7</v>
      </c>
      <c r="B833" s="15">
        <v>3.133</v>
      </c>
      <c r="C833" s="11">
        <f t="shared" si="53"/>
        <v>10328.318074183115</v>
      </c>
      <c r="D833" s="11">
        <f t="shared" si="50"/>
        <v>62.435962742351137</v>
      </c>
      <c r="E833" s="11">
        <f t="shared" si="51"/>
        <v>211.51455383230618</v>
      </c>
      <c r="F833" s="11">
        <f>'Speed Calc'!B$5*E833</f>
        <v>190.36309844907555</v>
      </c>
      <c r="G833" s="15">
        <f>'Speed Calc'!G$3+'Speed Calc'!G$5*A833^2</f>
        <v>20</v>
      </c>
      <c r="H833" s="7">
        <f>(F833-G833)/'Speed Calc'!G$2*9.806</f>
        <v>1.2374670691789886</v>
      </c>
      <c r="I833" s="4">
        <f t="shared" si="52"/>
        <v>22.138888888888889</v>
      </c>
    </row>
    <row r="834" spans="1:9" x14ac:dyDescent="0.2">
      <c r="A834" s="11">
        <v>79.8</v>
      </c>
      <c r="B834" s="15">
        <v>3.133</v>
      </c>
      <c r="C834" s="11">
        <f t="shared" si="53"/>
        <v>10341.277068002664</v>
      </c>
      <c r="D834" s="11">
        <f t="shared" si="50"/>
        <v>59.287622776952404</v>
      </c>
      <c r="E834" s="11">
        <f t="shared" si="51"/>
        <v>200.59721992201943</v>
      </c>
      <c r="F834" s="11">
        <f>'Speed Calc'!B$5*E834</f>
        <v>180.5374979298175</v>
      </c>
      <c r="G834" s="15">
        <f>'Speed Calc'!G$3+'Speed Calc'!G$5*A834^2</f>
        <v>20</v>
      </c>
      <c r="H834" s="7">
        <f>(F834-G834)/'Speed Calc'!G$2*9.806</f>
        <v>1.1660968182961409</v>
      </c>
      <c r="I834" s="4">
        <f t="shared" si="52"/>
        <v>22.166666666666664</v>
      </c>
    </row>
    <row r="835" spans="1:9" x14ac:dyDescent="0.2">
      <c r="A835" s="11">
        <v>79.900000000000006</v>
      </c>
      <c r="B835" s="15">
        <v>3.133</v>
      </c>
      <c r="C835" s="11">
        <f t="shared" si="53"/>
        <v>10354.236061822219</v>
      </c>
      <c r="D835" s="11">
        <f t="shared" si="50"/>
        <v>56.103626230574378</v>
      </c>
      <c r="E835" s="11">
        <f t="shared" si="51"/>
        <v>189.5867219306017</v>
      </c>
      <c r="F835" s="11">
        <f>'Speed Calc'!B$5*E835</f>
        <v>170.62804973754155</v>
      </c>
      <c r="G835" s="15">
        <f>'Speed Calc'!G$3+'Speed Calc'!G$5*A835^2</f>
        <v>20</v>
      </c>
      <c r="H835" s="7">
        <f>(F835-G835)/'Speed Calc'!G$2*9.806</f>
        <v>1.0941175227602462</v>
      </c>
      <c r="I835" s="4">
        <f t="shared" si="52"/>
        <v>22.194444444444446</v>
      </c>
    </row>
    <row r="836" spans="1:9" x14ac:dyDescent="0.2">
      <c r="A836" s="11">
        <v>80</v>
      </c>
      <c r="B836" s="15">
        <v>3.133</v>
      </c>
      <c r="C836" s="11">
        <f t="shared" si="53"/>
        <v>10367.195055641769</v>
      </c>
      <c r="D836" s="11">
        <f t="shared" si="50"/>
        <v>52.883730548135702</v>
      </c>
      <c r="E836" s="11">
        <f t="shared" si="51"/>
        <v>178.48259059995794</v>
      </c>
      <c r="F836" s="11">
        <f>'Speed Calc'!B$5*E836</f>
        <v>160.63433153996215</v>
      </c>
      <c r="G836" s="15">
        <f>'Speed Calc'!G$3+'Speed Calc'!G$5*A836^2</f>
        <v>20</v>
      </c>
      <c r="H836" s="7">
        <f>(F836-G836)/'Speed Calc'!G$2*9.806</f>
        <v>1.0215261148747177</v>
      </c>
      <c r="I836" s="4">
        <f t="shared" si="52"/>
        <v>22.222222222222221</v>
      </c>
    </row>
    <row r="837" spans="1:9" x14ac:dyDescent="0.2">
      <c r="A837" s="11">
        <v>80.099999999999994</v>
      </c>
      <c r="B837" s="15">
        <v>3.133</v>
      </c>
      <c r="C837" s="11">
        <f t="shared" si="53"/>
        <v>10380.154049461318</v>
      </c>
      <c r="D837" s="11">
        <f t="shared" si="50"/>
        <v>49.627692150058252</v>
      </c>
      <c r="E837" s="11">
        <f t="shared" si="51"/>
        <v>167.28435556199415</v>
      </c>
      <c r="F837" s="11">
        <f>'Speed Calc'!B$5*E837</f>
        <v>150.55592000579475</v>
      </c>
      <c r="G837" s="15">
        <f>'Speed Calc'!G$3+'Speed Calc'!G$5*A837^2</f>
        <v>20</v>
      </c>
      <c r="H837" s="7">
        <f>(F837-G837)/'Speed Calc'!G$2*9.806</f>
        <v>0.94831951968653561</v>
      </c>
      <c r="I837" s="4">
        <f t="shared" si="52"/>
        <v>22.249999999999996</v>
      </c>
    </row>
    <row r="838" spans="1:9" x14ac:dyDescent="0.2">
      <c r="A838" s="11">
        <v>80.2</v>
      </c>
      <c r="B838" s="15">
        <v>3.133</v>
      </c>
      <c r="C838" s="11">
        <f t="shared" si="53"/>
        <v>10393.113043280875</v>
      </c>
      <c r="D838" s="11">
        <f t="shared" si="50"/>
        <v>46.335266430199013</v>
      </c>
      <c r="E838" s="11">
        <f t="shared" si="51"/>
        <v>155.99154533857521</v>
      </c>
      <c r="F838" s="11">
        <f>'Speed Calc'!B$5*E838</f>
        <v>140.39239080471768</v>
      </c>
      <c r="G838" s="15">
        <f>'Speed Calc'!G$3+'Speed Calc'!G$5*A838^2</f>
        <v>20</v>
      </c>
      <c r="H838" s="7">
        <f>(F838-G838)/'Speed Calc'!G$2*9.806</f>
        <v>0.87449465498597145</v>
      </c>
      <c r="I838" s="4">
        <f t="shared" si="52"/>
        <v>22.277777777777779</v>
      </c>
    </row>
    <row r="839" spans="1:9" x14ac:dyDescent="0.2">
      <c r="A839" s="11">
        <v>80.3</v>
      </c>
      <c r="B839" s="15">
        <v>3.133</v>
      </c>
      <c r="C839" s="11">
        <f t="shared" si="53"/>
        <v>10406.072037100424</v>
      </c>
      <c r="D839" s="11">
        <f t="shared" si="50"/>
        <v>43.006207753818401</v>
      </c>
      <c r="E839" s="11">
        <f t="shared" si="51"/>
        <v>144.60368734160605</v>
      </c>
      <c r="F839" s="11">
        <f>'Speed Calc'!B$5*E839</f>
        <v>130.14331860744545</v>
      </c>
      <c r="G839" s="15">
        <f>'Speed Calc'!G$3+'Speed Calc'!G$5*A839^2</f>
        <v>20</v>
      </c>
      <c r="H839" s="7">
        <f>(F839-G839)/'Speed Calc'!G$2*9.806</f>
        <v>0.80004843130711856</v>
      </c>
      <c r="I839" s="4">
        <f t="shared" si="52"/>
        <v>22.305555555555554</v>
      </c>
    </row>
    <row r="840" spans="1:9" x14ac:dyDescent="0.2">
      <c r="A840" s="11">
        <v>80.400000000000006</v>
      </c>
      <c r="B840" s="15">
        <v>3.133</v>
      </c>
      <c r="C840" s="11">
        <f t="shared" si="53"/>
        <v>10419.031030919979</v>
      </c>
      <c r="D840" s="11">
        <f t="shared" si="50"/>
        <v>39.640269455489204</v>
      </c>
      <c r="E840" s="11">
        <f t="shared" si="51"/>
        <v>133.12030787291147</v>
      </c>
      <c r="F840" s="11">
        <f>'Speed Calc'!B$5*E840</f>
        <v>119.80827708562032</v>
      </c>
      <c r="G840" s="15">
        <f>'Speed Calc'!G$3+'Speed Calc'!G$5*A840^2</f>
        <v>20</v>
      </c>
      <c r="H840" s="7">
        <f>(F840-G840)/'Speed Calc'!G$2*9.806</f>
        <v>0.72497775192710578</v>
      </c>
      <c r="I840" s="4">
        <f t="shared" si="52"/>
        <v>22.333333333333336</v>
      </c>
    </row>
    <row r="841" spans="1:9" x14ac:dyDescent="0.2">
      <c r="A841" s="11">
        <v>80.5</v>
      </c>
      <c r="B841" s="15">
        <v>3.133</v>
      </c>
      <c r="C841" s="11">
        <f t="shared" si="53"/>
        <v>10431.990024739531</v>
      </c>
      <c r="D841" s="11">
        <f t="shared" si="50"/>
        <v>36.237203837084877</v>
      </c>
      <c r="E841" s="11">
        <f t="shared" si="51"/>
        <v>121.54093212438404</v>
      </c>
      <c r="F841" s="11">
        <f>'Speed Calc'!B$5*E841</f>
        <v>109.38683891194565</v>
      </c>
      <c r="G841" s="15">
        <f>'Speed Calc'!G$3+'Speed Calc'!G$5*A841^2</f>
        <v>20</v>
      </c>
      <c r="H841" s="7">
        <f>(F841-G841)/'Speed Calc'!G$2*9.806</f>
        <v>0.64927951286706598</v>
      </c>
      <c r="I841" s="4">
        <f t="shared" si="52"/>
        <v>22.361111111111111</v>
      </c>
    </row>
    <row r="842" spans="1:9" x14ac:dyDescent="0.2">
      <c r="A842" s="11">
        <v>80.599999999999994</v>
      </c>
      <c r="B842" s="15">
        <v>3.133</v>
      </c>
      <c r="C842" s="11">
        <f t="shared" si="53"/>
        <v>10444.94901855908</v>
      </c>
      <c r="D842" s="11">
        <f t="shared" si="50"/>
        <v>32.796762165689046</v>
      </c>
      <c r="E842" s="11">
        <f t="shared" si="51"/>
        <v>109.86508417786654</v>
      </c>
      <c r="F842" s="11">
        <f>'Speed Calc'!B$5*E842</f>
        <v>98.878575760079883</v>
      </c>
      <c r="G842" s="15">
        <f>'Speed Calc'!G$3+'Speed Calc'!G$5*A842^2</f>
        <v>20</v>
      </c>
      <c r="H842" s="7">
        <f>(F842-G842)/'Speed Calc'!G$2*9.806</f>
        <v>0.57295060289136546</v>
      </c>
      <c r="I842" s="4">
        <f t="shared" si="52"/>
        <v>22.388888888888886</v>
      </c>
    </row>
    <row r="843" spans="1:9" x14ac:dyDescent="0.2">
      <c r="A843" s="11">
        <v>80.7</v>
      </c>
      <c r="B843" s="15">
        <v>3.133</v>
      </c>
      <c r="C843" s="11">
        <f t="shared" si="53"/>
        <v>10457.908012378633</v>
      </c>
      <c r="D843" s="11">
        <f t="shared" si="50"/>
        <v>29.318694671551896</v>
      </c>
      <c r="E843" s="11">
        <f t="shared" si="51"/>
        <v>98.092287005192219</v>
      </c>
      <c r="F843" s="11">
        <f>'Speed Calc'!B$5*E843</f>
        <v>88.283058304673006</v>
      </c>
      <c r="G843" s="15">
        <f>'Speed Calc'!G$3+'Speed Calc'!G$5*A843^2</f>
        <v>20</v>
      </c>
      <c r="H843" s="7">
        <f>(F843-G843)/'Speed Calc'!G$2*9.806</f>
        <v>0.49598790350786925</v>
      </c>
      <c r="I843" s="4">
        <f t="shared" si="52"/>
        <v>22.416666666666668</v>
      </c>
    </row>
    <row r="844" spans="1:9" x14ac:dyDescent="0.2">
      <c r="A844" s="11">
        <v>80.8</v>
      </c>
      <c r="B844" s="15">
        <v>3.133</v>
      </c>
      <c r="C844" s="11">
        <f t="shared" si="53"/>
        <v>10470.867006198185</v>
      </c>
      <c r="D844" s="11">
        <f t="shared" si="50"/>
        <v>25.802750546040471</v>
      </c>
      <c r="E844" s="11">
        <f t="shared" si="51"/>
        <v>86.222062468204555</v>
      </c>
      <c r="F844" s="11">
        <f>'Speed Calc'!B$5*E844</f>
        <v>77.599856221384101</v>
      </c>
      <c r="G844" s="15">
        <f>'Speed Calc'!G$3+'Speed Calc'!G$5*A844^2</f>
        <v>20</v>
      </c>
      <c r="H844" s="7">
        <f>(F844-G844)/'Speed Calc'!G$2*9.806</f>
        <v>0.41838828896806851</v>
      </c>
      <c r="I844" s="4">
        <f t="shared" si="52"/>
        <v>22.444444444444443</v>
      </c>
    </row>
    <row r="845" spans="1:9" x14ac:dyDescent="0.2">
      <c r="A845" s="11">
        <v>80.900000000000006</v>
      </c>
      <c r="B845" s="15">
        <v>3.133</v>
      </c>
      <c r="C845" s="11">
        <f t="shared" si="53"/>
        <v>10483.82600001774</v>
      </c>
      <c r="D845" s="11">
        <f t="shared" si="50"/>
        <v>22.248677939573341</v>
      </c>
      <c r="E845" s="11">
        <f t="shared" si="51"/>
        <v>74.253931318724369</v>
      </c>
      <c r="F845" s="11">
        <f>'Speed Calc'!B$5*E845</f>
        <v>66.828538186851929</v>
      </c>
      <c r="G845" s="15">
        <f>'Speed Calc'!G$3+'Speed Calc'!G$5*A845^2</f>
        <v>20</v>
      </c>
      <c r="H845" s="7">
        <f>(F845-G845)/'Speed Calc'!G$2*9.806</f>
        <v>0.34014862626686665</v>
      </c>
      <c r="I845" s="4">
        <f t="shared" si="52"/>
        <v>22.472222222222225</v>
      </c>
    </row>
    <row r="846" spans="1:9" x14ac:dyDescent="0.2">
      <c r="A846" s="11">
        <v>81</v>
      </c>
      <c r="B846" s="15">
        <v>3.133</v>
      </c>
      <c r="C846" s="11">
        <f t="shared" si="53"/>
        <v>10496.784993837291</v>
      </c>
      <c r="D846" s="11">
        <f t="shared" si="50"/>
        <v>18.656223959570042</v>
      </c>
      <c r="E846" s="11">
        <f t="shared" si="51"/>
        <v>62.187413198566823</v>
      </c>
      <c r="F846" s="11">
        <f>'Speed Calc'!B$5*E846</f>
        <v>55.96867187871014</v>
      </c>
      <c r="G846" s="15">
        <f>'Speed Calc'!G$3+'Speed Calc'!G$5*A846^2</f>
        <v>20</v>
      </c>
      <c r="H846" s="7">
        <f>(F846-G846)/'Speed Calc'!G$2*9.806</f>
        <v>0.26126577514269006</v>
      </c>
      <c r="I846" s="4">
        <f t="shared" si="52"/>
        <v>22.5</v>
      </c>
    </row>
    <row r="847" spans="1:9" x14ac:dyDescent="0.2">
      <c r="A847" s="11">
        <v>81.099999999999994</v>
      </c>
      <c r="B847" s="15">
        <v>3.133</v>
      </c>
      <c r="C847" s="11">
        <f t="shared" si="53"/>
        <v>10509.743987656842</v>
      </c>
      <c r="D847" s="11">
        <f t="shared" si="50"/>
        <v>15.025134668391217</v>
      </c>
      <c r="E847" s="11">
        <f t="shared" si="51"/>
        <v>50.022026639526864</v>
      </c>
      <c r="F847" s="11">
        <f>'Speed Calc'!B$5*E847</f>
        <v>45.019823975574177</v>
      </c>
      <c r="G847" s="15">
        <f>'Speed Calc'!G$3+'Speed Calc'!G$5*A847^2</f>
        <v>20</v>
      </c>
      <c r="H847" s="7">
        <f>(F847-G847)/'Speed Calc'!G$2*9.806</f>
        <v>0.18173658807739285</v>
      </c>
      <c r="I847" s="4">
        <f t="shared" si="52"/>
        <v>22.527777777777775</v>
      </c>
    </row>
    <row r="848" spans="1:9" x14ac:dyDescent="0.2">
      <c r="A848" s="11">
        <v>81.2</v>
      </c>
      <c r="B848" s="15">
        <v>3.133</v>
      </c>
      <c r="C848" s="11">
        <f t="shared" si="53"/>
        <v>10522.702981476394</v>
      </c>
      <c r="D848" s="11">
        <f t="shared" si="50"/>
        <v>11.355155081298918</v>
      </c>
      <c r="E848" s="11">
        <f t="shared" si="51"/>
        <v>37.757289063432367</v>
      </c>
      <c r="F848" s="11">
        <f>'Speed Calc'!B$5*E848</f>
        <v>33.981560157089135</v>
      </c>
      <c r="G848" s="15">
        <f>'Speed Calc'!G$3+'Speed Calc'!G$5*A848^2</f>
        <v>20</v>
      </c>
      <c r="H848" s="7">
        <f>(F848-G848)/'Speed Calc'!G$2*9.806</f>
        <v>0.10155791029660448</v>
      </c>
      <c r="I848" s="4">
        <f t="shared" si="52"/>
        <v>22.555555555555557</v>
      </c>
    </row>
    <row r="849" spans="1:9" x14ac:dyDescent="0.2">
      <c r="A849" s="11">
        <v>81.3</v>
      </c>
      <c r="B849" s="15">
        <v>3.133</v>
      </c>
      <c r="C849" s="11">
        <f t="shared" si="53"/>
        <v>10535.661975295945</v>
      </c>
      <c r="D849" s="11">
        <f t="shared" si="50"/>
        <v>7.6460291643712424</v>
      </c>
      <c r="E849" s="11">
        <f t="shared" si="51"/>
        <v>25.392716782044719</v>
      </c>
      <c r="F849" s="11">
        <f>'Speed Calc'!B$5*E849</f>
        <v>22.853445103840247</v>
      </c>
      <c r="G849" s="15">
        <f>'Speed Calc'!G$3+'Speed Calc'!G$5*A849^2</f>
        <v>20</v>
      </c>
      <c r="H849" s="7">
        <f>(F849-G849)/'Speed Calc'!G$2*9.806</f>
        <v>2.0726579769079604E-2</v>
      </c>
      <c r="I849" s="4">
        <f t="shared" si="52"/>
        <v>22.583333333333332</v>
      </c>
    </row>
    <row r="850" spans="1:9" x14ac:dyDescent="0.2">
      <c r="A850" s="11">
        <v>81.400000000000006</v>
      </c>
      <c r="B850" s="15">
        <v>3.133</v>
      </c>
      <c r="C850" s="11">
        <f t="shared" si="53"/>
        <v>10548.6209691155</v>
      </c>
      <c r="D850" s="11">
        <f t="shared" si="50"/>
        <v>3.8974998324755035</v>
      </c>
      <c r="E850" s="11">
        <f t="shared" si="51"/>
        <v>12.927824997154618</v>
      </c>
      <c r="F850" s="11">
        <f>'Speed Calc'!B$5*E850</f>
        <v>11.635042497439157</v>
      </c>
      <c r="G850" s="15">
        <f>'Speed Calc'!G$3+'Speed Calc'!G$5*A850^2</f>
        <v>20</v>
      </c>
      <c r="H850" s="7">
        <f>(F850-G850)/'Speed Calc'!G$2*9.806</f>
        <v>-6.0760572792675271E-2</v>
      </c>
      <c r="I850" s="4">
        <f t="shared" si="52"/>
        <v>22.611111111111111</v>
      </c>
    </row>
    <row r="851" spans="1:9" x14ac:dyDescent="0.2">
      <c r="A851" s="11">
        <v>81.5</v>
      </c>
      <c r="B851" s="15">
        <v>3.133</v>
      </c>
      <c r="C851" s="11">
        <f t="shared" si="53"/>
        <v>10561.579962935051</v>
      </c>
      <c r="D851" s="11">
        <f t="shared" si="50"/>
        <v>0.10930894719767537</v>
      </c>
      <c r="E851" s="11">
        <f t="shared" si="51"/>
        <v>0.36212780053217608</v>
      </c>
      <c r="F851" s="11">
        <f>'Speed Calc'!B$5*E851</f>
        <v>0.32591502047895848</v>
      </c>
      <c r="G851" s="15">
        <f>'Speed Calc'!G$3+'Speed Calc'!G$5*A851^2</f>
        <v>20</v>
      </c>
      <c r="H851" s="7">
        <f>(F851-G851)/'Speed Calc'!G$2*9.806</f>
        <v>-0.14290672393272838</v>
      </c>
      <c r="I851" s="4">
        <f t="shared" si="52"/>
        <v>22.638888888888889</v>
      </c>
    </row>
    <row r="852" spans="1:9" x14ac:dyDescent="0.2">
      <c r="A852" s="11">
        <v>81.599999999999994</v>
      </c>
      <c r="B852" s="15">
        <v>3.133</v>
      </c>
      <c r="C852" s="11">
        <f t="shared" si="53"/>
        <v>10574.538956754603</v>
      </c>
      <c r="D852" s="11">
        <f t="shared" si="50"/>
        <v>-3.7188026852079474</v>
      </c>
      <c r="E852" s="11">
        <f t="shared" si="51"/>
        <v>-12.30486182605571</v>
      </c>
      <c r="F852" s="11">
        <f>'Speed Calc'!B$5*E852</f>
        <v>-11.074375643450139</v>
      </c>
      <c r="G852" s="15">
        <f>'Speed Calc'!G$3+'Speed Calc'!G$5*A852^2</f>
        <v>20</v>
      </c>
      <c r="H852" s="7">
        <f>(F852-G852)/'Speed Calc'!G$2*9.806</f>
        <v>-0.22571505745160891</v>
      </c>
      <c r="I852" s="4">
        <f t="shared" si="52"/>
        <v>22.666666666666664</v>
      </c>
    </row>
    <row r="853" spans="1:9" x14ac:dyDescent="0.2">
      <c r="A853" s="11">
        <v>81.7</v>
      </c>
      <c r="B853" s="15">
        <v>3.133</v>
      </c>
      <c r="C853" s="11">
        <f t="shared" si="53"/>
        <v>10587.497950574159</v>
      </c>
      <c r="D853" s="11">
        <f t="shared" si="50"/>
        <v>-7.5870953158755583</v>
      </c>
      <c r="E853" s="11">
        <f t="shared" si="51"/>
        <v>-25.073632010849447</v>
      </c>
      <c r="F853" s="11">
        <f>'Speed Calc'!B$5*E853</f>
        <v>-22.566268809764502</v>
      </c>
      <c r="G853" s="15">
        <f>'Speed Calc'!G$3+'Speed Calc'!G$5*A853^2</f>
        <v>20</v>
      </c>
      <c r="H853" s="7">
        <f>(F853-G853)/'Speed Calc'!G$2*9.806</f>
        <v>-0.3091887644063338</v>
      </c>
      <c r="I853" s="4">
        <f t="shared" si="52"/>
        <v>22.694444444444446</v>
      </c>
    </row>
    <row r="854" spans="1:9" x14ac:dyDescent="0.2">
      <c r="A854" s="11">
        <v>81.8</v>
      </c>
      <c r="B854" s="15">
        <v>3.133</v>
      </c>
      <c r="C854" s="11">
        <f t="shared" si="53"/>
        <v>10600.456944393709</v>
      </c>
      <c r="D854" s="11">
        <f t="shared" si="50"/>
        <v>-11.495830255388739</v>
      </c>
      <c r="E854" s="11">
        <f t="shared" si="51"/>
        <v>-37.944671992114422</v>
      </c>
      <c r="F854" s="11">
        <f>'Speed Calc'!B$5*E854</f>
        <v>-34.150204792902983</v>
      </c>
      <c r="G854" s="15">
        <f>'Speed Calc'!G$3+'Speed Calc'!G$5*A854^2</f>
        <v>20</v>
      </c>
      <c r="H854" s="7">
        <f>(F854-G854)/'Speed Calc'!G$2*9.806</f>
        <v>-0.39333104311052342</v>
      </c>
      <c r="I854" s="4">
        <f t="shared" si="52"/>
        <v>22.722222222222221</v>
      </c>
    </row>
    <row r="855" spans="1:9" x14ac:dyDescent="0.2">
      <c r="A855" s="11">
        <v>81.900000000000006</v>
      </c>
      <c r="B855" s="15">
        <v>3.133</v>
      </c>
      <c r="C855" s="11">
        <f t="shared" si="53"/>
        <v>10613.415938213258</v>
      </c>
      <c r="D855" s="11">
        <f t="shared" si="50"/>
        <v>-15.445269875824678</v>
      </c>
      <c r="E855" s="11">
        <f t="shared" si="51"/>
        <v>-50.918472118103345</v>
      </c>
      <c r="F855" s="11">
        <f>'Speed Calc'!B$5*E855</f>
        <v>-45.826624906293013</v>
      </c>
      <c r="G855" s="15">
        <f>'Speed Calc'!G$3+'Speed Calc'!G$5*A855^2</f>
        <v>20</v>
      </c>
      <c r="H855" s="7">
        <f>(F855-G855)/'Speed Calc'!G$2*9.806</f>
        <v>-0.47814509913415498</v>
      </c>
      <c r="I855" s="4">
        <f t="shared" si="52"/>
        <v>22.75</v>
      </c>
    </row>
    <row r="856" spans="1:9" x14ac:dyDescent="0.2">
      <c r="A856" s="11">
        <v>82</v>
      </c>
      <c r="B856" s="15">
        <v>3.133</v>
      </c>
      <c r="C856" s="11">
        <f t="shared" si="53"/>
        <v>10626.374932032813</v>
      </c>
      <c r="D856" s="11">
        <f t="shared" si="50"/>
        <v>-19.435677612821905</v>
      </c>
      <c r="E856" s="11">
        <f t="shared" si="51"/>
        <v>-63.995523847096507</v>
      </c>
      <c r="F856" s="11">
        <f>'Speed Calc'!B$5*E856</f>
        <v>-57.595971462386856</v>
      </c>
      <c r="G856" s="15">
        <f>'Speed Calc'!G$3+'Speed Calc'!G$5*A856^2</f>
        <v>20</v>
      </c>
      <c r="H856" s="7">
        <f>(F856-G856)/'Speed Calc'!G$2*9.806</f>
        <v>-0.56363414530382627</v>
      </c>
      <c r="I856" s="4">
        <f t="shared" si="52"/>
        <v>22.777777777777779</v>
      </c>
    </row>
    <row r="857" spans="1:9" x14ac:dyDescent="0.2">
      <c r="A857" s="11">
        <v>82.1</v>
      </c>
      <c r="B857" s="15">
        <v>3.133</v>
      </c>
      <c r="C857" s="11">
        <f t="shared" si="53"/>
        <v>10639.333925852365</v>
      </c>
      <c r="D857" s="11">
        <f t="shared" si="50"/>
        <v>-23.467317967627352</v>
      </c>
      <c r="E857" s="11">
        <f t="shared" si="51"/>
        <v>-77.176319747373768</v>
      </c>
      <c r="F857" s="11">
        <f>'Speed Calc'!B$5*E857</f>
        <v>-69.458687772636395</v>
      </c>
      <c r="G857" s="15">
        <f>'Speed Calc'!G$3+'Speed Calc'!G$5*A857^2</f>
        <v>20</v>
      </c>
      <c r="H857" s="7">
        <f>(F857-G857)/'Speed Calc'!G$2*9.806</f>
        <v>-0.64980140170257206</v>
      </c>
      <c r="I857" s="4">
        <f t="shared" si="52"/>
        <v>22.805555555555554</v>
      </c>
    </row>
    <row r="858" spans="1:9" x14ac:dyDescent="0.2">
      <c r="A858" s="11">
        <v>82.2</v>
      </c>
      <c r="B858" s="15">
        <v>3.133</v>
      </c>
      <c r="C858" s="11">
        <f t="shared" si="53"/>
        <v>10652.292919671918</v>
      </c>
      <c r="D858" s="11">
        <f t="shared" si="50"/>
        <v>-27.540456509148669</v>
      </c>
      <c r="E858" s="11">
        <f t="shared" si="51"/>
        <v>-90.461353497203646</v>
      </c>
      <c r="F858" s="11">
        <f>'Speed Calc'!B$5*E858</f>
        <v>-81.415218147483287</v>
      </c>
      <c r="G858" s="15">
        <f>'Speed Calc'!G$3+'Speed Calc'!G$5*A858^2</f>
        <v>20</v>
      </c>
      <c r="H858" s="7">
        <f>(F858-G858)/'Speed Calc'!G$2*9.806</f>
        <v>-0.73665009566979334</v>
      </c>
      <c r="I858" s="4">
        <f t="shared" si="52"/>
        <v>22.833333333333332</v>
      </c>
    </row>
    <row r="859" spans="1:9" x14ac:dyDescent="0.2">
      <c r="A859" s="11">
        <v>82.3</v>
      </c>
      <c r="B859" s="15">
        <v>3.133</v>
      </c>
      <c r="C859" s="11">
        <f t="shared" si="53"/>
        <v>10665.251913491469</v>
      </c>
      <c r="D859" s="11">
        <f t="shared" si="50"/>
        <v>-31.65535987602901</v>
      </c>
      <c r="E859" s="11">
        <f t="shared" si="51"/>
        <v>-103.85111988490682</v>
      </c>
      <c r="F859" s="11">
        <f>'Speed Calc'!B$5*E859</f>
        <v>-93.466007896416144</v>
      </c>
      <c r="G859" s="15">
        <f>'Speed Calc'!G$3+'Speed Calc'!G$5*A859^2</f>
        <v>20</v>
      </c>
      <c r="H859" s="7">
        <f>(F859-G859)/'Speed Calc'!G$2*9.806</f>
        <v>-0.82418346180167157</v>
      </c>
      <c r="I859" s="4">
        <f t="shared" si="52"/>
        <v>22.861111111111111</v>
      </c>
    </row>
    <row r="860" spans="1:9" x14ac:dyDescent="0.2">
      <c r="A860" s="11">
        <v>82.4</v>
      </c>
      <c r="B860" s="15">
        <v>3.133</v>
      </c>
      <c r="C860" s="11">
        <f t="shared" si="53"/>
        <v>10678.21090731102</v>
      </c>
      <c r="D860" s="11">
        <f t="shared" si="50"/>
        <v>-35.812295778677964</v>
      </c>
      <c r="E860" s="11">
        <f t="shared" si="51"/>
        <v>-117.34611480877487</v>
      </c>
      <c r="F860" s="11">
        <f>'Speed Calc'!B$5*E860</f>
        <v>-105.61150332789738</v>
      </c>
      <c r="G860" s="15">
        <f>'Speed Calc'!G$3+'Speed Calc'!G$5*A860^2</f>
        <v>20</v>
      </c>
      <c r="H860" s="7">
        <f>(F860-G860)/'Speed Calc'!G$2*9.806</f>
        <v>-0.91240474195063814</v>
      </c>
      <c r="I860" s="4">
        <f t="shared" si="52"/>
        <v>22.888888888888889</v>
      </c>
    </row>
    <row r="861" spans="1:9" x14ac:dyDescent="0.2">
      <c r="A861" s="11">
        <v>82.5</v>
      </c>
      <c r="B861" s="15">
        <v>3.133</v>
      </c>
      <c r="C861" s="11">
        <f t="shared" si="53"/>
        <v>10691.169901130575</v>
      </c>
      <c r="D861" s="11">
        <f t="shared" si="50"/>
        <v>-40.011533001348468</v>
      </c>
      <c r="E861" s="11">
        <f t="shared" si="51"/>
        <v>-130.94683527714042</v>
      </c>
      <c r="F861" s="11">
        <f>'Speed Calc'!B$5*E861</f>
        <v>-117.85215174942638</v>
      </c>
      <c r="G861" s="15">
        <f>'Speed Calc'!G$3+'Speed Calc'!G$5*A861^2</f>
        <v>20</v>
      </c>
      <c r="H861" s="7">
        <f>(F861-G861)/'Speed Calc'!G$2*9.806</f>
        <v>-1.0013171852258334</v>
      </c>
      <c r="I861" s="4">
        <f t="shared" si="52"/>
        <v>22.916666666666668</v>
      </c>
    </row>
    <row r="862" spans="1:9" x14ac:dyDescent="0.2">
      <c r="A862" s="11">
        <v>82.6</v>
      </c>
      <c r="B862" s="15">
        <v>3.133</v>
      </c>
      <c r="C862" s="11">
        <f t="shared" si="53"/>
        <v>10704.128894950125</v>
      </c>
      <c r="D862" s="11">
        <f t="shared" si="50"/>
        <v>-44.25334140416939</v>
      </c>
      <c r="E862" s="11">
        <f t="shared" si="51"/>
        <v>-144.65377940830192</v>
      </c>
      <c r="F862" s="11">
        <f>'Speed Calc'!B$5*E862</f>
        <v>-130.18840146747172</v>
      </c>
      <c r="G862" s="15">
        <f>'Speed Calc'!G$3+'Speed Calc'!G$5*A862^2</f>
        <v>20</v>
      </c>
      <c r="H862" s="7">
        <f>(F862-G862)/'Speed Calc'!G$2*9.806</f>
        <v>-1.090924047992613</v>
      </c>
      <c r="I862" s="4">
        <f t="shared" si="52"/>
        <v>22.944444444444443</v>
      </c>
    </row>
    <row r="863" spans="1:9" x14ac:dyDescent="0.2">
      <c r="A863" s="11">
        <v>82.7</v>
      </c>
      <c r="B863" s="15">
        <v>3.133</v>
      </c>
      <c r="C863" s="11">
        <f t="shared" si="53"/>
        <v>10717.087888769678</v>
      </c>
      <c r="D863" s="11">
        <f t="shared" si="50"/>
        <v>-48.537991925229903</v>
      </c>
      <c r="E863" s="11">
        <f t="shared" si="51"/>
        <v>-158.4674464306176</v>
      </c>
      <c r="F863" s="11">
        <f>'Speed Calc'!B$5*E863</f>
        <v>-142.62070178755584</v>
      </c>
      <c r="G863" s="15">
        <f>'Speed Calc'!G$3+'Speed Calc'!G$5*A863^2</f>
        <v>20</v>
      </c>
      <c r="H863" s="7">
        <f>(F863-G863)/'Speed Calc'!G$2*9.806</f>
        <v>-1.1812285938731648</v>
      </c>
      <c r="I863" s="4">
        <f t="shared" si="52"/>
        <v>22.972222222222221</v>
      </c>
    </row>
    <row r="864" spans="1:9" x14ac:dyDescent="0.2">
      <c r="A864" s="11">
        <v>82.8</v>
      </c>
      <c r="B864" s="15">
        <v>3.133</v>
      </c>
      <c r="C864" s="11">
        <f t="shared" si="53"/>
        <v>10730.046882589229</v>
      </c>
      <c r="D864" s="11">
        <f t="shared" si="50"/>
        <v>-52.865756582603282</v>
      </c>
      <c r="E864" s="11">
        <f t="shared" si="51"/>
        <v>-172.38833668240201</v>
      </c>
      <c r="F864" s="11">
        <f>'Speed Calc'!B$5*E864</f>
        <v>-155.14950301416181</v>
      </c>
      <c r="G864" s="15">
        <f>'Speed Calc'!G$3+'Speed Calc'!G$5*A864^2</f>
        <v>20</v>
      </c>
      <c r="H864" s="7">
        <f>(F864-G864)/'Speed Calc'!G$2*9.806</f>
        <v>-1.2722340937458301</v>
      </c>
      <c r="I864" s="4">
        <f t="shared" si="52"/>
        <v>23</v>
      </c>
    </row>
    <row r="865" spans="1:9" x14ac:dyDescent="0.2">
      <c r="A865" s="11">
        <v>82.9</v>
      </c>
      <c r="B865" s="15">
        <v>3.133</v>
      </c>
      <c r="C865" s="11">
        <f t="shared" si="53"/>
        <v>10743.005876408784</v>
      </c>
      <c r="D865" s="11">
        <f t="shared" si="50"/>
        <v>-57.236908476431779</v>
      </c>
      <c r="E865" s="11">
        <f t="shared" si="51"/>
        <v>-186.41695161202148</v>
      </c>
      <c r="F865" s="11">
        <f>'Speed Calc'!B$5*E865</f>
        <v>-167.77525645081934</v>
      </c>
      <c r="G865" s="15">
        <f>'Speed Calc'!G$3+'Speed Calc'!G$5*A865^2</f>
        <v>20</v>
      </c>
      <c r="H865" s="7">
        <f>(F865-G865)/'Speed Calc'!G$2*9.806</f>
        <v>-1.363943825745729</v>
      </c>
      <c r="I865" s="4">
        <f t="shared" si="52"/>
        <v>23.027777777777779</v>
      </c>
    </row>
    <row r="866" spans="1:9" x14ac:dyDescent="0.2">
      <c r="A866" s="11">
        <v>83</v>
      </c>
      <c r="B866" s="15">
        <v>3.133</v>
      </c>
      <c r="C866" s="11">
        <f t="shared" si="53"/>
        <v>10755.964870228334</v>
      </c>
      <c r="D866" s="11">
        <f t="shared" si="50"/>
        <v>-61.651721790960423</v>
      </c>
      <c r="E866" s="11">
        <f t="shared" si="51"/>
        <v>-200.55379377782307</v>
      </c>
      <c r="F866" s="11">
        <f>'Speed Calc'!B$5*E866</f>
        <v>-180.49841440004076</v>
      </c>
      <c r="G866" s="15">
        <f>'Speed Calc'!G$3+'Speed Calc'!G$5*A866^2</f>
        <v>20</v>
      </c>
      <c r="H866" s="7">
        <f>(F866-G866)/'Speed Calc'!G$2*9.806</f>
        <v>-1.4563610752642959</v>
      </c>
      <c r="I866" s="4">
        <f t="shared" si="52"/>
        <v>23.055555555555554</v>
      </c>
    </row>
    <row r="867" spans="1:9" x14ac:dyDescent="0.2">
      <c r="A867" s="11">
        <v>83.1</v>
      </c>
      <c r="B867" s="15">
        <v>3.133</v>
      </c>
      <c r="C867" s="11">
        <f t="shared" si="53"/>
        <v>10768.923864047887</v>
      </c>
      <c r="D867" s="11">
        <f t="shared" si="50"/>
        <v>-66.11047179660865</v>
      </c>
      <c r="E867" s="11">
        <f t="shared" si="51"/>
        <v>-214.79936684818699</v>
      </c>
      <c r="F867" s="11">
        <f>'Speed Calc'!B$5*E867</f>
        <v>-193.31943016336831</v>
      </c>
      <c r="G867" s="15">
        <f>'Speed Calc'!G$3+'Speed Calc'!G$5*A867^2</f>
        <v>20</v>
      </c>
      <c r="H867" s="7">
        <f>(F867-G867)/'Speed Calc'!G$2*9.806</f>
        <v>-1.5494891349496218</v>
      </c>
      <c r="I867" s="4">
        <f t="shared" si="52"/>
        <v>23.083333333333332</v>
      </c>
    </row>
    <row r="868" spans="1:9" x14ac:dyDescent="0.2">
      <c r="A868" s="11">
        <v>83.2</v>
      </c>
      <c r="B868" s="15">
        <v>3.133</v>
      </c>
      <c r="C868" s="11">
        <f t="shared" si="53"/>
        <v>10781.882857867438</v>
      </c>
      <c r="D868" s="11">
        <f t="shared" si="50"/>
        <v>-70.613434852010016</v>
      </c>
      <c r="E868" s="11">
        <f t="shared" si="51"/>
        <v>-229.15417560147486</v>
      </c>
      <c r="F868" s="11">
        <f>'Speed Calc'!B$5*E868</f>
        <v>-206.23875804132737</v>
      </c>
      <c r="G868" s="15">
        <f>'Speed Calc'!G$3+'Speed Calc'!G$5*A868^2</f>
        <v>20</v>
      </c>
      <c r="H868" s="7">
        <f>(F868-G868)/'Speed Calc'!G$2*9.806</f>
        <v>-1.6433313047061155</v>
      </c>
      <c r="I868" s="4">
        <f t="shared" si="52"/>
        <v>23.111111111111111</v>
      </c>
    </row>
    <row r="869" spans="1:9" x14ac:dyDescent="0.2">
      <c r="A869" s="11">
        <v>83.3</v>
      </c>
      <c r="B869" s="15">
        <v>3.133</v>
      </c>
      <c r="C869" s="11">
        <f t="shared" si="53"/>
        <v>10794.841851686993</v>
      </c>
      <c r="D869" s="11">
        <f t="shared" ref="D869:D932" si="54">-4.687*10^(-17)*C869^5+9.129*10^(-13)*C869^4-6.175*10^(-9)*C869^3+1.799*10^(-5)*C869^2+6.502*10^(-3)*C869</f>
        <v>-75.160888406086613</v>
      </c>
      <c r="E869" s="11">
        <f t="shared" si="51"/>
        <v>-243.61872592609106</v>
      </c>
      <c r="F869" s="11">
        <f>'Speed Calc'!B$5*E869</f>
        <v>-219.25685333348196</v>
      </c>
      <c r="G869" s="15">
        <f>'Speed Calc'!G$3+'Speed Calc'!G$5*A869^2</f>
        <v>20</v>
      </c>
      <c r="H869" s="7">
        <f>(F869-G869)/'Speed Calc'!G$2*9.806</f>
        <v>-1.7378908916949065</v>
      </c>
      <c r="I869" s="4">
        <f t="shared" si="52"/>
        <v>23.138888888888889</v>
      </c>
    </row>
    <row r="870" spans="1:9" x14ac:dyDescent="0.2">
      <c r="A870" s="11">
        <v>83.4</v>
      </c>
      <c r="B870" s="15">
        <v>3.133</v>
      </c>
      <c r="C870" s="11">
        <f t="shared" si="53"/>
        <v>10807.800845506545</v>
      </c>
      <c r="D870" s="11">
        <f t="shared" si="54"/>
        <v>-79.753111000079215</v>
      </c>
      <c r="E870" s="11">
        <f t="shared" ref="E870:E933" si="55">D870*75*B870*B$31*B$32/B$23/C870/2/PI()*60</f>
        <v>-258.19352482040034</v>
      </c>
      <c r="F870" s="11">
        <f>'Speed Calc'!B$5*E870</f>
        <v>-232.37417233836032</v>
      </c>
      <c r="G870" s="15">
        <f>'Speed Calc'!G$3+'Speed Calc'!G$5*A870^2</f>
        <v>20</v>
      </c>
      <c r="H870" s="7">
        <f>(F870-G870)/'Speed Calc'!G$2*9.806</f>
        <v>-1.8331712103333044</v>
      </c>
      <c r="I870" s="4">
        <f t="shared" ref="I870:I933" si="56">A870/3.6</f>
        <v>23.166666666666668</v>
      </c>
    </row>
    <row r="871" spans="1:9" x14ac:dyDescent="0.2">
      <c r="A871" s="11">
        <v>83.5</v>
      </c>
      <c r="B871" s="15">
        <v>3.133</v>
      </c>
      <c r="C871" s="11">
        <f t="shared" si="53"/>
        <v>10820.759839326096</v>
      </c>
      <c r="D871" s="11">
        <f t="shared" si="54"/>
        <v>-84.390382269630351</v>
      </c>
      <c r="E871" s="11">
        <f t="shared" si="55"/>
        <v>-272.87908039281672</v>
      </c>
      <c r="F871" s="11">
        <f>'Speed Calc'!B$5*E871</f>
        <v>-245.59117235353506</v>
      </c>
      <c r="G871" s="15">
        <f>'Speed Calc'!G$3+'Speed Calc'!G$5*A871^2</f>
        <v>20</v>
      </c>
      <c r="H871" s="7">
        <f>(F871-G871)/'Speed Calc'!G$2*9.806</f>
        <v>-1.9291755822953811</v>
      </c>
      <c r="I871" s="4">
        <f t="shared" si="56"/>
        <v>23.194444444444443</v>
      </c>
    </row>
    <row r="872" spans="1:9" x14ac:dyDescent="0.2">
      <c r="A872" s="11">
        <v>83.6</v>
      </c>
      <c r="B872" s="15">
        <v>3.133</v>
      </c>
      <c r="C872" s="11">
        <f t="shared" si="53"/>
        <v>10833.718833145647</v>
      </c>
      <c r="D872" s="11">
        <f t="shared" si="54"/>
        <v>-89.072982946825675</v>
      </c>
      <c r="E872" s="11">
        <f t="shared" si="55"/>
        <v>-287.67590186175755</v>
      </c>
      <c r="F872" s="11">
        <f>'Speed Calc'!B$5*E872</f>
        <v>-258.90831167558179</v>
      </c>
      <c r="G872" s="15">
        <f>'Speed Calc'!G$3+'Speed Calc'!G$5*A872^2</f>
        <v>20</v>
      </c>
      <c r="H872" s="7">
        <f>(F872-G872)/'Speed Calc'!G$2*9.806</f>
        <v>-2.0259073365116702</v>
      </c>
      <c r="I872" s="4">
        <f t="shared" si="56"/>
        <v>23.222222222222221</v>
      </c>
    </row>
    <row r="873" spans="1:9" x14ac:dyDescent="0.2">
      <c r="A873" s="11">
        <v>83.7</v>
      </c>
      <c r="B873" s="15">
        <v>3.133</v>
      </c>
      <c r="C873" s="11">
        <f t="shared" si="53"/>
        <v>10846.6778269652</v>
      </c>
      <c r="D873" s="11">
        <f t="shared" si="54"/>
        <v>-93.801194862244955</v>
      </c>
      <c r="E873" s="11">
        <f t="shared" si="55"/>
        <v>-302.58449955562895</v>
      </c>
      <c r="F873" s="11">
        <f>'Speed Calc'!B$5*E873</f>
        <v>-272.32604960006609</v>
      </c>
      <c r="G873" s="15">
        <f>'Speed Calc'!G$3+'Speed Calc'!G$5*A873^2</f>
        <v>20</v>
      </c>
      <c r="H873" s="7">
        <f>(F873-G873)/'Speed Calc'!G$2*9.806</f>
        <v>-2.1233698091690725</v>
      </c>
      <c r="I873" s="4">
        <f t="shared" si="56"/>
        <v>23.25</v>
      </c>
    </row>
    <row r="874" spans="1:9" x14ac:dyDescent="0.2">
      <c r="A874" s="11">
        <v>83.8</v>
      </c>
      <c r="B874" s="15">
        <v>3.133</v>
      </c>
      <c r="C874" s="11">
        <f t="shared" si="53"/>
        <v>10859.636820784752</v>
      </c>
      <c r="D874" s="11">
        <f t="shared" si="54"/>
        <v>-98.575300947030669</v>
      </c>
      <c r="E874" s="11">
        <f t="shared" si="55"/>
        <v>-317.60538491286735</v>
      </c>
      <c r="F874" s="11">
        <f>'Speed Calc'!B$5*E874</f>
        <v>-285.8448464215806</v>
      </c>
      <c r="G874" s="15">
        <f>'Speed Calc'!G$3+'Speed Calc'!G$5*A874^2</f>
        <v>20</v>
      </c>
      <c r="H874" s="7">
        <f>(F874-G874)/'Speed Calc'!G$2*9.806</f>
        <v>-2.2215663437111255</v>
      </c>
      <c r="I874" s="4">
        <f t="shared" si="56"/>
        <v>23.277777777777775</v>
      </c>
    </row>
    <row r="875" spans="1:9" x14ac:dyDescent="0.2">
      <c r="A875" s="11">
        <v>83.9</v>
      </c>
      <c r="B875" s="15">
        <v>3.133</v>
      </c>
      <c r="C875" s="11">
        <f t="shared" ref="C875:C938" si="57">A875/3.6/B$23/2/PI()*B$32*B$31*B875*60</f>
        <v>10872.595814604305</v>
      </c>
      <c r="D875" s="11">
        <f t="shared" si="54"/>
        <v>-103.39558523493479</v>
      </c>
      <c r="E875" s="11">
        <f t="shared" si="55"/>
        <v>-332.73907048191171</v>
      </c>
      <c r="F875" s="11">
        <f>'Speed Calc'!B$5*E875</f>
        <v>-299.46516343372053</v>
      </c>
      <c r="G875" s="15">
        <f>'Speed Calc'!G$3+'Speed Calc'!G$5*A875^2</f>
        <v>20</v>
      </c>
      <c r="H875" s="7">
        <f>(F875-G875)/'Speed Calc'!G$2*9.806</f>
        <v>-2.3205002908378245</v>
      </c>
      <c r="I875" s="4">
        <f t="shared" si="56"/>
        <v>23.305555555555557</v>
      </c>
    </row>
    <row r="876" spans="1:9" x14ac:dyDescent="0.2">
      <c r="A876" s="11">
        <v>84</v>
      </c>
      <c r="B876" s="15">
        <v>3.133</v>
      </c>
      <c r="C876" s="11">
        <f t="shared" si="57"/>
        <v>10885.554808423858</v>
      </c>
      <c r="D876" s="11">
        <f t="shared" si="54"/>
        <v>-108.26233286437157</v>
      </c>
      <c r="E876" s="11">
        <f t="shared" si="55"/>
        <v>-347.98606992119437</v>
      </c>
      <c r="F876" s="11">
        <f>'Speed Calc'!B$5*E876</f>
        <v>-313.18746292907497</v>
      </c>
      <c r="G876" s="15">
        <f>'Speed Calc'!G$3+'Speed Calc'!G$5*A876^2</f>
        <v>20</v>
      </c>
      <c r="H876" s="7">
        <f>(F876-G876)/'Speed Calc'!G$2*9.806</f>
        <v>-2.4201750085055624</v>
      </c>
      <c r="I876" s="4">
        <f t="shared" si="56"/>
        <v>23.333333333333332</v>
      </c>
    </row>
    <row r="877" spans="1:9" x14ac:dyDescent="0.2">
      <c r="A877" s="11">
        <v>84.1</v>
      </c>
      <c r="B877" s="15">
        <v>3.133</v>
      </c>
      <c r="C877" s="11">
        <f t="shared" si="57"/>
        <v>10898.513802243409</v>
      </c>
      <c r="D877" s="11">
        <f t="shared" si="54"/>
        <v>-113.17583008048437</v>
      </c>
      <c r="E877" s="11">
        <f t="shared" si="55"/>
        <v>-363.34689799917697</v>
      </c>
      <c r="F877" s="11">
        <f>'Speed Calc'!B$5*E877</f>
        <v>-327.01220819925931</v>
      </c>
      <c r="G877" s="15">
        <f>'Speed Calc'!G$3+'Speed Calc'!G$5*A877^2</f>
        <v>20</v>
      </c>
      <c r="H877" s="7">
        <f>(F877-G877)/'Speed Calc'!G$2*9.806</f>
        <v>-2.5205938619273605</v>
      </c>
      <c r="I877" s="4">
        <f t="shared" si="56"/>
        <v>23.361111111111111</v>
      </c>
    </row>
    <row r="878" spans="1:9" x14ac:dyDescent="0.2">
      <c r="A878" s="11">
        <v>84.2</v>
      </c>
      <c r="B878" s="15">
        <v>3.133</v>
      </c>
      <c r="C878" s="11">
        <f t="shared" si="57"/>
        <v>10911.472796062961</v>
      </c>
      <c r="D878" s="11">
        <f t="shared" si="54"/>
        <v>-118.13636423719109</v>
      </c>
      <c r="E878" s="11">
        <f t="shared" si="55"/>
        <v>-378.82207059431829</v>
      </c>
      <c r="F878" s="11">
        <f>'Speed Calc'!B$5*E878</f>
        <v>-340.93986353488646</v>
      </c>
      <c r="G878" s="15">
        <f>'Speed Calc'!G$3+'Speed Calc'!G$5*A878^2</f>
        <v>20</v>
      </c>
      <c r="H878" s="7">
        <f>(F878-G878)/'Speed Calc'!G$2*9.806</f>
        <v>-2.6217602235726636</v>
      </c>
      <c r="I878" s="4">
        <f t="shared" si="56"/>
        <v>23.388888888888889</v>
      </c>
    </row>
    <row r="879" spans="1:9" x14ac:dyDescent="0.2">
      <c r="A879" s="11">
        <v>84.3</v>
      </c>
      <c r="B879" s="15">
        <v>3.133</v>
      </c>
      <c r="C879" s="11">
        <f t="shared" si="57"/>
        <v>10924.431789882514</v>
      </c>
      <c r="D879" s="11">
        <f t="shared" si="54"/>
        <v>-123.14422379924412</v>
      </c>
      <c r="E879" s="11">
        <f t="shared" si="55"/>
        <v>-394.41210469508792</v>
      </c>
      <c r="F879" s="11">
        <f>'Speed Calc'!B$5*E879</f>
        <v>-354.97089422557912</v>
      </c>
      <c r="G879" s="15">
        <f>'Speed Calc'!G$3+'Speed Calc'!G$5*A879^2</f>
        <v>20</v>
      </c>
      <c r="H879" s="7">
        <f>(F879-G879)/'Speed Calc'!G$2*9.806</f>
        <v>-2.7236774731674287</v>
      </c>
      <c r="I879" s="4">
        <f t="shared" si="56"/>
        <v>23.416666666666664</v>
      </c>
    </row>
    <row r="880" spans="1:9" x14ac:dyDescent="0.2">
      <c r="A880" s="11">
        <v>84.4</v>
      </c>
      <c r="B880" s="15">
        <v>3.133</v>
      </c>
      <c r="C880" s="11">
        <f t="shared" si="57"/>
        <v>10937.390783702067</v>
      </c>
      <c r="D880" s="11">
        <f t="shared" si="54"/>
        <v>-128.19969834428815</v>
      </c>
      <c r="E880" s="11">
        <f t="shared" si="55"/>
        <v>-410.11751839997385</v>
      </c>
      <c r="F880" s="11">
        <f>'Speed Calc'!B$5*E880</f>
        <v>-369.10576655997647</v>
      </c>
      <c r="G880" s="15">
        <f>'Speed Calc'!G$3+'Speed Calc'!G$5*A880^2</f>
        <v>20</v>
      </c>
      <c r="H880" s="7">
        <f>(F880-G880)/'Speed Calc'!G$2*9.806</f>
        <v>-2.8263489976941694</v>
      </c>
      <c r="I880" s="4">
        <f t="shared" si="56"/>
        <v>23.444444444444446</v>
      </c>
    </row>
    <row r="881" spans="1:9" x14ac:dyDescent="0.2">
      <c r="A881" s="11">
        <v>84.5</v>
      </c>
      <c r="B881" s="15">
        <v>3.133</v>
      </c>
      <c r="C881" s="11">
        <f t="shared" si="57"/>
        <v>10950.349777521618</v>
      </c>
      <c r="D881" s="11">
        <f t="shared" si="54"/>
        <v>-133.30307856490799</v>
      </c>
      <c r="E881" s="11">
        <f t="shared" si="55"/>
        <v>-425.93883091745749</v>
      </c>
      <c r="F881" s="11">
        <f>'Speed Calc'!B$5*E881</f>
        <v>-383.34494782571176</v>
      </c>
      <c r="G881" s="15">
        <f>'Speed Calc'!G$3+'Speed Calc'!G$5*A881^2</f>
        <v>20</v>
      </c>
      <c r="H881" s="7">
        <f>(F881-G881)/'Speed Calc'!G$2*9.806</f>
        <v>-2.9297781913917991</v>
      </c>
      <c r="I881" s="4">
        <f t="shared" si="56"/>
        <v>23.472222222222221</v>
      </c>
    </row>
    <row r="882" spans="1:9" x14ac:dyDescent="0.2">
      <c r="A882" s="11">
        <v>84.6</v>
      </c>
      <c r="B882" s="15">
        <v>3.133</v>
      </c>
      <c r="C882" s="11">
        <f t="shared" si="57"/>
        <v>10963.308771341168</v>
      </c>
      <c r="D882" s="11">
        <f t="shared" si="54"/>
        <v>-138.45465627068694</v>
      </c>
      <c r="E882" s="11">
        <f t="shared" si="55"/>
        <v>-441.87656256602219</v>
      </c>
      <c r="F882" s="11">
        <f>'Speed Calc'!B$5*E882</f>
        <v>-397.68890630941996</v>
      </c>
      <c r="G882" s="15">
        <f>'Speed Calc'!G$3+'Speed Calc'!G$5*A882^2</f>
        <v>20</v>
      </c>
      <c r="H882" s="7">
        <f>(F882-G882)/'Speed Calc'!G$2*9.806</f>
        <v>-3.0339684557556827</v>
      </c>
      <c r="I882" s="4">
        <f t="shared" si="56"/>
        <v>23.499999999999996</v>
      </c>
    </row>
    <row r="883" spans="1:9" x14ac:dyDescent="0.2">
      <c r="A883" s="11">
        <v>84.7</v>
      </c>
      <c r="B883" s="15">
        <v>3.133</v>
      </c>
      <c r="C883" s="11">
        <f t="shared" si="57"/>
        <v>10976.267765160723</v>
      </c>
      <c r="D883" s="11">
        <f t="shared" si="54"/>
        <v>-143.65472439027741</v>
      </c>
      <c r="E883" s="11">
        <f t="shared" si="55"/>
        <v>-457.93123477420198</v>
      </c>
      <c r="F883" s="11">
        <f>'Speed Calc'!B$5*E883</f>
        <v>-412.1381112967818</v>
      </c>
      <c r="G883" s="15">
        <f>'Speed Calc'!G$3+'Speed Calc'!G$5*A883^2</f>
        <v>20</v>
      </c>
      <c r="H883" s="7">
        <f>(F883-G883)/'Speed Calc'!G$2*9.806</f>
        <v>-3.138923199537957</v>
      </c>
      <c r="I883" s="4">
        <f t="shared" si="56"/>
        <v>23.527777777777779</v>
      </c>
    </row>
    <row r="884" spans="1:9" x14ac:dyDescent="0.2">
      <c r="A884" s="11">
        <v>84.8</v>
      </c>
      <c r="B884" s="15">
        <v>3.133</v>
      </c>
      <c r="C884" s="11">
        <f t="shared" si="57"/>
        <v>10989.226758980272</v>
      </c>
      <c r="D884" s="11">
        <f t="shared" si="54"/>
        <v>-148.90357697342927</v>
      </c>
      <c r="E884" s="11">
        <f t="shared" si="55"/>
        <v>-474.1033700804943</v>
      </c>
      <c r="F884" s="11">
        <f>'Speed Calc'!B$5*E884</f>
        <v>-426.6930330724449</v>
      </c>
      <c r="G884" s="15">
        <f>'Speed Calc'!G$3+'Speed Calc'!G$5*A884^2</f>
        <v>20</v>
      </c>
      <c r="H884" s="7">
        <f>(F884-G884)/'Speed Calc'!G$2*9.806</f>
        <v>-3.2446458387469588</v>
      </c>
      <c r="I884" s="4">
        <f t="shared" si="56"/>
        <v>23.555555555555554</v>
      </c>
    </row>
    <row r="885" spans="1:9" x14ac:dyDescent="0.2">
      <c r="A885" s="11">
        <v>84.9</v>
      </c>
      <c r="B885" s="15">
        <v>3.133</v>
      </c>
      <c r="C885" s="11">
        <f t="shared" si="57"/>
        <v>11002.185752799829</v>
      </c>
      <c r="D885" s="11">
        <f t="shared" si="54"/>
        <v>-154.20150919306536</v>
      </c>
      <c r="E885" s="11">
        <f t="shared" si="55"/>
        <v>-490.39349213342331</v>
      </c>
      <c r="F885" s="11">
        <f>'Speed Calc'!B$5*E885</f>
        <v>-441.35414292008096</v>
      </c>
      <c r="G885" s="15">
        <f>'Speed Calc'!G$3+'Speed Calc'!G$5*A885^2</f>
        <v>20</v>
      </c>
      <c r="H885" s="7">
        <f>(F885-G885)/'Speed Calc'!G$2*9.806</f>
        <v>-3.3511397966476393</v>
      </c>
      <c r="I885" s="4">
        <f t="shared" si="56"/>
        <v>23.583333333333336</v>
      </c>
    </row>
    <row r="886" spans="1:9" x14ac:dyDescent="0.2">
      <c r="A886" s="11">
        <v>85</v>
      </c>
      <c r="B886" s="15">
        <v>3.133</v>
      </c>
      <c r="C886" s="11">
        <f t="shared" si="57"/>
        <v>11015.144746619379</v>
      </c>
      <c r="D886" s="11">
        <f t="shared" si="54"/>
        <v>-159.54881734732743</v>
      </c>
      <c r="E886" s="11">
        <f t="shared" si="55"/>
        <v>-506.80212569151075</v>
      </c>
      <c r="F886" s="11">
        <f>'Speed Calc'!B$5*E886</f>
        <v>-456.12191312235967</v>
      </c>
      <c r="G886" s="15">
        <f>'Speed Calc'!G$3+'Speed Calc'!G$5*A886^2</f>
        <v>20</v>
      </c>
      <c r="H886" s="7">
        <f>(F886-G886)/'Speed Calc'!G$2*9.806</f>
        <v>-3.4584085037613765</v>
      </c>
      <c r="I886" s="4">
        <f t="shared" si="56"/>
        <v>23.611111111111111</v>
      </c>
    </row>
    <row r="887" spans="1:9" x14ac:dyDescent="0.2">
      <c r="A887" s="11">
        <v>85.1</v>
      </c>
      <c r="B887" s="15">
        <v>3.133</v>
      </c>
      <c r="C887" s="11">
        <f t="shared" si="57"/>
        <v>11028.103740438932</v>
      </c>
      <c r="D887" s="11">
        <f t="shared" si="54"/>
        <v>-164.94579886164473</v>
      </c>
      <c r="E887" s="11">
        <f t="shared" si="55"/>
        <v>-523.32979662331445</v>
      </c>
      <c r="F887" s="11">
        <f>'Speed Calc'!B$5*E887</f>
        <v>-470.99681696098304</v>
      </c>
      <c r="G887" s="15">
        <f>'Speed Calc'!G$3+'Speed Calc'!G$5*A887^2</f>
        <v>20</v>
      </c>
      <c r="H887" s="7">
        <f>(F887-G887)/'Speed Calc'!G$2*9.806</f>
        <v>-3.5664553978662217</v>
      </c>
      <c r="I887" s="4">
        <f t="shared" si="56"/>
        <v>23.638888888888886</v>
      </c>
    </row>
    <row r="888" spans="1:9" x14ac:dyDescent="0.2">
      <c r="A888" s="11">
        <v>85.2</v>
      </c>
      <c r="B888" s="15">
        <v>3.133</v>
      </c>
      <c r="C888" s="11">
        <f t="shared" si="57"/>
        <v>11041.062734258485</v>
      </c>
      <c r="D888" s="11">
        <f t="shared" si="54"/>
        <v>-170.39275229077498</v>
      </c>
      <c r="E888" s="11">
        <f t="shared" si="55"/>
        <v>-539.97703190738537</v>
      </c>
      <c r="F888" s="11">
        <f>'Speed Calc'!B$5*E888</f>
        <v>-485.97932871664682</v>
      </c>
      <c r="G888" s="15">
        <f>'Speed Calc'!G$3+'Speed Calc'!G$5*A888^2</f>
        <v>20</v>
      </c>
      <c r="H888" s="7">
        <f>(F888-G888)/'Speed Calc'!G$2*9.806</f>
        <v>-3.6752839239966208</v>
      </c>
      <c r="I888" s="4">
        <f t="shared" si="56"/>
        <v>23.666666666666668</v>
      </c>
    </row>
    <row r="889" spans="1:9" x14ac:dyDescent="0.2">
      <c r="A889" s="11">
        <v>85.3</v>
      </c>
      <c r="B889" s="15">
        <v>3.133</v>
      </c>
      <c r="C889" s="11">
        <f t="shared" si="57"/>
        <v>11054.021728078036</v>
      </c>
      <c r="D889" s="11">
        <f t="shared" si="54"/>
        <v>-175.8899773208598</v>
      </c>
      <c r="E889" s="11">
        <f t="shared" si="55"/>
        <v>-556.74435963226438</v>
      </c>
      <c r="F889" s="11">
        <f>'Speed Calc'!B$5*E889</f>
        <v>-501.06992366903796</v>
      </c>
      <c r="G889" s="15">
        <f>'Speed Calc'!G$3+'Speed Calc'!G$5*A889^2</f>
        <v>20</v>
      </c>
      <c r="H889" s="7">
        <f>(F889-G889)/'Speed Calc'!G$2*9.806</f>
        <v>-3.7848975344433966</v>
      </c>
      <c r="I889" s="4">
        <f t="shared" si="56"/>
        <v>23.694444444444443</v>
      </c>
    </row>
    <row r="890" spans="1:9" x14ac:dyDescent="0.2">
      <c r="A890" s="11">
        <v>85.4</v>
      </c>
      <c r="B890" s="15">
        <v>3.133</v>
      </c>
      <c r="C890" s="11">
        <f t="shared" si="57"/>
        <v>11066.980721897589</v>
      </c>
      <c r="D890" s="11">
        <f t="shared" si="54"/>
        <v>-181.43777477149052</v>
      </c>
      <c r="E890" s="11">
        <f t="shared" si="55"/>
        <v>-573.63230899651569</v>
      </c>
      <c r="F890" s="11">
        <f>'Speed Calc'!B$5*E890</f>
        <v>-516.26907809686418</v>
      </c>
      <c r="G890" s="15">
        <f>'Speed Calc'!G$3+'Speed Calc'!G$5*A890^2</f>
        <v>20</v>
      </c>
      <c r="H890" s="7">
        <f>(F890-G890)/'Speed Calc'!G$2*9.806</f>
        <v>-3.8952996887539628</v>
      </c>
      <c r="I890" s="4">
        <f t="shared" si="56"/>
        <v>23.722222222222225</v>
      </c>
    </row>
    <row r="891" spans="1:9" x14ac:dyDescent="0.2">
      <c r="A891" s="11">
        <v>85.5</v>
      </c>
      <c r="B891" s="15">
        <v>3.133</v>
      </c>
      <c r="C891" s="11">
        <f t="shared" si="57"/>
        <v>11079.939715717141</v>
      </c>
      <c r="D891" s="11">
        <f t="shared" si="54"/>
        <v>-187.03644659776532</v>
      </c>
      <c r="E891" s="11">
        <f t="shared" si="55"/>
        <v>-590.64141030873259</v>
      </c>
      <c r="F891" s="11">
        <f>'Speed Calc'!B$5*E891</f>
        <v>-531.57726927785939</v>
      </c>
      <c r="G891" s="15">
        <f>'Speed Calc'!G$3+'Speed Calc'!G$5*A891^2</f>
        <v>20</v>
      </c>
      <c r="H891" s="7">
        <f>(F891-G891)/'Speed Calc'!G$2*9.806</f>
        <v>-4.006493853732362</v>
      </c>
      <c r="I891" s="4">
        <f t="shared" si="56"/>
        <v>23.75</v>
      </c>
    </row>
    <row r="892" spans="1:9" x14ac:dyDescent="0.2">
      <c r="A892" s="11">
        <v>85.6</v>
      </c>
      <c r="B892" s="15">
        <v>3.133</v>
      </c>
      <c r="C892" s="11">
        <f t="shared" si="57"/>
        <v>11092.898709536692</v>
      </c>
      <c r="D892" s="11">
        <f t="shared" si="54"/>
        <v>-192.68629589232876</v>
      </c>
      <c r="E892" s="11">
        <f t="shared" si="55"/>
        <v>-607.77219498748559</v>
      </c>
      <c r="F892" s="11">
        <f>'Speed Calc'!B$5*E892</f>
        <v>-546.99497548873705</v>
      </c>
      <c r="G892" s="15">
        <f>'Speed Calc'!G$3+'Speed Calc'!G$5*A892^2</f>
        <v>20</v>
      </c>
      <c r="H892" s="7">
        <f>(F892-G892)/'Speed Calc'!G$2*9.806</f>
        <v>-4.11848350343893</v>
      </c>
      <c r="I892" s="4">
        <f t="shared" si="56"/>
        <v>23.777777777777775</v>
      </c>
    </row>
    <row r="893" spans="1:9" x14ac:dyDescent="0.2">
      <c r="A893" s="11">
        <v>85.7</v>
      </c>
      <c r="B893" s="15">
        <v>3.133</v>
      </c>
      <c r="C893" s="11">
        <f t="shared" si="57"/>
        <v>11105.857703356245</v>
      </c>
      <c r="D893" s="11">
        <f t="shared" si="54"/>
        <v>-198.38762688744504</v>
      </c>
      <c r="E893" s="11">
        <f t="shared" si="55"/>
        <v>-625.02519556137872</v>
      </c>
      <c r="F893" s="11">
        <f>'Speed Calc'!B$5*E893</f>
        <v>-562.5226760052409</v>
      </c>
      <c r="G893" s="15">
        <f>'Speed Calc'!G$3+'Speed Calc'!G$5*A893^2</f>
        <v>20</v>
      </c>
      <c r="H893" s="7">
        <f>(F893-G893)/'Speed Calc'!G$2*9.806</f>
        <v>-4.2312721191906606</v>
      </c>
      <c r="I893" s="4">
        <f t="shared" si="56"/>
        <v>23.805555555555557</v>
      </c>
    </row>
    <row r="894" spans="1:9" x14ac:dyDescent="0.2">
      <c r="A894" s="11">
        <v>85.8</v>
      </c>
      <c r="B894" s="15">
        <v>3.133</v>
      </c>
      <c r="C894" s="11">
        <f t="shared" si="57"/>
        <v>11118.816697175798</v>
      </c>
      <c r="D894" s="11">
        <f t="shared" si="54"/>
        <v>-204.14074495703602</v>
      </c>
      <c r="E894" s="11">
        <f t="shared" si="55"/>
        <v>-642.40094566899438</v>
      </c>
      <c r="F894" s="11">
        <f>'Speed Calc'!B$5*E894</f>
        <v>-578.16085110209497</v>
      </c>
      <c r="G894" s="15">
        <f>'Speed Calc'!G$3+'Speed Calc'!G$5*A894^2</f>
        <v>20</v>
      </c>
      <c r="H894" s="7">
        <f>(F894-G894)/'Speed Calc'!G$2*9.806</f>
        <v>-4.3448631895608463</v>
      </c>
      <c r="I894" s="4">
        <f t="shared" si="56"/>
        <v>23.833333333333332</v>
      </c>
    </row>
    <row r="895" spans="1:9" x14ac:dyDescent="0.2">
      <c r="A895" s="11">
        <v>85.9</v>
      </c>
      <c r="B895" s="15">
        <v>3.133</v>
      </c>
      <c r="C895" s="11">
        <f t="shared" si="57"/>
        <v>11131.77569099535</v>
      </c>
      <c r="D895" s="11">
        <f t="shared" si="54"/>
        <v>-209.94595661875519</v>
      </c>
      <c r="E895" s="11">
        <f t="shared" si="55"/>
        <v>-659.8999800589512</v>
      </c>
      <c r="F895" s="11">
        <f>'Speed Calc'!B$5*E895</f>
        <v>-593.90998205305607</v>
      </c>
      <c r="G895" s="15">
        <f>'Speed Calc'!G$3+'Speed Calc'!G$5*A895^2</f>
        <v>20</v>
      </c>
      <c r="H895" s="7">
        <f>(F895-G895)/'Speed Calc'!G$2*9.806</f>
        <v>-4.4592602103794574</v>
      </c>
      <c r="I895" s="4">
        <f t="shared" si="56"/>
        <v>23.861111111111111</v>
      </c>
    </row>
    <row r="896" spans="1:9" x14ac:dyDescent="0.2">
      <c r="A896" s="11">
        <v>86</v>
      </c>
      <c r="B896" s="15">
        <v>3.133</v>
      </c>
      <c r="C896" s="11">
        <f t="shared" si="57"/>
        <v>11144.734684814903</v>
      </c>
      <c r="D896" s="11">
        <f t="shared" si="54"/>
        <v>-215.80356953603177</v>
      </c>
      <c r="E896" s="11">
        <f t="shared" si="55"/>
        <v>-677.5228345898671</v>
      </c>
      <c r="F896" s="11">
        <f>'Speed Calc'!B$5*E896</f>
        <v>-609.77055113088045</v>
      </c>
      <c r="G896" s="15">
        <f>'Speed Calc'!G$3+'Speed Calc'!G$5*A896^2</f>
        <v>20</v>
      </c>
      <c r="H896" s="7">
        <f>(F896-G896)/'Speed Calc'!G$2*9.806</f>
        <v>-4.574466684732899</v>
      </c>
      <c r="I896" s="4">
        <f t="shared" si="56"/>
        <v>23.888888888888889</v>
      </c>
    </row>
    <row r="897" spans="1:9" x14ac:dyDescent="0.2">
      <c r="A897" s="11">
        <v>86.1</v>
      </c>
      <c r="B897" s="15">
        <v>3.133</v>
      </c>
      <c r="C897" s="11">
        <f t="shared" si="57"/>
        <v>11157.693678634452</v>
      </c>
      <c r="D897" s="11">
        <f t="shared" si="54"/>
        <v>-221.71389252013029</v>
      </c>
      <c r="E897" s="11">
        <f t="shared" si="55"/>
        <v>-695.27004623037374</v>
      </c>
      <c r="F897" s="11">
        <f>'Speed Calc'!B$5*E897</f>
        <v>-625.74304160733641</v>
      </c>
      <c r="G897" s="15">
        <f>'Speed Calc'!G$3+'Speed Calc'!G$5*A897^2</f>
        <v>20</v>
      </c>
      <c r="H897" s="7">
        <f>(F897-G897)/'Speed Calc'!G$2*9.806</f>
        <v>-4.6904861229641037</v>
      </c>
      <c r="I897" s="4">
        <f t="shared" si="56"/>
        <v>23.916666666666664</v>
      </c>
    </row>
    <row r="898" spans="1:9" x14ac:dyDescent="0.2">
      <c r="A898" s="11">
        <v>86.2</v>
      </c>
      <c r="B898" s="15">
        <v>3.133</v>
      </c>
      <c r="C898" s="11">
        <f t="shared" si="57"/>
        <v>11170.652672454007</v>
      </c>
      <c r="D898" s="11">
        <f t="shared" si="54"/>
        <v>-227.67723553220327</v>
      </c>
      <c r="E898" s="11">
        <f t="shared" si="55"/>
        <v>-713.14215305910557</v>
      </c>
      <c r="F898" s="11">
        <f>'Speed Calc'!B$5*E898</f>
        <v>-641.82793775319499</v>
      </c>
      <c r="G898" s="15">
        <f>'Speed Calc'!G$3+'Speed Calc'!G$5*A898^2</f>
        <v>20</v>
      </c>
      <c r="H898" s="7">
        <f>(F898-G898)/'Speed Calc'!G$2*9.806</f>
        <v>-4.8073220426724665</v>
      </c>
      <c r="I898" s="4">
        <f t="shared" si="56"/>
        <v>23.944444444444446</v>
      </c>
    </row>
    <row r="899" spans="1:9" x14ac:dyDescent="0.2">
      <c r="A899" s="11">
        <v>86.3</v>
      </c>
      <c r="B899" s="15">
        <v>3.133</v>
      </c>
      <c r="C899" s="11">
        <f t="shared" si="57"/>
        <v>11183.611666273559</v>
      </c>
      <c r="D899" s="11">
        <f t="shared" si="54"/>
        <v>-233.69390968534583</v>
      </c>
      <c r="E899" s="11">
        <f t="shared" si="55"/>
        <v>-731.13969426469714</v>
      </c>
      <c r="F899" s="11">
        <f>'Speed Calc'!B$5*E899</f>
        <v>-658.02572483822746</v>
      </c>
      <c r="G899" s="15">
        <f>'Speed Calc'!G$3+'Speed Calc'!G$5*A899^2</f>
        <v>20</v>
      </c>
      <c r="H899" s="7">
        <f>(F899-G899)/'Speed Calc'!G$2*9.806</f>
        <v>-4.9249779687138204</v>
      </c>
      <c r="I899" s="4">
        <f t="shared" si="56"/>
        <v>23.972222222222221</v>
      </c>
    </row>
    <row r="900" spans="1:9" x14ac:dyDescent="0.2">
      <c r="A900" s="11">
        <v>86.4</v>
      </c>
      <c r="B900" s="15">
        <v>3.133</v>
      </c>
      <c r="C900" s="11">
        <f t="shared" si="57"/>
        <v>11196.570660093112</v>
      </c>
      <c r="D900" s="11">
        <f t="shared" si="54"/>
        <v>-239.76422724666023</v>
      </c>
      <c r="E900" s="11">
        <f t="shared" si="55"/>
        <v>-749.2632101458131</v>
      </c>
      <c r="F900" s="11">
        <f>'Speed Calc'!B$5*E900</f>
        <v>-674.33688913123183</v>
      </c>
      <c r="G900" s="15">
        <f>'Speed Calc'!G$3+'Speed Calc'!G$5*A900^2</f>
        <v>20</v>
      </c>
      <c r="H900" s="7">
        <f>(F900-G900)/'Speed Calc'!G$2*9.806</f>
        <v>-5.0434574332006363</v>
      </c>
      <c r="I900" s="4">
        <f t="shared" si="56"/>
        <v>24</v>
      </c>
    </row>
    <row r="901" spans="1:9" x14ac:dyDescent="0.2">
      <c r="A901" s="11">
        <v>86.5</v>
      </c>
      <c r="B901" s="15">
        <v>3.133</v>
      </c>
      <c r="C901" s="11">
        <f t="shared" si="57"/>
        <v>11209.529653912665</v>
      </c>
      <c r="D901" s="11">
        <f t="shared" si="54"/>
        <v>-245.88850163930073</v>
      </c>
      <c r="E901" s="11">
        <f t="shared" si="55"/>
        <v>-767.51324211111194</v>
      </c>
      <c r="F901" s="11">
        <f>'Speed Calc'!B$5*E901</f>
        <v>-690.76191790000075</v>
      </c>
      <c r="G901" s="15">
        <f>'Speed Calc'!G$3+'Speed Calc'!G$5*A901^2</f>
        <v>20</v>
      </c>
      <c r="H901" s="7">
        <f>(F901-G901)/'Speed Calc'!G$2*9.806</f>
        <v>-5.1627639755017825</v>
      </c>
      <c r="I901" s="4">
        <f t="shared" si="56"/>
        <v>24.027777777777779</v>
      </c>
    </row>
    <row r="902" spans="1:9" x14ac:dyDescent="0.2">
      <c r="A902" s="11">
        <v>86.6</v>
      </c>
      <c r="B902" s="15">
        <v>3.133</v>
      </c>
      <c r="C902" s="11">
        <f t="shared" si="57"/>
        <v>11222.488647732211</v>
      </c>
      <c r="D902" s="11">
        <f t="shared" si="54"/>
        <v>-252.06704744453032</v>
      </c>
      <c r="E902" s="11">
        <f t="shared" si="55"/>
        <v>-785.89033267925197</v>
      </c>
      <c r="F902" s="11">
        <f>'Speed Calc'!B$5*E902</f>
        <v>-707.3012994113268</v>
      </c>
      <c r="G902" s="15">
        <f>'Speed Calc'!G$3+'Speed Calc'!G$5*A902^2</f>
        <v>20</v>
      </c>
      <c r="H902" s="7">
        <f>(F902-G902)/'Speed Calc'!G$2*9.806</f>
        <v>-5.2829011422425705</v>
      </c>
      <c r="I902" s="4">
        <f t="shared" si="56"/>
        <v>24.055555555555554</v>
      </c>
    </row>
    <row r="903" spans="1:9" x14ac:dyDescent="0.2">
      <c r="A903" s="11">
        <v>86.7</v>
      </c>
      <c r="B903" s="15">
        <v>3.133</v>
      </c>
      <c r="C903" s="11">
        <f t="shared" si="57"/>
        <v>11235.447641551767</v>
      </c>
      <c r="D903" s="11">
        <f t="shared" si="54"/>
        <v>-258.30018040379377</v>
      </c>
      <c r="E903" s="11">
        <f t="shared" si="55"/>
        <v>-804.39502547894244</v>
      </c>
      <c r="F903" s="11">
        <f>'Speed Calc'!B$5*E903</f>
        <v>-723.95552293104822</v>
      </c>
      <c r="G903" s="15">
        <f>'Speed Calc'!G$3+'Speed Calc'!G$5*A903^2</f>
        <v>20</v>
      </c>
      <c r="H903" s="7">
        <f>(F903-G903)/'Speed Calc'!G$2*9.806</f>
        <v>-5.4038724873050805</v>
      </c>
      <c r="I903" s="4">
        <f t="shared" si="56"/>
        <v>24.083333333333332</v>
      </c>
    </row>
    <row r="904" spans="1:9" x14ac:dyDescent="0.2">
      <c r="A904" s="11">
        <v>86.8</v>
      </c>
      <c r="B904" s="15">
        <v>3.133</v>
      </c>
      <c r="C904" s="11">
        <f t="shared" si="57"/>
        <v>11248.406635371319</v>
      </c>
      <c r="D904" s="11">
        <f t="shared" si="54"/>
        <v>-264.58821742073707</v>
      </c>
      <c r="E904" s="11">
        <f t="shared" si="55"/>
        <v>-823.02786524883663</v>
      </c>
      <c r="F904" s="11">
        <f>'Speed Calc'!B$5*E904</f>
        <v>-740.72507872395295</v>
      </c>
      <c r="G904" s="15">
        <f>'Speed Calc'!G$3+'Speed Calc'!G$5*A904^2</f>
        <v>20</v>
      </c>
      <c r="H904" s="7">
        <f>(F904-G904)/'Speed Calc'!G$2*9.806</f>
        <v>-5.5256815718274686</v>
      </c>
      <c r="I904" s="4">
        <f t="shared" si="56"/>
        <v>24.111111111111111</v>
      </c>
    </row>
    <row r="905" spans="1:9" x14ac:dyDescent="0.2">
      <c r="A905" s="11">
        <v>86.9</v>
      </c>
      <c r="B905" s="15">
        <v>3.133</v>
      </c>
      <c r="C905" s="11">
        <f t="shared" si="57"/>
        <v>11261.365629190872</v>
      </c>
      <c r="D905" s="11">
        <f t="shared" si="54"/>
        <v>-270.93147656330149</v>
      </c>
      <c r="E905" s="11">
        <f t="shared" si="55"/>
        <v>-841.78939783764565</v>
      </c>
      <c r="F905" s="11">
        <f>'Speed Calc'!B$5*E905</f>
        <v>-757.61045805388108</v>
      </c>
      <c r="G905" s="15">
        <f>'Speed Calc'!G$3+'Speed Calc'!G$5*A905^2</f>
        <v>20</v>
      </c>
      <c r="H905" s="7">
        <f>(F905-G905)/'Speed Calc'!G$2*9.806</f>
        <v>-5.6483319642047096</v>
      </c>
      <c r="I905" s="4">
        <f t="shared" si="56"/>
        <v>24.138888888888889</v>
      </c>
    </row>
    <row r="906" spans="1:9" x14ac:dyDescent="0.2">
      <c r="A906" s="11">
        <v>87</v>
      </c>
      <c r="B906" s="15">
        <v>3.133</v>
      </c>
      <c r="C906" s="11">
        <f t="shared" si="57"/>
        <v>11274.324623010423</v>
      </c>
      <c r="D906" s="11">
        <f t="shared" si="54"/>
        <v>-277.33027706575638</v>
      </c>
      <c r="E906" s="11">
        <f t="shared" si="55"/>
        <v>-860.68017020407149</v>
      </c>
      <c r="F906" s="11">
        <f>'Speed Calc'!B$5*E906</f>
        <v>-774.6121531836643</v>
      </c>
      <c r="G906" s="15">
        <f>'Speed Calc'!G$3+'Speed Calc'!G$5*A906^2</f>
        <v>20</v>
      </c>
      <c r="H906" s="7">
        <f>(F906-G906)/'Speed Calc'!G$2*9.806</f>
        <v>-5.7718272400881565</v>
      </c>
      <c r="I906" s="4">
        <f t="shared" si="56"/>
        <v>24.166666666666664</v>
      </c>
    </row>
    <row r="907" spans="1:9" x14ac:dyDescent="0.2">
      <c r="A907" s="11">
        <v>87.1</v>
      </c>
      <c r="B907" s="15">
        <v>3.133</v>
      </c>
      <c r="C907" s="11">
        <f t="shared" si="57"/>
        <v>11287.283616829976</v>
      </c>
      <c r="D907" s="11">
        <f t="shared" si="54"/>
        <v>-283.78493933076641</v>
      </c>
      <c r="E907" s="11">
        <f t="shared" si="55"/>
        <v>-879.70073041684202</v>
      </c>
      <c r="F907" s="11">
        <f>'Speed Calc'!B$5*E907</f>
        <v>-791.73065737515788</v>
      </c>
      <c r="G907" s="15">
        <f>'Speed Calc'!G$3+'Speed Calc'!G$5*A907^2</f>
        <v>20</v>
      </c>
      <c r="H907" s="7">
        <f>(F907-G907)/'Speed Calc'!G$2*9.806</f>
        <v>-5.896170982385776</v>
      </c>
      <c r="I907" s="4">
        <f t="shared" si="56"/>
        <v>24.194444444444443</v>
      </c>
    </row>
    <row r="908" spans="1:9" x14ac:dyDescent="0.2">
      <c r="A908" s="11">
        <v>87.2</v>
      </c>
      <c r="B908" s="15">
        <v>3.133</v>
      </c>
      <c r="C908" s="11">
        <f t="shared" si="57"/>
        <v>11300.242610649528</v>
      </c>
      <c r="D908" s="11">
        <f t="shared" si="54"/>
        <v>-290.29578493142884</v>
      </c>
      <c r="E908" s="11">
        <f t="shared" si="55"/>
        <v>-898.8516276546535</v>
      </c>
      <c r="F908" s="11">
        <f>'Speed Calc'!B$5*E908</f>
        <v>-808.96646488918816</v>
      </c>
      <c r="G908" s="15">
        <f>'Speed Calc'!G$3+'Speed Calc'!G$5*A908^2</f>
        <v>20</v>
      </c>
      <c r="H908" s="7">
        <f>(F908-G908)/'Speed Calc'!G$2*9.806</f>
        <v>-6.0213667812617615</v>
      </c>
      <c r="I908" s="4">
        <f t="shared" si="56"/>
        <v>24.222222222222221</v>
      </c>
    </row>
    <row r="909" spans="1:9" x14ac:dyDescent="0.2">
      <c r="A909" s="11">
        <v>87.3</v>
      </c>
      <c r="B909" s="15">
        <v>3.133</v>
      </c>
      <c r="C909" s="11">
        <f t="shared" si="57"/>
        <v>11313.201604469081</v>
      </c>
      <c r="D909" s="11">
        <f t="shared" si="54"/>
        <v>-296.86313661335907</v>
      </c>
      <c r="E909" s="11">
        <f t="shared" si="55"/>
        <v>-918.13341220626512</v>
      </c>
      <c r="F909" s="11">
        <f>'Speed Calc'!B$5*E909</f>
        <v>-826.32007098563861</v>
      </c>
      <c r="G909" s="15">
        <f>'Speed Calc'!G$3+'Speed Calc'!G$5*A909^2</f>
        <v>20</v>
      </c>
      <c r="H909" s="7">
        <f>(F909-G909)/'Speed Calc'!G$2*9.806</f>
        <v>-6.1474182341371639</v>
      </c>
      <c r="I909" s="4">
        <f t="shared" si="56"/>
        <v>24.25</v>
      </c>
    </row>
    <row r="910" spans="1:9" x14ac:dyDescent="0.2">
      <c r="A910" s="11">
        <v>87.4</v>
      </c>
      <c r="B910" s="15">
        <v>3.133</v>
      </c>
      <c r="C910" s="11">
        <f t="shared" si="57"/>
        <v>11326.160598288634</v>
      </c>
      <c r="D910" s="11">
        <f t="shared" si="54"/>
        <v>-303.48731829671306</v>
      </c>
      <c r="E910" s="11">
        <f t="shared" si="55"/>
        <v>-937.54663547039479</v>
      </c>
      <c r="F910" s="11">
        <f>'Speed Calc'!B$5*E910</f>
        <v>-843.79197192335528</v>
      </c>
      <c r="G910" s="15">
        <f>'Speed Calc'!G$3+'Speed Calc'!G$5*A910^2</f>
        <v>20</v>
      </c>
      <c r="H910" s="7">
        <f>(F910-G910)/'Speed Calc'!G$2*9.806</f>
        <v>-6.2743289456892013</v>
      </c>
      <c r="I910" s="4">
        <f t="shared" si="56"/>
        <v>24.277777777777779</v>
      </c>
    </row>
    <row r="911" spans="1:9" x14ac:dyDescent="0.2">
      <c r="A911" s="11">
        <v>87.5</v>
      </c>
      <c r="B911" s="15">
        <v>3.133</v>
      </c>
      <c r="C911" s="11">
        <f t="shared" si="57"/>
        <v>11339.119592108183</v>
      </c>
      <c r="D911" s="11">
        <f t="shared" si="54"/>
        <v>-310.16865507826429</v>
      </c>
      <c r="E911" s="11">
        <f t="shared" si="55"/>
        <v>-957.09184995578676</v>
      </c>
      <c r="F911" s="11">
        <f>'Speed Calc'!B$5*E911</f>
        <v>-861.3826649602081</v>
      </c>
      <c r="G911" s="15">
        <f>'Speed Calc'!G$3+'Speed Calc'!G$5*A911^2</f>
        <v>20</v>
      </c>
      <c r="H911" s="7">
        <f>(F911-G911)/'Speed Calc'!G$2*9.806</f>
        <v>-6.402102527851703</v>
      </c>
      <c r="I911" s="4">
        <f t="shared" si="56"/>
        <v>24.305555555555554</v>
      </c>
    </row>
    <row r="912" spans="1:9" x14ac:dyDescent="0.2">
      <c r="A912" s="11">
        <v>87.6</v>
      </c>
      <c r="B912" s="15">
        <v>3.133</v>
      </c>
      <c r="C912" s="11">
        <f t="shared" si="57"/>
        <v>11352.078585927737</v>
      </c>
      <c r="D912" s="11">
        <f t="shared" si="54"/>
        <v>-316.90747323346528</v>
      </c>
      <c r="E912" s="11">
        <f t="shared" si="55"/>
        <v>-976.76960928122867</v>
      </c>
      <c r="F912" s="11">
        <f>'Speed Calc'!B$5*E912</f>
        <v>-879.0926483531058</v>
      </c>
      <c r="G912" s="15">
        <f>'Speed Calc'!G$3+'Speed Calc'!G$5*A912^2</f>
        <v>20</v>
      </c>
      <c r="H912" s="7">
        <f>(F912-G912)/'Speed Calc'!G$2*9.806</f>
        <v>-6.530742599815226</v>
      </c>
      <c r="I912" s="4">
        <f t="shared" si="56"/>
        <v>24.333333333333332</v>
      </c>
    </row>
    <row r="913" spans="1:9" x14ac:dyDescent="0.2">
      <c r="A913" s="11">
        <v>87.7</v>
      </c>
      <c r="B913" s="15">
        <v>3.133</v>
      </c>
      <c r="C913" s="11">
        <f t="shared" si="57"/>
        <v>11365.037579747288</v>
      </c>
      <c r="D913" s="11">
        <f t="shared" si="54"/>
        <v>-323.70410021847022</v>
      </c>
      <c r="E913" s="11">
        <f t="shared" si="55"/>
        <v>-996.58046817545016</v>
      </c>
      <c r="F913" s="11">
        <f>'Speed Calc'!B$5*E913</f>
        <v>-896.92242135790514</v>
      </c>
      <c r="G913" s="15">
        <f>'Speed Calc'!G$3+'Speed Calc'!G$5*A913^2</f>
        <v>20</v>
      </c>
      <c r="H913" s="7">
        <f>(F913-G913)/'Speed Calc'!G$2*9.806</f>
        <v>-6.6602527880263827</v>
      </c>
      <c r="I913" s="4">
        <f t="shared" si="56"/>
        <v>24.361111111111111</v>
      </c>
    </row>
    <row r="914" spans="1:9" x14ac:dyDescent="0.2">
      <c r="A914" s="11">
        <v>87.8</v>
      </c>
      <c r="B914" s="15">
        <v>3.133</v>
      </c>
      <c r="C914" s="11">
        <f t="shared" si="57"/>
        <v>11377.996573566841</v>
      </c>
      <c r="D914" s="11">
        <f t="shared" si="54"/>
        <v>-330.55886467223729</v>
      </c>
      <c r="E914" s="11">
        <f t="shared" si="55"/>
        <v>-1016.5249824772675</v>
      </c>
      <c r="F914" s="11">
        <f>'Speed Calc'!B$5*E914</f>
        <v>-914.87248422954076</v>
      </c>
      <c r="G914" s="15">
        <f>'Speed Calc'!G$3+'Speed Calc'!G$5*A914^2</f>
        <v>20</v>
      </c>
      <c r="H914" s="7">
        <f>(F914-G914)/'Speed Calc'!G$2*9.806</f>
        <v>-6.7906367261887972</v>
      </c>
      <c r="I914" s="4">
        <f t="shared" si="56"/>
        <v>24.388888888888886</v>
      </c>
    </row>
    <row r="915" spans="1:9" x14ac:dyDescent="0.2">
      <c r="A915" s="11">
        <v>87.9</v>
      </c>
      <c r="B915" s="15">
        <v>3.133</v>
      </c>
      <c r="C915" s="11">
        <f t="shared" si="57"/>
        <v>11390.955567386394</v>
      </c>
      <c r="D915" s="11">
        <f t="shared" si="54"/>
        <v>-337.47209641853232</v>
      </c>
      <c r="E915" s="11">
        <f t="shared" si="55"/>
        <v>-1036.6037091354233</v>
      </c>
      <c r="F915" s="11">
        <f>'Speed Calc'!B$5*E915</f>
        <v>-932.94333822188094</v>
      </c>
      <c r="G915" s="15">
        <f>'Speed Calc'!G$3+'Speed Calc'!G$5*A915^2</f>
        <v>20</v>
      </c>
      <c r="H915" s="7">
        <f>(F915-G915)/'Speed Calc'!G$2*9.806</f>
        <v>-6.921898055262047</v>
      </c>
      <c r="I915" s="4">
        <f t="shared" si="56"/>
        <v>24.416666666666668</v>
      </c>
    </row>
    <row r="916" spans="1:9" x14ac:dyDescent="0.2">
      <c r="A916" s="11">
        <v>88</v>
      </c>
      <c r="B916" s="15">
        <v>3.133</v>
      </c>
      <c r="C916" s="11">
        <f t="shared" si="57"/>
        <v>11403.914561205946</v>
      </c>
      <c r="D916" s="11">
        <f t="shared" si="54"/>
        <v>-344.44412646802789</v>
      </c>
      <c r="E916" s="11">
        <f t="shared" si="55"/>
        <v>-1056.8172062087219</v>
      </c>
      <c r="F916" s="11">
        <f>'Speed Calc'!B$5*E916</f>
        <v>-951.13548558784976</v>
      </c>
      <c r="G916" s="15">
        <f>'Speed Calc'!G$3+'Speed Calc'!G$5*A916^2</f>
        <v>20</v>
      </c>
      <c r="H916" s="7">
        <f>(F916-G916)/'Speed Calc'!G$2*9.806</f>
        <v>-7.0540404234625589</v>
      </c>
      <c r="I916" s="4">
        <f t="shared" si="56"/>
        <v>24.444444444444443</v>
      </c>
    </row>
    <row r="917" spans="1:9" x14ac:dyDescent="0.2">
      <c r="A917" s="11">
        <v>88.1</v>
      </c>
      <c r="B917" s="15">
        <v>3.133</v>
      </c>
      <c r="C917" s="11">
        <f t="shared" si="57"/>
        <v>11416.873555025497</v>
      </c>
      <c r="D917" s="11">
        <f t="shared" si="54"/>
        <v>-351.47528702034174</v>
      </c>
      <c r="E917" s="11">
        <f t="shared" si="55"/>
        <v>-1077.1660328659736</v>
      </c>
      <c r="F917" s="11">
        <f>'Speed Calc'!B$5*E917</f>
        <v>-969.44942957937633</v>
      </c>
      <c r="G917" s="15">
        <f>'Speed Calc'!G$3+'Speed Calc'!G$5*A917^2</f>
        <v>20</v>
      </c>
      <c r="H917" s="7">
        <f>(F917-G917)/'Speed Calc'!G$2*9.806</f>
        <v>-7.1870674862632322</v>
      </c>
      <c r="I917" s="4">
        <f t="shared" si="56"/>
        <v>24.472222222222221</v>
      </c>
    </row>
    <row r="918" spans="1:9" x14ac:dyDescent="0.2">
      <c r="A918" s="11">
        <v>88.2</v>
      </c>
      <c r="B918" s="15">
        <v>3.133</v>
      </c>
      <c r="C918" s="11">
        <f t="shared" si="57"/>
        <v>11429.832548845052</v>
      </c>
      <c r="D918" s="11">
        <f t="shared" si="54"/>
        <v>-358.56591146608457</v>
      </c>
      <c r="E918" s="11">
        <f t="shared" si="55"/>
        <v>-1097.6507493859729</v>
      </c>
      <c r="F918" s="11">
        <f>'Speed Calc'!B$5*E918</f>
        <v>-987.88567444737555</v>
      </c>
      <c r="G918" s="15">
        <f>'Speed Calc'!G$3+'Speed Calc'!G$5*A918^2</f>
        <v>20</v>
      </c>
      <c r="H918" s="7">
        <f>(F918-G918)/'Speed Calc'!G$2*9.806</f>
        <v>-7.3209829063933061</v>
      </c>
      <c r="I918" s="4">
        <f t="shared" si="56"/>
        <v>24.5</v>
      </c>
    </row>
    <row r="919" spans="1:9" x14ac:dyDescent="0.2">
      <c r="A919" s="11">
        <v>88.3</v>
      </c>
      <c r="B919" s="15">
        <v>3.133</v>
      </c>
      <c r="C919" s="11">
        <f t="shared" si="57"/>
        <v>11442.791542664601</v>
      </c>
      <c r="D919" s="11">
        <f t="shared" si="54"/>
        <v>-365.71633438893178</v>
      </c>
      <c r="E919" s="11">
        <f t="shared" si="55"/>
        <v>-1118.2719171575491</v>
      </c>
      <c r="F919" s="11">
        <f>'Speed Calc'!B$5*E919</f>
        <v>-1006.4447254417942</v>
      </c>
      <c r="G919" s="15">
        <f>'Speed Calc'!G$3+'Speed Calc'!G$5*A919^2</f>
        <v>20</v>
      </c>
      <c r="H919" s="7">
        <f>(F919-G919)/'Speed Calc'!G$2*9.806</f>
        <v>-7.4557903538386912</v>
      </c>
      <c r="I919" s="4">
        <f t="shared" si="56"/>
        <v>24.527777777777775</v>
      </c>
    </row>
    <row r="920" spans="1:9" x14ac:dyDescent="0.2">
      <c r="A920" s="11">
        <v>88.4</v>
      </c>
      <c r="B920" s="15">
        <v>3.133</v>
      </c>
      <c r="C920" s="11">
        <f t="shared" si="57"/>
        <v>11455.750536484156</v>
      </c>
      <c r="D920" s="11">
        <f t="shared" si="54"/>
        <v>-372.9268915676688</v>
      </c>
      <c r="E920" s="11">
        <f t="shared" si="55"/>
        <v>-1139.0300986795314</v>
      </c>
      <c r="F920" s="11">
        <f>'Speed Calc'!B$5*E920</f>
        <v>-1025.1270888115782</v>
      </c>
      <c r="G920" s="15">
        <f>'Speed Calc'!G$3+'Speed Calc'!G$5*A920^2</f>
        <v>20</v>
      </c>
      <c r="H920" s="7">
        <f>(F920-G920)/'Speed Calc'!G$2*9.806</f>
        <v>-7.5914935058417301</v>
      </c>
      <c r="I920" s="4">
        <f t="shared" si="56"/>
        <v>24.555555555555557</v>
      </c>
    </row>
    <row r="921" spans="1:9" x14ac:dyDescent="0.2">
      <c r="A921" s="11">
        <v>88.5</v>
      </c>
      <c r="B921" s="15">
        <v>3.133</v>
      </c>
      <c r="C921" s="11">
        <f t="shared" si="57"/>
        <v>11468.709530303706</v>
      </c>
      <c r="D921" s="11">
        <f t="shared" si="54"/>
        <v>-380.19791997824211</v>
      </c>
      <c r="E921" s="11">
        <f t="shared" si="55"/>
        <v>-1159.9258575607391</v>
      </c>
      <c r="F921" s="11">
        <f>'Speed Calc'!B$5*E921</f>
        <v>-1043.9332718046653</v>
      </c>
      <c r="G921" s="15">
        <f>'Speed Calc'!G$3+'Speed Calc'!G$5*A921^2</f>
        <v>20</v>
      </c>
      <c r="H921" s="7">
        <f>(F921-G921)/'Speed Calc'!G$2*9.806</f>
        <v>-7.7280960469011459</v>
      </c>
      <c r="I921" s="4">
        <f t="shared" si="56"/>
        <v>24.583333333333332</v>
      </c>
    </row>
    <row r="922" spans="1:9" x14ac:dyDescent="0.2">
      <c r="A922" s="11">
        <v>88.6</v>
      </c>
      <c r="B922" s="15">
        <v>3.133</v>
      </c>
      <c r="C922" s="11">
        <f t="shared" si="57"/>
        <v>11481.668524123257</v>
      </c>
      <c r="D922" s="11">
        <f t="shared" si="54"/>
        <v>-387.52975779583124</v>
      </c>
      <c r="E922" s="11">
        <f t="shared" si="55"/>
        <v>-1180.9597585200277</v>
      </c>
      <c r="F922" s="11">
        <f>'Speed Calc'!B$5*E922</f>
        <v>-1062.8637826680249</v>
      </c>
      <c r="G922" s="15">
        <f>'Speed Calc'!G$3+'Speed Calc'!G$5*A922^2</f>
        <v>20</v>
      </c>
      <c r="H922" s="7">
        <f>(F922-G922)/'Speed Calc'!G$2*9.806</f>
        <v>-7.8656016687723351</v>
      </c>
      <c r="I922" s="4">
        <f t="shared" si="56"/>
        <v>24.611111111111107</v>
      </c>
    </row>
    <row r="923" spans="1:9" x14ac:dyDescent="0.2">
      <c r="A923" s="11">
        <v>88.7</v>
      </c>
      <c r="B923" s="15">
        <v>3.133</v>
      </c>
      <c r="C923" s="11">
        <f t="shared" si="57"/>
        <v>11494.627517942812</v>
      </c>
      <c r="D923" s="11">
        <f t="shared" si="54"/>
        <v>-394.92274439689157</v>
      </c>
      <c r="E923" s="11">
        <f t="shared" si="55"/>
        <v>-1202.1323673862537</v>
      </c>
      <c r="F923" s="11">
        <f>'Speed Calc'!B$5*E923</f>
        <v>-1081.9191306476284</v>
      </c>
      <c r="G923" s="15">
        <f>'Speed Calc'!G$3+'Speed Calc'!G$5*A923^2</f>
        <v>20</v>
      </c>
      <c r="H923" s="7">
        <f>(F923-G923)/'Speed Calc'!G$2*9.806</f>
        <v>-8.004014070467143</v>
      </c>
      <c r="I923" s="4">
        <f t="shared" si="56"/>
        <v>24.638888888888889</v>
      </c>
    </row>
    <row r="924" spans="1:9" x14ac:dyDescent="0.2">
      <c r="A924" s="11">
        <v>88.8</v>
      </c>
      <c r="B924" s="15">
        <v>3.133</v>
      </c>
      <c r="C924" s="11">
        <f t="shared" si="57"/>
        <v>11507.586511762362</v>
      </c>
      <c r="D924" s="11">
        <f t="shared" si="54"/>
        <v>-402.37722036120613</v>
      </c>
      <c r="E924" s="11">
        <f t="shared" si="55"/>
        <v>-1223.4442510982622</v>
      </c>
      <c r="F924" s="11">
        <f>'Speed Calc'!B$5*E924</f>
        <v>-1101.0998259884359</v>
      </c>
      <c r="G924" s="15">
        <f>'Speed Calc'!G$3+'Speed Calc'!G$5*A924^2</f>
        <v>20</v>
      </c>
      <c r="H924" s="7">
        <f>(F924-G924)/'Speed Calc'!G$2*9.806</f>
        <v>-8.1433369582537782</v>
      </c>
      <c r="I924" s="4">
        <f t="shared" si="56"/>
        <v>24.666666666666664</v>
      </c>
    </row>
    <row r="925" spans="1:9" x14ac:dyDescent="0.2">
      <c r="A925" s="11">
        <v>88.9</v>
      </c>
      <c r="B925" s="15">
        <v>3.133</v>
      </c>
      <c r="C925" s="11">
        <f t="shared" si="57"/>
        <v>11520.545505581915</v>
      </c>
      <c r="D925" s="11">
        <f t="shared" si="54"/>
        <v>-409.89352747395793</v>
      </c>
      <c r="E925" s="11">
        <f t="shared" si="55"/>
        <v>-1244.8959777049342</v>
      </c>
      <c r="F925" s="11">
        <f>'Speed Calc'!B$5*E925</f>
        <v>-1120.4063799344408</v>
      </c>
      <c r="G925" s="15">
        <f>'Speed Calc'!G$3+'Speed Calc'!G$5*A925^2</f>
        <v>20</v>
      </c>
      <c r="H925" s="7">
        <f>(F925-G925)/'Speed Calc'!G$2*9.806</f>
        <v>-8.2835740456571312</v>
      </c>
      <c r="I925" s="4">
        <f t="shared" si="56"/>
        <v>24.694444444444446</v>
      </c>
    </row>
    <row r="926" spans="1:9" x14ac:dyDescent="0.2">
      <c r="A926" s="11">
        <v>89</v>
      </c>
      <c r="B926" s="15">
        <v>3.133</v>
      </c>
      <c r="C926" s="11">
        <f t="shared" si="57"/>
        <v>11533.504499401468</v>
      </c>
      <c r="D926" s="11">
        <f t="shared" si="54"/>
        <v>-417.47200872777108</v>
      </c>
      <c r="E926" s="11">
        <f t="shared" si="55"/>
        <v>-1266.4881163651485</v>
      </c>
      <c r="F926" s="11">
        <f>'Speed Calc'!B$5*E926</f>
        <v>-1139.8393047286336</v>
      </c>
      <c r="G926" s="15">
        <f>'Speed Calc'!G$3+'Speed Calc'!G$5*A926^2</f>
        <v>20</v>
      </c>
      <c r="H926" s="7">
        <f>(F926-G926)/'Speed Calc'!G$2*9.806</f>
        <v>-8.4247290534585044</v>
      </c>
      <c r="I926" s="4">
        <f t="shared" si="56"/>
        <v>24.722222222222221</v>
      </c>
    </row>
    <row r="927" spans="1:9" x14ac:dyDescent="0.2">
      <c r="A927" s="11">
        <v>89.1</v>
      </c>
      <c r="B927" s="15">
        <v>3.133</v>
      </c>
      <c r="C927" s="11">
        <f t="shared" si="57"/>
        <v>11546.463493221017</v>
      </c>
      <c r="D927" s="11">
        <f t="shared" si="54"/>
        <v>-425.11300832477002</v>
      </c>
      <c r="E927" s="11">
        <f t="shared" si="55"/>
        <v>-1288.2212373477882</v>
      </c>
      <c r="F927" s="11">
        <f>'Speed Calc'!B$5*E927</f>
        <v>-1159.3991136130094</v>
      </c>
      <c r="G927" s="15">
        <f>'Speed Calc'!G$3+'Speed Calc'!G$5*A927^2</f>
        <v>20</v>
      </c>
      <c r="H927" s="7">
        <f>(F927-G927)/'Speed Calc'!G$2*9.806</f>
        <v>-8.5668057096956804</v>
      </c>
      <c r="I927" s="4">
        <f t="shared" si="56"/>
        <v>24.749999999999996</v>
      </c>
    </row>
    <row r="928" spans="1:9" x14ac:dyDescent="0.2">
      <c r="A928" s="11">
        <v>89.2</v>
      </c>
      <c r="B928" s="15">
        <v>3.133</v>
      </c>
      <c r="C928" s="11">
        <f t="shared" si="57"/>
        <v>11559.422487040572</v>
      </c>
      <c r="D928" s="11">
        <f t="shared" si="54"/>
        <v>-432.8168716786405</v>
      </c>
      <c r="E928" s="11">
        <f t="shared" si="55"/>
        <v>-1310.0959120317593</v>
      </c>
      <c r="F928" s="11">
        <f>'Speed Calc'!B$5*E928</f>
        <v>-1179.0863208285834</v>
      </c>
      <c r="G928" s="15">
        <f>'Speed Calc'!G$3+'Speed Calc'!G$5*A928^2</f>
        <v>20</v>
      </c>
      <c r="H928" s="7">
        <f>(F928-G928)/'Speed Calc'!G$2*9.806</f>
        <v>-8.7098077496630282</v>
      </c>
      <c r="I928" s="4">
        <f t="shared" si="56"/>
        <v>24.777777777777779</v>
      </c>
    </row>
    <row r="929" spans="1:9" x14ac:dyDescent="0.2">
      <c r="A929" s="11">
        <v>89.3</v>
      </c>
      <c r="B929" s="15">
        <v>3.133</v>
      </c>
      <c r="C929" s="11">
        <f t="shared" si="57"/>
        <v>11572.381480860122</v>
      </c>
      <c r="D929" s="11">
        <f t="shared" si="54"/>
        <v>-440.58394541666638</v>
      </c>
      <c r="E929" s="11">
        <f t="shared" si="55"/>
        <v>-1332.1127129059346</v>
      </c>
      <c r="F929" s="11">
        <f>'Speed Calc'!B$5*E929</f>
        <v>-1198.9014416153411</v>
      </c>
      <c r="G929" s="15">
        <f>'Speed Calc'!G$3+'Speed Calc'!G$5*A929^2</f>
        <v>20</v>
      </c>
      <c r="H929" s="7">
        <f>(F929-G929)/'Speed Calc'!G$2*9.806</f>
        <v>-8.853738915911137</v>
      </c>
      <c r="I929" s="4">
        <f t="shared" si="56"/>
        <v>24.805555555555554</v>
      </c>
    </row>
    <row r="930" spans="1:9" x14ac:dyDescent="0.2">
      <c r="A930" s="11">
        <v>89.4</v>
      </c>
      <c r="B930" s="15">
        <v>3.133</v>
      </c>
      <c r="C930" s="11">
        <f t="shared" si="57"/>
        <v>11585.340474679679</v>
      </c>
      <c r="D930" s="11">
        <f t="shared" si="54"/>
        <v>-448.41457738182879</v>
      </c>
      <c r="E930" s="11">
        <f t="shared" si="55"/>
        <v>-1354.2722135692813</v>
      </c>
      <c r="F930" s="11">
        <f>'Speed Calc'!B$5*E930</f>
        <v>-1218.8449922123532</v>
      </c>
      <c r="G930" s="15">
        <f>'Speed Calc'!G$3+'Speed Calc'!G$5*A930^2</f>
        <v>20</v>
      </c>
      <c r="H930" s="7">
        <f>(F930-G930)/'Speed Calc'!G$2*9.806</f>
        <v>-8.9986029582476554</v>
      </c>
      <c r="I930" s="4">
        <f t="shared" si="56"/>
        <v>24.833333333333336</v>
      </c>
    </row>
    <row r="931" spans="1:9" x14ac:dyDescent="0.2">
      <c r="A931" s="11">
        <v>89.5</v>
      </c>
      <c r="B931" s="15">
        <v>3.133</v>
      </c>
      <c r="C931" s="11">
        <f t="shared" si="57"/>
        <v>11598.299468499232</v>
      </c>
      <c r="D931" s="11">
        <f t="shared" si="54"/>
        <v>-456.30911663479833</v>
      </c>
      <c r="E931" s="11">
        <f t="shared" si="55"/>
        <v>-1376.5749887306761</v>
      </c>
      <c r="F931" s="11">
        <f>'Speed Calc'!B$5*E931</f>
        <v>-1238.9174898576084</v>
      </c>
      <c r="G931" s="15">
        <f>'Speed Calc'!G$3+'Speed Calc'!G$5*A931^2</f>
        <v>20</v>
      </c>
      <c r="H931" s="7">
        <f>(F931-G931)/'Speed Calc'!G$2*9.806</f>
        <v>-9.1444036337360792</v>
      </c>
      <c r="I931" s="4">
        <f t="shared" si="56"/>
        <v>24.861111111111111</v>
      </c>
    </row>
    <row r="932" spans="1:9" x14ac:dyDescent="0.2">
      <c r="A932" s="11">
        <v>89.6</v>
      </c>
      <c r="B932" s="15">
        <v>3.133</v>
      </c>
      <c r="C932" s="11">
        <f t="shared" si="57"/>
        <v>11611.258462318779</v>
      </c>
      <c r="D932" s="11">
        <f t="shared" si="54"/>
        <v>-464.26791345603925</v>
      </c>
      <c r="E932" s="11">
        <f t="shared" si="55"/>
        <v>-1399.0216142090474</v>
      </c>
      <c r="F932" s="11">
        <f>'Speed Calc'!B$5*E932</f>
        <v>-1259.1194527881426</v>
      </c>
      <c r="G932" s="15">
        <f>'Speed Calc'!G$3+'Speed Calc'!G$5*A932^2</f>
        <v>20</v>
      </c>
      <c r="H932" s="7">
        <f>(F932-G932)/'Speed Calc'!G$2*9.806</f>
        <v>-9.2911447066966844</v>
      </c>
      <c r="I932" s="4">
        <f t="shared" si="56"/>
        <v>24.888888888888886</v>
      </c>
    </row>
    <row r="933" spans="1:9" x14ac:dyDescent="0.2">
      <c r="A933" s="11">
        <v>89.7</v>
      </c>
      <c r="B933" s="15">
        <v>3.133</v>
      </c>
      <c r="C933" s="11">
        <f t="shared" si="57"/>
        <v>11624.217456138333</v>
      </c>
      <c r="D933" s="11">
        <f t="shared" ref="D933:D996" si="58">-4.687*10^(-17)*C933^5+9.129*10^(-13)*C933^4-6.175*10^(-9)*C933^3+1.799*10^(-5)*C933^2+6.502*10^(-3)*C933</f>
        <v>-472.29131934786329</v>
      </c>
      <c r="E933" s="11">
        <f t="shared" si="55"/>
        <v>-1421.612666933368</v>
      </c>
      <c r="F933" s="11">
        <f>'Speed Calc'!B$5*E933</f>
        <v>-1279.4514002400313</v>
      </c>
      <c r="G933" s="15">
        <f>'Speed Calc'!G$3+'Speed Calc'!G$5*A933^2</f>
        <v>20</v>
      </c>
      <c r="H933" s="7">
        <f>(F933-G933)/'Speed Calc'!G$2*9.806</f>
        <v>-9.4388299487064788</v>
      </c>
      <c r="I933" s="4">
        <f t="shared" si="56"/>
        <v>24.916666666666668</v>
      </c>
    </row>
    <row r="934" spans="1:9" x14ac:dyDescent="0.2">
      <c r="A934" s="11">
        <v>89.8</v>
      </c>
      <c r="B934" s="15">
        <v>3.133</v>
      </c>
      <c r="C934" s="11">
        <f t="shared" si="57"/>
        <v>11637.176449957886</v>
      </c>
      <c r="D934" s="11">
        <f t="shared" si="58"/>
        <v>-480.37968703645481</v>
      </c>
      <c r="E934" s="11">
        <f t="shared" ref="E934:E997" si="59">D934*75*B934*B$31*B$32/B$23/C934/2/PI()*60</f>
        <v>-1444.3487249425702</v>
      </c>
      <c r="F934" s="11">
        <f>'Speed Calc'!B$5*E934</f>
        <v>-1299.9138524483133</v>
      </c>
      <c r="G934" s="15">
        <f>'Speed Calc'!G$3+'Speed Calc'!G$5*A934^2</f>
        <v>20</v>
      </c>
      <c r="H934" s="7">
        <f>(F934-G934)/'Speed Calc'!G$2*9.806</f>
        <v>-9.5874631385986362</v>
      </c>
      <c r="I934" s="4">
        <f t="shared" ref="I934:I997" si="60">A934/3.6</f>
        <v>24.944444444444443</v>
      </c>
    </row>
    <row r="935" spans="1:9" x14ac:dyDescent="0.2">
      <c r="A935" s="11">
        <v>89.9</v>
      </c>
      <c r="B935" s="15">
        <v>3.133</v>
      </c>
      <c r="C935" s="11">
        <f t="shared" si="57"/>
        <v>11650.135443777437</v>
      </c>
      <c r="D935" s="11">
        <f t="shared" si="58"/>
        <v>-488.53337047394632</v>
      </c>
      <c r="E935" s="11">
        <f t="shared" si="59"/>
        <v>-1467.2303673856009</v>
      </c>
      <c r="F935" s="11">
        <f>'Speed Calc'!B$5*E935</f>
        <v>-1320.5073306470408</v>
      </c>
      <c r="G935" s="15">
        <f>'Speed Calc'!G$3+'Speed Calc'!G$5*A935^2</f>
        <v>20</v>
      </c>
      <c r="H935" s="7">
        <f>(F935-G935)/'Speed Calc'!G$2*9.806</f>
        <v>-9.7370480624628755</v>
      </c>
      <c r="I935" s="4">
        <f t="shared" si="60"/>
        <v>24.972222222222221</v>
      </c>
    </row>
    <row r="936" spans="1:9" x14ac:dyDescent="0.2">
      <c r="A936" s="11">
        <v>90</v>
      </c>
      <c r="B936" s="15">
        <v>3.133</v>
      </c>
      <c r="C936" s="11">
        <f t="shared" si="57"/>
        <v>11663.09443759699</v>
      </c>
      <c r="D936" s="11">
        <f t="shared" si="58"/>
        <v>-496.75272484047986</v>
      </c>
      <c r="E936" s="11">
        <f t="shared" si="59"/>
        <v>-1490.2581745214393</v>
      </c>
      <c r="F936" s="11">
        <f>'Speed Calc'!B$5*E936</f>
        <v>-1341.2323570692954</v>
      </c>
      <c r="G936" s="15">
        <f>'Speed Calc'!G$3+'Speed Calc'!G$5*A936^2</f>
        <v>20</v>
      </c>
      <c r="H936" s="7">
        <f>(F936-G936)/'Speed Calc'!G$2*9.806</f>
        <v>-9.8875885136455626</v>
      </c>
      <c r="I936" s="4">
        <f t="shared" si="60"/>
        <v>25</v>
      </c>
    </row>
    <row r="937" spans="1:9" x14ac:dyDescent="0.2">
      <c r="A937" s="11">
        <v>90.1</v>
      </c>
      <c r="B937" s="15">
        <v>3.133</v>
      </c>
      <c r="C937" s="11">
        <f t="shared" si="57"/>
        <v>11676.053431416542</v>
      </c>
      <c r="D937" s="11">
        <f t="shared" si="58"/>
        <v>-505.03810654624925</v>
      </c>
      <c r="E937" s="11">
        <f t="shared" si="59"/>
        <v>-1513.43272771906</v>
      </c>
      <c r="F937" s="11">
        <f>'Speed Calc'!B$5*E937</f>
        <v>-1362.0894549471541</v>
      </c>
      <c r="G937" s="15">
        <f>'Speed Calc'!G$3+'Speed Calc'!G$5*A937^2</f>
        <v>20</v>
      </c>
      <c r="H937" s="7">
        <f>(F937-G937)/'Speed Calc'!G$2*9.806</f>
        <v>-10.039088292749476</v>
      </c>
      <c r="I937" s="4">
        <f t="shared" si="60"/>
        <v>25.027777777777775</v>
      </c>
    </row>
    <row r="938" spans="1:9" x14ac:dyDescent="0.2">
      <c r="A938" s="11">
        <v>90.2</v>
      </c>
      <c r="B938" s="15">
        <v>3.133</v>
      </c>
      <c r="C938" s="11">
        <f t="shared" si="57"/>
        <v>11689.012425236097</v>
      </c>
      <c r="D938" s="11">
        <f t="shared" si="58"/>
        <v>-513.38987323355786</v>
      </c>
      <c r="E938" s="11">
        <f t="shared" si="59"/>
        <v>-1536.7546094574348</v>
      </c>
      <c r="F938" s="11">
        <f>'Speed Calc'!B$5*E938</f>
        <v>-1383.0791485116913</v>
      </c>
      <c r="G938" s="15">
        <f>'Speed Calc'!G$3+'Speed Calc'!G$5*A938^2</f>
        <v>20</v>
      </c>
      <c r="H938" s="7">
        <f>(F938-G938)/'Speed Calc'!G$2*9.806</f>
        <v>-10.191551207633809</v>
      </c>
      <c r="I938" s="4">
        <f t="shared" si="60"/>
        <v>25.055555555555557</v>
      </c>
    </row>
    <row r="939" spans="1:9" x14ac:dyDescent="0.2">
      <c r="A939" s="11">
        <v>90.3</v>
      </c>
      <c r="B939" s="15">
        <v>3.133</v>
      </c>
      <c r="C939" s="11">
        <f t="shared" ref="C939:C1002" si="61">A939/3.6/B$23/2/PI()*B$32*B$31*B939*60</f>
        <v>11701.971419055646</v>
      </c>
      <c r="D939" s="11">
        <f t="shared" si="58"/>
        <v>-521.8083837788754</v>
      </c>
      <c r="E939" s="11">
        <f t="shared" si="59"/>
        <v>-1560.2244033255408</v>
      </c>
      <c r="F939" s="11">
        <f>'Speed Calc'!B$5*E939</f>
        <v>-1404.2019629929869</v>
      </c>
      <c r="G939" s="15">
        <f>'Speed Calc'!G$3+'Speed Calc'!G$5*A939^2</f>
        <v>20</v>
      </c>
      <c r="H939" s="7">
        <f>(F939-G939)/'Speed Calc'!G$2*9.806</f>
        <v>-10.344981073414244</v>
      </c>
      <c r="I939" s="4">
        <f t="shared" si="60"/>
        <v>25.083333333333332</v>
      </c>
    </row>
    <row r="940" spans="1:9" x14ac:dyDescent="0.2">
      <c r="A940" s="11">
        <v>90.4</v>
      </c>
      <c r="B940" s="15">
        <v>3.133</v>
      </c>
      <c r="C940" s="11">
        <f t="shared" si="61"/>
        <v>11714.930412875199</v>
      </c>
      <c r="D940" s="11">
        <f t="shared" si="58"/>
        <v>-530.29399829491331</v>
      </c>
      <c r="E940" s="11">
        <f t="shared" si="59"/>
        <v>-1583.8426940224181</v>
      </c>
      <c r="F940" s="11">
        <f>'Speed Calc'!B$5*E940</f>
        <v>-1425.4584246201764</v>
      </c>
      <c r="G940" s="15">
        <f>'Speed Calc'!G$3+'Speed Calc'!G$5*A940^2</f>
        <v>20</v>
      </c>
      <c r="H940" s="7">
        <f>(F940-G940)/'Speed Calc'!G$2*9.806</f>
        <v>-10.499381712463295</v>
      </c>
      <c r="I940" s="4">
        <f t="shared" si="60"/>
        <v>25.111111111111111</v>
      </c>
    </row>
    <row r="941" spans="1:9" x14ac:dyDescent="0.2">
      <c r="A941" s="11">
        <v>90.5</v>
      </c>
      <c r="B941" s="15">
        <v>3.133</v>
      </c>
      <c r="C941" s="11">
        <f t="shared" si="61"/>
        <v>11727.889406694751</v>
      </c>
      <c r="D941" s="11">
        <f t="shared" si="58"/>
        <v>-538.84707813263879</v>
      </c>
      <c r="E941" s="11">
        <f t="shared" si="59"/>
        <v>-1607.6100673570443</v>
      </c>
      <c r="F941" s="11">
        <f>'Speed Calc'!B$5*E941</f>
        <v>-1446.84906062134</v>
      </c>
      <c r="G941" s="15">
        <f>'Speed Calc'!G$3+'Speed Calc'!G$5*A941^2</f>
        <v>20</v>
      </c>
      <c r="H941" s="7">
        <f>(F941-G941)/'Speed Calc'!G$2*9.806</f>
        <v>-10.654756954409525</v>
      </c>
      <c r="I941" s="4">
        <f t="shared" si="60"/>
        <v>25.138888888888889</v>
      </c>
    </row>
    <row r="942" spans="1:9" x14ac:dyDescent="0.2">
      <c r="A942" s="11">
        <v>90.6</v>
      </c>
      <c r="B942" s="15">
        <v>3.133</v>
      </c>
      <c r="C942" s="11">
        <f t="shared" si="61"/>
        <v>11740.848400514302</v>
      </c>
      <c r="D942" s="11">
        <f t="shared" si="58"/>
        <v>-547.46798588336344</v>
      </c>
      <c r="E942" s="11">
        <f t="shared" si="59"/>
        <v>-1631.5271102484342</v>
      </c>
      <c r="F942" s="11">
        <f>'Speed Calc'!B$5*E942</f>
        <v>-1468.3743992235907</v>
      </c>
      <c r="G942" s="15">
        <f>'Speed Calc'!G$3+'Speed Calc'!G$5*A942^2</f>
        <v>20</v>
      </c>
      <c r="H942" s="7">
        <f>(F942-G942)/'Speed Calc'!G$2*9.806</f>
        <v>-10.811110636138169</v>
      </c>
      <c r="I942" s="4">
        <f t="shared" si="60"/>
        <v>25.166666666666664</v>
      </c>
    </row>
    <row r="943" spans="1:9" x14ac:dyDescent="0.2">
      <c r="A943" s="11">
        <v>90.7</v>
      </c>
      <c r="B943" s="15">
        <v>3.133</v>
      </c>
      <c r="C943" s="11">
        <f t="shared" si="61"/>
        <v>11753.807394333857</v>
      </c>
      <c r="D943" s="11">
        <f t="shared" si="58"/>
        <v>-556.15708538080037</v>
      </c>
      <c r="E943" s="11">
        <f t="shared" si="59"/>
        <v>-1655.5944107256457</v>
      </c>
      <c r="F943" s="11">
        <f>'Speed Calc'!B$5*E943</f>
        <v>-1490.0349696530811</v>
      </c>
      <c r="G943" s="15">
        <f>'Speed Calc'!G$3+'Speed Calc'!G$5*A943^2</f>
        <v>20</v>
      </c>
      <c r="H943" s="7">
        <f>(F943-G943)/'Speed Calc'!G$2*9.806</f>
        <v>-10.968446601791195</v>
      </c>
      <c r="I943" s="4">
        <f t="shared" si="60"/>
        <v>25.194444444444443</v>
      </c>
    </row>
    <row r="944" spans="1:9" x14ac:dyDescent="0.2">
      <c r="A944" s="11">
        <v>90.8</v>
      </c>
      <c r="B944" s="15">
        <v>3.133</v>
      </c>
      <c r="C944" s="11">
        <f t="shared" si="61"/>
        <v>11766.766388153406</v>
      </c>
      <c r="D944" s="11">
        <f t="shared" si="58"/>
        <v>-564.91474170308516</v>
      </c>
      <c r="E944" s="11">
        <f t="shared" si="59"/>
        <v>-1679.8125579276762</v>
      </c>
      <c r="F944" s="11">
        <f>'Speed Calc'!B$5*E944</f>
        <v>-1511.8313021349086</v>
      </c>
      <c r="G944" s="15">
        <f>'Speed Calc'!G$3+'Speed Calc'!G$5*A944^2</f>
        <v>20</v>
      </c>
      <c r="H944" s="7">
        <f>(F944-G944)/'Speed Calc'!G$2*9.806</f>
        <v>-11.126768702766602</v>
      </c>
      <c r="I944" s="4">
        <f t="shared" si="60"/>
        <v>25.222222222222221</v>
      </c>
    </row>
    <row r="945" spans="1:9" x14ac:dyDescent="0.2">
      <c r="A945" s="11">
        <v>90.9</v>
      </c>
      <c r="B945" s="15">
        <v>3.133</v>
      </c>
      <c r="C945" s="11">
        <f t="shared" si="61"/>
        <v>11779.725381972961</v>
      </c>
      <c r="D945" s="11">
        <f t="shared" si="58"/>
        <v>-573.74132117488057</v>
      </c>
      <c r="E945" s="11">
        <f t="shared" si="59"/>
        <v>-1704.1821421036052</v>
      </c>
      <c r="F945" s="11">
        <f>'Speed Calc'!B$5*E945</f>
        <v>-1533.7639278932447</v>
      </c>
      <c r="G945" s="15">
        <f>'Speed Calc'!G$3+'Speed Calc'!G$5*A945^2</f>
        <v>20</v>
      </c>
      <c r="H945" s="7">
        <f>(F945-G945)/'Speed Calc'!G$2*9.806</f>
        <v>-11.286080797719375</v>
      </c>
      <c r="I945" s="4">
        <f t="shared" si="60"/>
        <v>25.25</v>
      </c>
    </row>
    <row r="946" spans="1:9" x14ac:dyDescent="0.2">
      <c r="A946" s="11">
        <v>91</v>
      </c>
      <c r="B946" s="15">
        <v>3.133</v>
      </c>
      <c r="C946" s="11">
        <f t="shared" si="61"/>
        <v>11792.684375792511</v>
      </c>
      <c r="D946" s="11">
        <f t="shared" si="58"/>
        <v>-582.63719136938039</v>
      </c>
      <c r="E946" s="11">
        <f t="shared" si="59"/>
        <v>-1728.7037546124475</v>
      </c>
      <c r="F946" s="11">
        <f>'Speed Calc'!B$5*E946</f>
        <v>-1555.8333791512027</v>
      </c>
      <c r="G946" s="15">
        <f>'Speed Calc'!G$3+'Speed Calc'!G$5*A946^2</f>
        <v>20</v>
      </c>
      <c r="H946" s="7">
        <f>(F946-G946)/'Speed Calc'!G$2*9.806</f>
        <v>-11.446386752560512</v>
      </c>
      <c r="I946" s="4">
        <f t="shared" si="60"/>
        <v>25.277777777777779</v>
      </c>
    </row>
    <row r="947" spans="1:9" x14ac:dyDescent="0.2">
      <c r="A947" s="11">
        <v>91.1</v>
      </c>
      <c r="B947" s="15">
        <v>3.133</v>
      </c>
      <c r="C947" s="11">
        <f t="shared" si="61"/>
        <v>11805.643369612062</v>
      </c>
      <c r="D947" s="11">
        <f t="shared" si="58"/>
        <v>-591.60272111040717</v>
      </c>
      <c r="E947" s="11">
        <f t="shared" si="59"/>
        <v>-1753.3779879232704</v>
      </c>
      <c r="F947" s="11">
        <f>'Speed Calc'!B$5*E947</f>
        <v>-1578.0401891309434</v>
      </c>
      <c r="G947" s="15">
        <f>'Speed Calc'!G$3+'Speed Calc'!G$5*A947^2</f>
        <v>20</v>
      </c>
      <c r="H947" s="7">
        <f>(F947-G947)/'Speed Calc'!G$2*9.806</f>
        <v>-11.6076904404578</v>
      </c>
      <c r="I947" s="4">
        <f t="shared" si="60"/>
        <v>25.305555555555554</v>
      </c>
    </row>
    <row r="948" spans="1:9" x14ac:dyDescent="0.2">
      <c r="A948" s="11">
        <v>91.2</v>
      </c>
      <c r="B948" s="15">
        <v>3.133</v>
      </c>
      <c r="C948" s="11">
        <f t="shared" si="61"/>
        <v>11818.602363431615</v>
      </c>
      <c r="D948" s="11">
        <f t="shared" si="58"/>
        <v>-600.6382804744652</v>
      </c>
      <c r="E948" s="11">
        <f t="shared" si="59"/>
        <v>-1778.2054356151937</v>
      </c>
      <c r="F948" s="11">
        <f>'Speed Calc'!B$5*E948</f>
        <v>-1600.3848920536743</v>
      </c>
      <c r="G948" s="15">
        <f>'Speed Calc'!G$3+'Speed Calc'!G$5*A948^2</f>
        <v>20</v>
      </c>
      <c r="H948" s="7">
        <f>(F948-G948)/'Speed Calc'!G$2*9.806</f>
        <v>-11.7699957418358</v>
      </c>
      <c r="I948" s="4">
        <f t="shared" si="60"/>
        <v>25.333333333333332</v>
      </c>
    </row>
    <row r="949" spans="1:9" x14ac:dyDescent="0.2">
      <c r="A949" s="11">
        <v>91.3</v>
      </c>
      <c r="B949" s="15">
        <v>3.133</v>
      </c>
      <c r="C949" s="11">
        <f t="shared" si="61"/>
        <v>11831.561357251167</v>
      </c>
      <c r="D949" s="11">
        <f t="shared" si="58"/>
        <v>-609.74424079274138</v>
      </c>
      <c r="E949" s="11">
        <f t="shared" si="59"/>
        <v>-1803.1866923772204</v>
      </c>
      <c r="F949" s="11">
        <f>'Speed Calc'!B$5*E949</f>
        <v>-1622.8680231394985</v>
      </c>
      <c r="G949" s="15">
        <f>'Speed Calc'!G$3+'Speed Calc'!G$5*A949^2</f>
        <v>20</v>
      </c>
      <c r="H949" s="7">
        <f>(F949-G949)/'Speed Calc'!G$2*9.806</f>
        <v>-11.933306544374757</v>
      </c>
      <c r="I949" s="4">
        <f t="shared" si="60"/>
        <v>25.361111111111111</v>
      </c>
    </row>
    <row r="950" spans="1:9" x14ac:dyDescent="0.2">
      <c r="A950" s="11">
        <v>91.4</v>
      </c>
      <c r="B950" s="15">
        <v>3.133</v>
      </c>
      <c r="C950" s="11">
        <f t="shared" si="61"/>
        <v>11844.520351070722</v>
      </c>
      <c r="D950" s="11">
        <f t="shared" si="58"/>
        <v>-618.92097465324548</v>
      </c>
      <c r="E950" s="11">
        <f t="shared" si="59"/>
        <v>-1828.3223540084928</v>
      </c>
      <c r="F950" s="11">
        <f>'Speed Calc'!B$5*E950</f>
        <v>-1645.4901186076436</v>
      </c>
      <c r="G950" s="15">
        <f>'Speed Calc'!G$3+'Speed Calc'!G$5*A950^2</f>
        <v>20</v>
      </c>
      <c r="H950" s="7">
        <f>(F950-G950)/'Speed Calc'!G$2*9.806</f>
        <v>-12.09762674301226</v>
      </c>
      <c r="I950" s="4">
        <f t="shared" si="60"/>
        <v>25.388888888888889</v>
      </c>
    </row>
    <row r="951" spans="1:9" x14ac:dyDescent="0.2">
      <c r="A951" s="11">
        <v>91.5</v>
      </c>
      <c r="B951" s="15">
        <v>3.133</v>
      </c>
      <c r="C951" s="11">
        <f t="shared" si="61"/>
        <v>11857.479344890271</v>
      </c>
      <c r="D951" s="11">
        <f t="shared" si="58"/>
        <v>-628.16885590279298</v>
      </c>
      <c r="E951" s="11">
        <f t="shared" si="59"/>
        <v>-1853.613017418078</v>
      </c>
      <c r="F951" s="11">
        <f>'Speed Calc'!B$5*E951</f>
        <v>-1668.2517156762704</v>
      </c>
      <c r="G951" s="15">
        <f>'Speed Calc'!G$3+'Speed Calc'!G$5*A951^2</f>
        <v>20</v>
      </c>
      <c r="H951" s="7">
        <f>(F951-G951)/'Speed Calc'!G$2*9.806</f>
        <v>-12.262960239941856</v>
      </c>
      <c r="I951" s="4">
        <f t="shared" si="60"/>
        <v>25.416666666666664</v>
      </c>
    </row>
    <row r="952" spans="1:9" x14ac:dyDescent="0.2">
      <c r="A952" s="11">
        <v>91.6</v>
      </c>
      <c r="B952" s="15">
        <v>3.133</v>
      </c>
      <c r="C952" s="11">
        <f t="shared" si="61"/>
        <v>11870.438338709824</v>
      </c>
      <c r="D952" s="11">
        <f t="shared" si="58"/>
        <v>-637.4882596491052</v>
      </c>
      <c r="E952" s="11">
        <f t="shared" si="59"/>
        <v>-1879.059280625092</v>
      </c>
      <c r="F952" s="11">
        <f>'Speed Calc'!B$5*E952</f>
        <v>-1691.1533525625828</v>
      </c>
      <c r="G952" s="15">
        <f>'Speed Calc'!G$3+'Speed Calc'!G$5*A952^2</f>
        <v>20</v>
      </c>
      <c r="H952" s="7">
        <f>(F952-G952)/'Speed Calc'!G$2*9.806</f>
        <v>-12.429310944613841</v>
      </c>
      <c r="I952" s="4">
        <f t="shared" si="60"/>
        <v>25.444444444444443</v>
      </c>
    </row>
    <row r="953" spans="1:9" x14ac:dyDescent="0.2">
      <c r="A953" s="11">
        <v>91.7</v>
      </c>
      <c r="B953" s="15">
        <v>3.133</v>
      </c>
      <c r="C953" s="11">
        <f t="shared" si="61"/>
        <v>11883.397332529377</v>
      </c>
      <c r="D953" s="11">
        <f t="shared" si="58"/>
        <v>-646.8795622628395</v>
      </c>
      <c r="E953" s="11">
        <f t="shared" si="59"/>
        <v>-1904.6617427586334</v>
      </c>
      <c r="F953" s="11">
        <f>'Speed Calc'!B$5*E953</f>
        <v>-1714.1955684827701</v>
      </c>
      <c r="G953" s="15">
        <f>'Speed Calc'!G$3+'Speed Calc'!G$5*A953^2</f>
        <v>20</v>
      </c>
      <c r="H953" s="7">
        <f>(F953-G953)/'Speed Calc'!G$2*9.806</f>
        <v>-12.596682773734846</v>
      </c>
      <c r="I953" s="4">
        <f t="shared" si="60"/>
        <v>25.472222222222221</v>
      </c>
    </row>
    <row r="954" spans="1:9" x14ac:dyDescent="0.2">
      <c r="A954" s="11">
        <v>91.8</v>
      </c>
      <c r="B954" s="15">
        <v>3.133</v>
      </c>
      <c r="C954" s="11">
        <f t="shared" si="61"/>
        <v>11896.35632634893</v>
      </c>
      <c r="D954" s="11">
        <f t="shared" si="58"/>
        <v>-656.34314137966749</v>
      </c>
      <c r="E954" s="11">
        <f t="shared" si="59"/>
        <v>-1930.4210040578453</v>
      </c>
      <c r="F954" s="11">
        <f>'Speed Calc'!B$5*E954</f>
        <v>-1737.3789036520607</v>
      </c>
      <c r="G954" s="15">
        <f>'Speed Calc'!G$3+'Speed Calc'!G$5*A954^2</f>
        <v>20</v>
      </c>
      <c r="H954" s="7">
        <f>(F954-G954)/'Speed Calc'!G$2*9.806</f>
        <v>-12.765079651268227</v>
      </c>
      <c r="I954" s="4">
        <f t="shared" si="60"/>
        <v>25.5</v>
      </c>
    </row>
    <row r="955" spans="1:9" x14ac:dyDescent="0.2">
      <c r="A955" s="11">
        <v>91.9</v>
      </c>
      <c r="B955" s="15">
        <v>3.133</v>
      </c>
      <c r="C955" s="11">
        <f t="shared" si="61"/>
        <v>11909.315320168482</v>
      </c>
      <c r="D955" s="11">
        <f t="shared" si="58"/>
        <v>-665.87937590230433</v>
      </c>
      <c r="E955" s="11">
        <f t="shared" si="59"/>
        <v>-1956.3376658718405</v>
      </c>
      <c r="F955" s="11">
        <f>'Speed Calc'!B$5*E955</f>
        <v>-1760.7038992846565</v>
      </c>
      <c r="G955" s="15">
        <f>'Speed Calc'!G$3+'Speed Calc'!G$5*A955^2</f>
        <v>20</v>
      </c>
      <c r="H955" s="7">
        <f>(F955-G955)/'Speed Calc'!G$2*9.806</f>
        <v>-12.934505508433585</v>
      </c>
      <c r="I955" s="4">
        <f t="shared" si="60"/>
        <v>25.527777777777779</v>
      </c>
    </row>
    <row r="956" spans="1:9" x14ac:dyDescent="0.2">
      <c r="A956" s="11">
        <v>92</v>
      </c>
      <c r="B956" s="15">
        <v>3.133</v>
      </c>
      <c r="C956" s="11">
        <f t="shared" si="61"/>
        <v>11922.274313988033</v>
      </c>
      <c r="D956" s="11">
        <f t="shared" si="58"/>
        <v>-675.48864600258469</v>
      </c>
      <c r="E956" s="11">
        <f t="shared" si="59"/>
        <v>-1982.4123306597603</v>
      </c>
      <c r="F956" s="11">
        <f>'Speed Calc'!B$5*E956</f>
        <v>-1784.1710975937842</v>
      </c>
      <c r="G956" s="15">
        <f>'Speed Calc'!G$3+'Speed Calc'!G$5*A956^2</f>
        <v>20</v>
      </c>
      <c r="H956" s="7">
        <f>(F956-G956)/'Speed Calc'!G$2*9.806</f>
        <v>-13.104964283707146</v>
      </c>
      <c r="I956" s="4">
        <f t="shared" si="60"/>
        <v>25.555555555555554</v>
      </c>
    </row>
    <row r="957" spans="1:9" x14ac:dyDescent="0.2">
      <c r="A957" s="11">
        <v>92.1</v>
      </c>
      <c r="B957" s="15">
        <v>3.133</v>
      </c>
      <c r="C957" s="11">
        <f t="shared" si="61"/>
        <v>11935.233307807584</v>
      </c>
      <c r="D957" s="11">
        <f t="shared" si="58"/>
        <v>-685.17133312351609</v>
      </c>
      <c r="E957" s="11">
        <f t="shared" si="59"/>
        <v>-2008.6456019907641</v>
      </c>
      <c r="F957" s="11">
        <f>'Speed Calc'!B$5*E957</f>
        <v>-1807.7810417916878</v>
      </c>
      <c r="G957" s="15">
        <f>'Speed Calc'!G$3+'Speed Calc'!G$5*A957^2</f>
        <v>20</v>
      </c>
      <c r="H957" s="7">
        <f>(F957-G957)/'Speed Calc'!G$2*9.806</f>
        <v>-13.276459922821696</v>
      </c>
      <c r="I957" s="4">
        <f t="shared" si="60"/>
        <v>25.583333333333332</v>
      </c>
    </row>
    <row r="958" spans="1:9" x14ac:dyDescent="0.2">
      <c r="A958" s="11">
        <v>92.2</v>
      </c>
      <c r="B958" s="15">
        <v>3.133</v>
      </c>
      <c r="C958" s="11">
        <f t="shared" si="61"/>
        <v>11948.192301627136</v>
      </c>
      <c r="D958" s="11">
        <f t="shared" si="58"/>
        <v>-694.92781998131636</v>
      </c>
      <c r="E958" s="11">
        <f t="shared" si="59"/>
        <v>-2035.0380845439859</v>
      </c>
      <c r="F958" s="11">
        <f>'Speed Calc'!B$5*E958</f>
        <v>-1831.5342760895874</v>
      </c>
      <c r="G958" s="15">
        <f>'Speed Calc'!G$3+'Speed Calc'!G$5*A958^2</f>
        <v>20</v>
      </c>
      <c r="H958" s="7">
        <f>(F958-G958)/'Speed Calc'!G$2*9.806</f>
        <v>-13.448996378766291</v>
      </c>
      <c r="I958" s="4">
        <f t="shared" si="60"/>
        <v>25.611111111111111</v>
      </c>
    </row>
    <row r="959" spans="1:9" x14ac:dyDescent="0.2">
      <c r="A959" s="11">
        <v>92.3</v>
      </c>
      <c r="B959" s="15">
        <v>3.133</v>
      </c>
      <c r="C959" s="11">
        <f t="shared" si="61"/>
        <v>11961.151295446691</v>
      </c>
      <c r="D959" s="11">
        <f t="shared" si="58"/>
        <v>-704.75849056750508</v>
      </c>
      <c r="E959" s="11">
        <f t="shared" si="59"/>
        <v>-2061.5903841086283</v>
      </c>
      <c r="F959" s="11">
        <f>'Speed Calc'!B$5*E959</f>
        <v>-1855.4313456977654</v>
      </c>
      <c r="G959" s="15">
        <f>'Speed Calc'!G$3+'Speed Calc'!G$5*A959^2</f>
        <v>20</v>
      </c>
      <c r="H959" s="7">
        <f>(F959-G959)/'Speed Calc'!G$2*9.806</f>
        <v>-13.622577611786879</v>
      </c>
      <c r="I959" s="4">
        <f t="shared" si="60"/>
        <v>25.638888888888886</v>
      </c>
    </row>
    <row r="960" spans="1:9" x14ac:dyDescent="0.2">
      <c r="A960" s="11">
        <v>92.4</v>
      </c>
      <c r="B960" s="15">
        <v>3.133</v>
      </c>
      <c r="C960" s="11">
        <f t="shared" si="61"/>
        <v>11974.110289266246</v>
      </c>
      <c r="D960" s="11">
        <f t="shared" si="58"/>
        <v>-714.6637301509079</v>
      </c>
      <c r="E960" s="11">
        <f t="shared" si="59"/>
        <v>-2088.3031075838212</v>
      </c>
      <c r="F960" s="11">
        <f>'Speed Calc'!B$5*E960</f>
        <v>-1879.4727968254392</v>
      </c>
      <c r="G960" s="15">
        <f>'Speed Calc'!G$3+'Speed Calc'!G$5*A960^2</f>
        <v>20</v>
      </c>
      <c r="H960" s="7">
        <f>(F960-G960)/'Speed Calc'!G$2*9.806</f>
        <v>-13.797207589385375</v>
      </c>
      <c r="I960" s="4">
        <f t="shared" si="60"/>
        <v>25.666666666666668</v>
      </c>
    </row>
    <row r="961" spans="1:9" x14ac:dyDescent="0.2">
      <c r="A961" s="11">
        <v>92.5</v>
      </c>
      <c r="B961" s="15">
        <v>3.133</v>
      </c>
      <c r="C961" s="11">
        <f t="shared" si="61"/>
        <v>11987.069283085797</v>
      </c>
      <c r="D961" s="11">
        <f t="shared" si="58"/>
        <v>-724.64392527976202</v>
      </c>
      <c r="E961" s="11">
        <f t="shared" si="59"/>
        <v>-2115.1768629787643</v>
      </c>
      <c r="F961" s="11">
        <f>'Speed Calc'!B$5*E961</f>
        <v>-1903.6591766808879</v>
      </c>
      <c r="G961" s="15">
        <f>'Speed Calc'!G$3+'Speed Calc'!G$5*A961^2</f>
        <v>20</v>
      </c>
      <c r="H961" s="7">
        <f>(F961-G961)/'Speed Calc'!G$2*9.806</f>
        <v>-13.972890286320581</v>
      </c>
      <c r="I961" s="4">
        <f t="shared" si="60"/>
        <v>25.694444444444443</v>
      </c>
    </row>
    <row r="962" spans="1:9" x14ac:dyDescent="0.2">
      <c r="A962" s="11">
        <v>92.6</v>
      </c>
      <c r="B962" s="15">
        <v>3.133</v>
      </c>
      <c r="C962" s="11">
        <f t="shared" si="61"/>
        <v>12000.028276905347</v>
      </c>
      <c r="D962" s="11">
        <f t="shared" si="58"/>
        <v>-734.69946378374505</v>
      </c>
      <c r="E962" s="11">
        <f t="shared" si="59"/>
        <v>-2142.2122594126477</v>
      </c>
      <c r="F962" s="11">
        <f>'Speed Calc'!B$5*E962</f>
        <v>-1927.9910334713829</v>
      </c>
      <c r="G962" s="15">
        <f>'Speed Calc'!G$3+'Speed Calc'!G$5*A962^2</f>
        <v>20</v>
      </c>
      <c r="H962" s="7">
        <f>(F962-G962)/'Speed Calc'!G$2*9.806</f>
        <v>-14.149629684607689</v>
      </c>
      <c r="I962" s="4">
        <f t="shared" si="60"/>
        <v>25.722222222222221</v>
      </c>
    </row>
    <row r="963" spans="1:9" x14ac:dyDescent="0.2">
      <c r="A963" s="11">
        <v>92.7</v>
      </c>
      <c r="B963" s="15">
        <v>3.133</v>
      </c>
      <c r="C963" s="11">
        <f t="shared" si="61"/>
        <v>12012.9872707249</v>
      </c>
      <c r="D963" s="11">
        <f t="shared" si="58"/>
        <v>-744.83073477604228</v>
      </c>
      <c r="E963" s="11">
        <f t="shared" si="59"/>
        <v>-2169.4099071146866</v>
      </c>
      <c r="F963" s="11">
        <f>'Speed Calc'!B$5*E963</f>
        <v>-1952.4689164032179</v>
      </c>
      <c r="G963" s="15">
        <f>'Speed Calc'!G$3+'Speed Calc'!G$5*A963^2</f>
        <v>20</v>
      </c>
      <c r="H963" s="7">
        <f>(F963-G963)/'Speed Calc'!G$2*9.806</f>
        <v>-14.327429773518483</v>
      </c>
      <c r="I963" s="4">
        <f t="shared" si="60"/>
        <v>25.75</v>
      </c>
    </row>
    <row r="964" spans="1:9" x14ac:dyDescent="0.2">
      <c r="A964" s="11">
        <v>92.8</v>
      </c>
      <c r="B964" s="15">
        <v>3.133</v>
      </c>
      <c r="C964" s="11">
        <f t="shared" si="61"/>
        <v>12025.946264544451</v>
      </c>
      <c r="D964" s="11">
        <f t="shared" si="58"/>
        <v>-755.03812865538009</v>
      </c>
      <c r="E964" s="11">
        <f t="shared" si="59"/>
        <v>-2196.7704174240585</v>
      </c>
      <c r="F964" s="11">
        <f>'Speed Calc'!B$5*E964</f>
        <v>-1977.0933756816526</v>
      </c>
      <c r="G964" s="15">
        <f>'Speed Calc'!G$3+'Speed Calc'!G$5*A964^2</f>
        <v>20</v>
      </c>
      <c r="H964" s="7">
        <f>(F964-G964)/'Speed Calc'!G$2*9.806</f>
        <v>-14.50629454958095</v>
      </c>
      <c r="I964" s="4">
        <f t="shared" si="60"/>
        <v>25.777777777777775</v>
      </c>
    </row>
    <row r="965" spans="1:9" x14ac:dyDescent="0.2">
      <c r="A965" s="11">
        <v>92.9</v>
      </c>
      <c r="B965" s="15">
        <v>3.133</v>
      </c>
      <c r="C965" s="11">
        <f t="shared" si="61"/>
        <v>12038.905258364006</v>
      </c>
      <c r="D965" s="11">
        <f t="shared" si="58"/>
        <v>-765.32203710812144</v>
      </c>
      <c r="E965" s="11">
        <f t="shared" si="59"/>
        <v>-2224.2944027900189</v>
      </c>
      <c r="F965" s="11">
        <f>'Speed Calc'!B$5*E965</f>
        <v>-2001.864962511017</v>
      </c>
      <c r="G965" s="15">
        <f>'Speed Calc'!G$3+'Speed Calc'!G$5*A965^2</f>
        <v>20</v>
      </c>
      <c r="H965" s="7">
        <f>(F965-G965)/'Speed Calc'!G$2*9.806</f>
        <v>-14.686228016580024</v>
      </c>
      <c r="I965" s="4">
        <f t="shared" si="60"/>
        <v>25.805555555555557</v>
      </c>
    </row>
    <row r="966" spans="1:9" x14ac:dyDescent="0.2">
      <c r="A966" s="11">
        <v>93</v>
      </c>
      <c r="B966" s="15">
        <v>3.133</v>
      </c>
      <c r="C966" s="11">
        <f t="shared" si="61"/>
        <v>12051.864252183555</v>
      </c>
      <c r="D966" s="11">
        <f t="shared" si="58"/>
        <v>-775.6828531102683</v>
      </c>
      <c r="E966" s="11">
        <f t="shared" si="59"/>
        <v>-2251.9824767717464</v>
      </c>
      <c r="F966" s="11">
        <f>'Speed Calc'!B$5*E966</f>
        <v>-2026.7842290945719</v>
      </c>
      <c r="G966" s="15">
        <f>'Speed Calc'!G$3+'Speed Calc'!G$5*A966^2</f>
        <v>20</v>
      </c>
      <c r="H966" s="7">
        <f>(F966-G966)/'Speed Calc'!G$2*9.806</f>
        <v>-14.867234185556569</v>
      </c>
      <c r="I966" s="4">
        <f t="shared" si="60"/>
        <v>25.833333333333332</v>
      </c>
    </row>
    <row r="967" spans="1:9" x14ac:dyDescent="0.2">
      <c r="A967" s="11">
        <v>93.1</v>
      </c>
      <c r="B967" s="15">
        <v>3.133</v>
      </c>
      <c r="C967" s="11">
        <f t="shared" si="61"/>
        <v>12064.823246003107</v>
      </c>
      <c r="D967" s="11">
        <f t="shared" si="58"/>
        <v>-786.12097092957674</v>
      </c>
      <c r="E967" s="11">
        <f t="shared" si="59"/>
        <v>-2279.8352540385149</v>
      </c>
      <c r="F967" s="11">
        <f>'Speed Calc'!B$5*E967</f>
        <v>-2051.8517286346637</v>
      </c>
      <c r="G967" s="15">
        <f>'Speed Calc'!G$3+'Speed Calc'!G$5*A967^2</f>
        <v>20</v>
      </c>
      <c r="H967" s="7">
        <f>(F967-G967)/'Speed Calc'!G$2*9.806</f>
        <v>-15.049317074808526</v>
      </c>
      <c r="I967" s="4">
        <f t="shared" si="60"/>
        <v>25.861111111111107</v>
      </c>
    </row>
    <row r="968" spans="1:9" x14ac:dyDescent="0.2">
      <c r="A968" s="11">
        <v>93.2</v>
      </c>
      <c r="B968" s="15">
        <v>3.133</v>
      </c>
      <c r="C968" s="11">
        <f t="shared" si="61"/>
        <v>12077.782239822662</v>
      </c>
      <c r="D968" s="11">
        <f t="shared" si="58"/>
        <v>-796.63678612756348</v>
      </c>
      <c r="E968" s="11">
        <f t="shared" si="59"/>
        <v>-2307.8533503695508</v>
      </c>
      <c r="F968" s="11">
        <f>'Speed Calc'!B$5*E968</f>
        <v>-2077.0680153325957</v>
      </c>
      <c r="G968" s="15">
        <f>'Speed Calc'!G$3+'Speed Calc'!G$5*A968^2</f>
        <v>20</v>
      </c>
      <c r="H968" s="7">
        <f>(F968-G968)/'Speed Calc'!G$2*9.806</f>
        <v>-15.23248070988995</v>
      </c>
      <c r="I968" s="4">
        <f t="shared" si="60"/>
        <v>25.888888888888889</v>
      </c>
    </row>
    <row r="969" spans="1:9" x14ac:dyDescent="0.2">
      <c r="A969" s="11">
        <v>93.3</v>
      </c>
      <c r="B969" s="15">
        <v>3.133</v>
      </c>
      <c r="C969" s="11">
        <f t="shared" si="61"/>
        <v>12090.741233642211</v>
      </c>
      <c r="D969" s="11">
        <f t="shared" si="58"/>
        <v>-807.23069556158373</v>
      </c>
      <c r="E969" s="11">
        <f t="shared" si="59"/>
        <v>-2336.0373826541013</v>
      </c>
      <c r="F969" s="11">
        <f>'Speed Calc'!B$5*E969</f>
        <v>-2102.4336443886914</v>
      </c>
      <c r="G969" s="15">
        <f>'Speed Calc'!G$3+'Speed Calc'!G$5*A969^2</f>
        <v>20</v>
      </c>
      <c r="H969" s="7">
        <f>(F969-G969)/'Speed Calc'!G$2*9.806</f>
        <v>-15.416729123611486</v>
      </c>
      <c r="I969" s="4">
        <f t="shared" si="60"/>
        <v>25.916666666666664</v>
      </c>
    </row>
    <row r="970" spans="1:9" x14ac:dyDescent="0.2">
      <c r="A970" s="11">
        <v>93.4</v>
      </c>
      <c r="B970" s="15">
        <v>3.133</v>
      </c>
      <c r="C970" s="11">
        <f t="shared" si="61"/>
        <v>12103.700227461764</v>
      </c>
      <c r="D970" s="11">
        <f t="shared" si="58"/>
        <v>-817.90309738689132</v>
      </c>
      <c r="E970" s="11">
        <f t="shared" si="59"/>
        <v>-2364.3879688914421</v>
      </c>
      <c r="F970" s="11">
        <f>'Speed Calc'!B$5*E970</f>
        <v>-2127.9491720022979</v>
      </c>
      <c r="G970" s="15">
        <f>'Speed Calc'!G$3+'Speed Calc'!G$5*A970^2</f>
        <v>20</v>
      </c>
      <c r="H970" s="7">
        <f>(F970-G970)/'Speed Calc'!G$2*9.806</f>
        <v>-15.602066356040392</v>
      </c>
      <c r="I970" s="4">
        <f t="shared" si="60"/>
        <v>25.944444444444446</v>
      </c>
    </row>
    <row r="971" spans="1:9" x14ac:dyDescent="0.2">
      <c r="A971" s="11">
        <v>93.5</v>
      </c>
      <c r="B971" s="15">
        <v>3.133</v>
      </c>
      <c r="C971" s="11">
        <f t="shared" si="61"/>
        <v>12116.659221281318</v>
      </c>
      <c r="D971" s="11">
        <f t="shared" si="58"/>
        <v>-828.65439105867483</v>
      </c>
      <c r="E971" s="11">
        <f t="shared" si="59"/>
        <v>-2392.9057281908258</v>
      </c>
      <c r="F971" s="11">
        <f>'Speed Calc'!B$5*E971</f>
        <v>-2153.6151553717432</v>
      </c>
      <c r="G971" s="15">
        <f>'Speed Calc'!G$3+'Speed Calc'!G$5*A971^2</f>
        <v>20</v>
      </c>
      <c r="H971" s="7">
        <f>(F971-G971)/'Speed Calc'!G$2*9.806</f>
        <v>-15.78849645450023</v>
      </c>
      <c r="I971" s="4">
        <f t="shared" si="60"/>
        <v>25.972222222222221</v>
      </c>
    </row>
    <row r="972" spans="1:9" x14ac:dyDescent="0.2">
      <c r="A972" s="11">
        <v>93.6</v>
      </c>
      <c r="B972" s="15">
        <v>3.133</v>
      </c>
      <c r="C972" s="11">
        <f t="shared" si="61"/>
        <v>12129.618215100869</v>
      </c>
      <c r="D972" s="11">
        <f t="shared" si="58"/>
        <v>-839.48497733413546</v>
      </c>
      <c r="E972" s="11">
        <f t="shared" si="59"/>
        <v>-2421.5912807715449</v>
      </c>
      <c r="F972" s="11">
        <f>'Speed Calc'!B$5*E972</f>
        <v>-2179.4321526943904</v>
      </c>
      <c r="G972" s="15">
        <f>'Speed Calc'!G$3+'Speed Calc'!G$5*A972^2</f>
        <v>20</v>
      </c>
      <c r="H972" s="7">
        <f>(F972-G972)/'Speed Calc'!G$2*9.806</f>
        <v>-15.976023473571251</v>
      </c>
      <c r="I972" s="4">
        <f t="shared" si="60"/>
        <v>25.999999999999996</v>
      </c>
    </row>
    <row r="973" spans="1:9" x14ac:dyDescent="0.2">
      <c r="A973" s="11">
        <v>93.7</v>
      </c>
      <c r="B973" s="15">
        <v>3.133</v>
      </c>
      <c r="C973" s="11">
        <f t="shared" si="61"/>
        <v>12142.577208920422</v>
      </c>
      <c r="D973" s="11">
        <f t="shared" si="58"/>
        <v>-850.39525827452167</v>
      </c>
      <c r="E973" s="11">
        <f t="shared" si="59"/>
        <v>-2450.445247962869</v>
      </c>
      <c r="F973" s="11">
        <f>'Speed Calc'!B$5*E973</f>
        <v>-2205.4007231665823</v>
      </c>
      <c r="G973" s="15">
        <f>'Speed Calc'!G$3+'Speed Calc'!G$5*A973^2</f>
        <v>20</v>
      </c>
      <c r="H973" s="7">
        <f>(F973-G973)/'Speed Calc'!G$2*9.806</f>
        <v>-16.164651475090004</v>
      </c>
      <c r="I973" s="4">
        <f t="shared" si="60"/>
        <v>26.027777777777779</v>
      </c>
    </row>
    <row r="974" spans="1:9" x14ac:dyDescent="0.2">
      <c r="A974" s="11">
        <v>93.8</v>
      </c>
      <c r="B974" s="15">
        <v>3.133</v>
      </c>
      <c r="C974" s="11">
        <f t="shared" si="61"/>
        <v>12155.536202739973</v>
      </c>
      <c r="D974" s="11">
        <f t="shared" si="58"/>
        <v>-861.38563724720166</v>
      </c>
      <c r="E974" s="11">
        <f t="shared" si="59"/>
        <v>-2479.4682522040985</v>
      </c>
      <c r="F974" s="11">
        <f>'Speed Calc'!B$5*E974</f>
        <v>-2231.5214269836888</v>
      </c>
      <c r="G974" s="15">
        <f>'Speed Calc'!G$3+'Speed Calc'!G$5*A974^2</f>
        <v>20</v>
      </c>
      <c r="H974" s="7">
        <f>(F974-G974)/'Speed Calc'!G$2*9.806</f>
        <v>-16.354384528149666</v>
      </c>
      <c r="I974" s="4">
        <f t="shared" si="60"/>
        <v>26.055555555555554</v>
      </c>
    </row>
    <row r="975" spans="1:9" x14ac:dyDescent="0.2">
      <c r="A975" s="11">
        <v>93.9</v>
      </c>
      <c r="B975" s="15">
        <v>3.133</v>
      </c>
      <c r="C975" s="11">
        <f t="shared" si="61"/>
        <v>12168.495196559528</v>
      </c>
      <c r="D975" s="11">
        <f t="shared" si="58"/>
        <v>-872.45651892771707</v>
      </c>
      <c r="E975" s="11">
        <f t="shared" si="59"/>
        <v>-2508.6609170445536</v>
      </c>
      <c r="F975" s="11">
        <f>'Speed Calc'!B$5*E975</f>
        <v>-2257.7948253400982</v>
      </c>
      <c r="G975" s="15">
        <f>'Speed Calc'!G$3+'Speed Calc'!G$5*A975^2</f>
        <v>20</v>
      </c>
      <c r="H975" s="7">
        <f>(F975-G975)/'Speed Calc'!G$2*9.806</f>
        <v>-16.5452267091</v>
      </c>
      <c r="I975" s="4">
        <f t="shared" si="60"/>
        <v>26.083333333333336</v>
      </c>
    </row>
    <row r="976" spans="1:9" x14ac:dyDescent="0.2">
      <c r="A976" s="11">
        <v>94</v>
      </c>
      <c r="B976" s="15">
        <v>3.133</v>
      </c>
      <c r="C976" s="11">
        <f t="shared" si="61"/>
        <v>12181.454190379078</v>
      </c>
      <c r="D976" s="11">
        <f t="shared" si="58"/>
        <v>-883.60830930181407</v>
      </c>
      <c r="E976" s="11">
        <f t="shared" si="59"/>
        <v>-2538.0238671435086</v>
      </c>
      <c r="F976" s="11">
        <f>'Speed Calc'!B$5*E976</f>
        <v>-2284.221480429158</v>
      </c>
      <c r="G976" s="15">
        <f>'Speed Calc'!G$3+'Speed Calc'!G$5*A976^2</f>
        <v>20</v>
      </c>
      <c r="H976" s="7">
        <f>(F976-G976)/'Speed Calc'!G$2*9.806</f>
        <v>-16.737182101546903</v>
      </c>
      <c r="I976" s="4">
        <f t="shared" si="60"/>
        <v>26.111111111111111</v>
      </c>
    </row>
    <row r="977" spans="1:9" x14ac:dyDescent="0.2">
      <c r="A977" s="11">
        <v>94.1</v>
      </c>
      <c r="B977" s="15">
        <v>3.133</v>
      </c>
      <c r="C977" s="11">
        <f t="shared" si="61"/>
        <v>12194.413184198631</v>
      </c>
      <c r="D977" s="11">
        <f t="shared" si="58"/>
        <v>-894.84141566754613</v>
      </c>
      <c r="E977" s="11">
        <f t="shared" si="59"/>
        <v>-2567.5577282703239</v>
      </c>
      <c r="F977" s="11">
        <f>'Speed Calc'!B$5*E977</f>
        <v>-2310.8019554432917</v>
      </c>
      <c r="G977" s="15">
        <f>'Speed Calc'!G$3+'Speed Calc'!G$5*A977^2</f>
        <v>20</v>
      </c>
      <c r="H977" s="7">
        <f>(F977-G977)/'Speed Calc'!G$2*9.806</f>
        <v>-16.930254796353271</v>
      </c>
      <c r="I977" s="4">
        <f t="shared" si="60"/>
        <v>26.138888888888886</v>
      </c>
    </row>
    <row r="978" spans="1:9" x14ac:dyDescent="0.2">
      <c r="A978" s="11">
        <v>94.2</v>
      </c>
      <c r="B978" s="15">
        <v>3.133</v>
      </c>
      <c r="C978" s="11">
        <f t="shared" si="61"/>
        <v>12207.372178018186</v>
      </c>
      <c r="D978" s="11">
        <f t="shared" si="58"/>
        <v>-906.15624663728556</v>
      </c>
      <c r="E978" s="11">
        <f t="shared" si="59"/>
        <v>-2597.2631273043212</v>
      </c>
      <c r="F978" s="11">
        <f>'Speed Calc'!B$5*E978</f>
        <v>-2337.5368145738889</v>
      </c>
      <c r="G978" s="15">
        <f>'Speed Calc'!G$3+'Speed Calc'!G$5*A978^2</f>
        <v>20</v>
      </c>
      <c r="H978" s="7">
        <f>(F978-G978)/'Speed Calc'!G$2*9.806</f>
        <v>-17.124448891638188</v>
      </c>
      <c r="I978" s="4">
        <f t="shared" si="60"/>
        <v>26.166666666666668</v>
      </c>
    </row>
    <row r="979" spans="1:9" x14ac:dyDescent="0.2">
      <c r="A979" s="11">
        <v>94.3</v>
      </c>
      <c r="B979" s="15">
        <v>3.133</v>
      </c>
      <c r="C979" s="11">
        <f t="shared" si="61"/>
        <v>12220.331171837734</v>
      </c>
      <c r="D979" s="11">
        <f t="shared" si="58"/>
        <v>-917.55321213978777</v>
      </c>
      <c r="E979" s="11">
        <f t="shared" si="59"/>
        <v>-2627.140692234811</v>
      </c>
      <c r="F979" s="11">
        <f>'Speed Calc'!B$5*E979</f>
        <v>-2364.4266230113299</v>
      </c>
      <c r="G979" s="15">
        <f>'Speed Calc'!G$3+'Speed Calc'!G$5*A979^2</f>
        <v>20</v>
      </c>
      <c r="H979" s="7">
        <f>(F979-G979)/'Speed Calc'!G$2*9.806</f>
        <v>-17.319768492777108</v>
      </c>
      <c r="I979" s="4">
        <f t="shared" si="60"/>
        <v>26.194444444444443</v>
      </c>
    </row>
    <row r="980" spans="1:9" x14ac:dyDescent="0.2">
      <c r="A980" s="11">
        <v>94.4</v>
      </c>
      <c r="B980" s="15">
        <v>3.133</v>
      </c>
      <c r="C980" s="11">
        <f t="shared" si="61"/>
        <v>12233.290165657287</v>
      </c>
      <c r="D980" s="11">
        <f t="shared" si="58"/>
        <v>-929.03272342227456</v>
      </c>
      <c r="E980" s="11">
        <f t="shared" si="59"/>
        <v>-2657.1910521611676</v>
      </c>
      <c r="F980" s="11">
        <f>'Speed Calc'!B$5*E980</f>
        <v>-2391.4719469450511</v>
      </c>
      <c r="G980" s="15">
        <f>'Speed Calc'!G$3+'Speed Calc'!G$5*A980^2</f>
        <v>20</v>
      </c>
      <c r="H980" s="7">
        <f>(F980-G980)/'Speed Calc'!G$2*9.806</f>
        <v>-17.516217712402348</v>
      </c>
      <c r="I980" s="4">
        <f t="shared" si="60"/>
        <v>26.222222222222221</v>
      </c>
    </row>
    <row r="981" spans="1:9" x14ac:dyDescent="0.2">
      <c r="A981" s="11">
        <v>94.5</v>
      </c>
      <c r="B981" s="15">
        <v>3.133</v>
      </c>
      <c r="C981" s="11">
        <f t="shared" si="61"/>
        <v>12246.24915947684</v>
      </c>
      <c r="D981" s="11">
        <f t="shared" si="58"/>
        <v>-940.59519305246113</v>
      </c>
      <c r="E981" s="11">
        <f t="shared" si="59"/>
        <v>-2687.4148372927461</v>
      </c>
      <c r="F981" s="11">
        <f>'Speed Calc'!B$5*E981</f>
        <v>-2418.6733535634717</v>
      </c>
      <c r="G981" s="15">
        <f>'Speed Calc'!G$3+'Speed Calc'!G$5*A981^2</f>
        <v>20</v>
      </c>
      <c r="H981" s="7">
        <f>(F981-G981)/'Speed Calc'!G$2*9.806</f>
        <v>-17.71380067040252</v>
      </c>
      <c r="I981" s="4">
        <f t="shared" si="60"/>
        <v>26.25</v>
      </c>
    </row>
    <row r="982" spans="1:9" x14ac:dyDescent="0.2">
      <c r="A982" s="11">
        <v>94.6</v>
      </c>
      <c r="B982" s="15">
        <v>3.133</v>
      </c>
      <c r="C982" s="11">
        <f t="shared" si="61"/>
        <v>12259.208153296389</v>
      </c>
      <c r="D982" s="11">
        <f t="shared" si="58"/>
        <v>-952.24103492061431</v>
      </c>
      <c r="E982" s="11">
        <f t="shared" si="59"/>
        <v>-2717.8126789488992</v>
      </c>
      <c r="F982" s="11">
        <f>'Speed Calc'!B$5*E982</f>
        <v>-2446.0314110540094</v>
      </c>
      <c r="G982" s="15">
        <f>'Speed Calc'!G$3+'Speed Calc'!G$5*A982^2</f>
        <v>20</v>
      </c>
      <c r="H982" s="7">
        <f>(F982-G982)/'Speed Calc'!G$2*9.806</f>
        <v>-17.912521493922675</v>
      </c>
      <c r="I982" s="4">
        <f t="shared" si="60"/>
        <v>26.277777777777775</v>
      </c>
    </row>
    <row r="983" spans="1:9" x14ac:dyDescent="0.2">
      <c r="A983" s="11">
        <v>94.7</v>
      </c>
      <c r="B983" s="15">
        <v>3.133</v>
      </c>
      <c r="C983" s="11">
        <f t="shared" si="61"/>
        <v>12272.167147115944</v>
      </c>
      <c r="D983" s="11">
        <f t="shared" si="58"/>
        <v>-963.97066424162449</v>
      </c>
      <c r="E983" s="11">
        <f t="shared" si="59"/>
        <v>-2748.3852095590141</v>
      </c>
      <c r="F983" s="11">
        <f>'Speed Calc'!B$5*E983</f>
        <v>-2473.5466886031127</v>
      </c>
      <c r="G983" s="15">
        <f>'Speed Calc'!G$3+'Speed Calc'!G$5*A983^2</f>
        <v>20</v>
      </c>
      <c r="H983" s="7">
        <f>(F983-G983)/'Speed Calc'!G$2*9.806</f>
        <v>-18.112384317364533</v>
      </c>
      <c r="I983" s="4">
        <f t="shared" si="60"/>
        <v>26.305555555555557</v>
      </c>
    </row>
    <row r="984" spans="1:9" x14ac:dyDescent="0.2">
      <c r="A984" s="11">
        <v>94.8</v>
      </c>
      <c r="B984" s="15">
        <v>3.133</v>
      </c>
      <c r="C984" s="11">
        <f t="shared" si="61"/>
        <v>12285.126140935497</v>
      </c>
      <c r="D984" s="11">
        <f t="shared" si="58"/>
        <v>-975.78449755703934</v>
      </c>
      <c r="E984" s="11">
        <f t="shared" si="59"/>
        <v>-2779.1330626624531</v>
      </c>
      <c r="F984" s="11">
        <f>'Speed Calc'!B$5*E984</f>
        <v>-2501.2197563962077</v>
      </c>
      <c r="G984" s="15">
        <f>'Speed Calc'!G$3+'Speed Calc'!G$5*A984^2</f>
        <v>20</v>
      </c>
      <c r="H984" s="7">
        <f>(F984-G984)/'Speed Calc'!G$2*9.806</f>
        <v>-18.31339328238608</v>
      </c>
      <c r="I984" s="4">
        <f t="shared" si="60"/>
        <v>26.333333333333332</v>
      </c>
    </row>
    <row r="985" spans="1:9" x14ac:dyDescent="0.2">
      <c r="A985" s="11">
        <v>94.9</v>
      </c>
      <c r="B985" s="15">
        <v>3.133</v>
      </c>
      <c r="C985" s="11">
        <f t="shared" si="61"/>
        <v>12298.085134755049</v>
      </c>
      <c r="D985" s="11">
        <f t="shared" si="58"/>
        <v>-987.68295273714114</v>
      </c>
      <c r="E985" s="11">
        <f t="shared" si="59"/>
        <v>-2810.0568729086203</v>
      </c>
      <c r="F985" s="11">
        <f>'Speed Calc'!B$5*E985</f>
        <v>-2529.0511856177582</v>
      </c>
      <c r="G985" s="15">
        <f>'Speed Calc'!G$3+'Speed Calc'!G$5*A985^2</f>
        <v>20</v>
      </c>
      <c r="H985" s="7">
        <f>(F985-G985)/'Speed Calc'!G$2*9.806</f>
        <v>-18.515552537902025</v>
      </c>
      <c r="I985" s="4">
        <f t="shared" si="60"/>
        <v>26.361111111111111</v>
      </c>
    </row>
    <row r="986" spans="1:9" x14ac:dyDescent="0.2">
      <c r="A986" s="11">
        <v>95</v>
      </c>
      <c r="B986" s="15">
        <v>3.133</v>
      </c>
      <c r="C986" s="11">
        <f t="shared" si="61"/>
        <v>12311.0441285746</v>
      </c>
      <c r="D986" s="11">
        <f t="shared" si="58"/>
        <v>-999.66644898298557</v>
      </c>
      <c r="E986" s="11">
        <f t="shared" si="59"/>
        <v>-2841.157276056907</v>
      </c>
      <c r="F986" s="11">
        <f>'Speed Calc'!B$5*E986</f>
        <v>-2557.0415484512164</v>
      </c>
      <c r="G986" s="15">
        <f>'Speed Calc'!G$3+'Speed Calc'!G$5*A986^2</f>
        <v>20</v>
      </c>
      <c r="H986" s="7">
        <f>(F986-G986)/'Speed Calc'!G$2*9.806</f>
        <v>-18.718866240083425</v>
      </c>
      <c r="I986" s="4">
        <f t="shared" si="60"/>
        <v>26.388888888888889</v>
      </c>
    </row>
    <row r="987" spans="1:9" x14ac:dyDescent="0.2">
      <c r="A987" s="11">
        <v>95.1</v>
      </c>
      <c r="B987" s="15">
        <v>3.133</v>
      </c>
      <c r="C987" s="11">
        <f t="shared" si="61"/>
        <v>12324.00312239415</v>
      </c>
      <c r="D987" s="11">
        <f t="shared" si="58"/>
        <v>-1011.7354068284692</v>
      </c>
      <c r="E987" s="11">
        <f t="shared" si="59"/>
        <v>-2872.4349089767265</v>
      </c>
      <c r="F987" s="11">
        <f>'Speed Calc'!B$5*E987</f>
        <v>-2585.1914180790541</v>
      </c>
      <c r="G987" s="15">
        <f>'Speed Calc'!G$3+'Speed Calc'!G$5*A987^2</f>
        <v>20</v>
      </c>
      <c r="H987" s="7">
        <f>(F987-G987)/'Speed Calc'!G$2*9.806</f>
        <v>-18.923338552357926</v>
      </c>
      <c r="I987" s="4">
        <f t="shared" si="60"/>
        <v>26.416666666666664</v>
      </c>
    </row>
    <row r="988" spans="1:9" x14ac:dyDescent="0.2">
      <c r="A988" s="11">
        <v>95.2</v>
      </c>
      <c r="B988" s="15">
        <v>3.133</v>
      </c>
      <c r="C988" s="11">
        <f t="shared" si="61"/>
        <v>12336.962116213705</v>
      </c>
      <c r="D988" s="11">
        <f t="shared" si="58"/>
        <v>-1023.8902481423763</v>
      </c>
      <c r="E988" s="11">
        <f t="shared" si="59"/>
        <v>-2903.8904096474953</v>
      </c>
      <c r="F988" s="11">
        <f>'Speed Calc'!B$5*E988</f>
        <v>-2613.501368682746</v>
      </c>
      <c r="G988" s="15">
        <f>'Speed Calc'!G$3+'Speed Calc'!G$5*A988^2</f>
        <v>20</v>
      </c>
      <c r="H988" s="7">
        <f>(F988-G988)/'Speed Calc'!G$2*9.806</f>
        <v>-19.128973645409634</v>
      </c>
      <c r="I988" s="4">
        <f t="shared" si="60"/>
        <v>26.444444444444443</v>
      </c>
    </row>
    <row r="989" spans="1:9" x14ac:dyDescent="0.2">
      <c r="A989" s="11">
        <v>95.3</v>
      </c>
      <c r="B989" s="15">
        <v>3.133</v>
      </c>
      <c r="C989" s="11">
        <f t="shared" si="61"/>
        <v>12349.921110033258</v>
      </c>
      <c r="D989" s="11">
        <f t="shared" si="58"/>
        <v>-1036.1313961304397</v>
      </c>
      <c r="E989" s="11">
        <f t="shared" si="59"/>
        <v>-2935.5244171586428</v>
      </c>
      <c r="F989" s="11">
        <f>'Speed Calc'!B$5*E989</f>
        <v>-2641.9719754427788</v>
      </c>
      <c r="G989" s="15">
        <f>'Speed Calc'!G$3+'Speed Calc'!G$5*A989^2</f>
        <v>20</v>
      </c>
      <c r="H989" s="7">
        <f>(F989-G989)/'Speed Calc'!G$2*9.806</f>
        <v>-19.335775697179177</v>
      </c>
      <c r="I989" s="4">
        <f t="shared" si="60"/>
        <v>26.472222222222221</v>
      </c>
    </row>
    <row r="990" spans="1:9" x14ac:dyDescent="0.2">
      <c r="A990" s="11">
        <v>95.4</v>
      </c>
      <c r="B990" s="15">
        <v>3.133</v>
      </c>
      <c r="C990" s="11">
        <f t="shared" si="61"/>
        <v>12362.880103852811</v>
      </c>
      <c r="D990" s="11">
        <f t="shared" si="58"/>
        <v>-1048.4592753373852</v>
      </c>
      <c r="E990" s="11">
        <f t="shared" si="59"/>
        <v>-2967.3375717095796</v>
      </c>
      <c r="F990" s="11">
        <f>'Speed Calc'!B$5*E990</f>
        <v>-2670.6038145386219</v>
      </c>
      <c r="G990" s="15">
        <f>'Speed Calc'!G$3+'Speed Calc'!G$5*A990^2</f>
        <v>20</v>
      </c>
      <c r="H990" s="7">
        <f>(F990-G990)/'Speed Calc'!G$2*9.806</f>
        <v>-19.543748892863498</v>
      </c>
      <c r="I990" s="4">
        <f t="shared" si="60"/>
        <v>26.5</v>
      </c>
    </row>
    <row r="991" spans="1:9" x14ac:dyDescent="0.2">
      <c r="A991" s="11">
        <v>95.5</v>
      </c>
      <c r="B991" s="15">
        <v>3.133</v>
      </c>
      <c r="C991" s="11">
        <f t="shared" si="61"/>
        <v>12375.83909767236</v>
      </c>
      <c r="D991" s="11">
        <f t="shared" si="58"/>
        <v>-1060.8743116490125</v>
      </c>
      <c r="E991" s="11">
        <f t="shared" si="59"/>
        <v>-2999.3305146097741</v>
      </c>
      <c r="F991" s="11">
        <f>'Speed Calc'!B$5*E991</f>
        <v>-2699.3974631487968</v>
      </c>
      <c r="G991" s="15">
        <f>'Speed Calc'!G$3+'Speed Calc'!G$5*A991^2</f>
        <v>20</v>
      </c>
      <c r="H991" s="7">
        <f>(F991-G991)/'Speed Calc'!G$2*9.806</f>
        <v>-19.75289742491637</v>
      </c>
      <c r="I991" s="4">
        <f t="shared" si="60"/>
        <v>26.527777777777779</v>
      </c>
    </row>
    <row r="992" spans="1:9" x14ac:dyDescent="0.2">
      <c r="A992" s="11">
        <v>95.6</v>
      </c>
      <c r="B992" s="15">
        <v>3.133</v>
      </c>
      <c r="C992" s="11">
        <f t="shared" si="61"/>
        <v>12388.798091491914</v>
      </c>
      <c r="D992" s="11">
        <f t="shared" si="58"/>
        <v>-1073.3769322942276</v>
      </c>
      <c r="E992" s="11">
        <f t="shared" si="59"/>
        <v>-3031.5038882786762</v>
      </c>
      <c r="F992" s="11">
        <f>'Speed Calc'!B$5*E992</f>
        <v>-2728.3534994508086</v>
      </c>
      <c r="G992" s="15">
        <f>'Speed Calc'!G$3+'Speed Calc'!G$5*A992^2</f>
        <v>20</v>
      </c>
      <c r="H992" s="7">
        <f>(F992-G992)/'Speed Calc'!G$2*9.806</f>
        <v>-19.963225493047869</v>
      </c>
      <c r="I992" s="4">
        <f t="shared" si="60"/>
        <v>26.555555555555554</v>
      </c>
    </row>
    <row r="993" spans="1:9" x14ac:dyDescent="0.2">
      <c r="A993" s="11">
        <v>95.7</v>
      </c>
      <c r="B993" s="15">
        <v>3.133</v>
      </c>
      <c r="C993" s="11">
        <f t="shared" si="61"/>
        <v>12401.757085311467</v>
      </c>
      <c r="D993" s="11">
        <f t="shared" si="58"/>
        <v>-1085.967565847096</v>
      </c>
      <c r="E993" s="11">
        <f t="shared" si="59"/>
        <v>-3063.8583362457252</v>
      </c>
      <c r="F993" s="11">
        <f>'Speed Calc'!B$5*E993</f>
        <v>-2757.4725026211527</v>
      </c>
      <c r="G993" s="15">
        <f>'Speed Calc'!G$3+'Speed Calc'!G$5*A993^2</f>
        <v>20</v>
      </c>
      <c r="H993" s="7">
        <f>(F993-G993)/'Speed Calc'!G$2*9.806</f>
        <v>-20.174737304224461</v>
      </c>
      <c r="I993" s="4">
        <f t="shared" si="60"/>
        <v>26.583333333333332</v>
      </c>
    </row>
    <row r="994" spans="1:9" x14ac:dyDescent="0.2">
      <c r="A994" s="11">
        <v>95.8</v>
      </c>
      <c r="B994" s="15">
        <v>3.133</v>
      </c>
      <c r="C994" s="11">
        <f t="shared" si="61"/>
        <v>12414.716079131016</v>
      </c>
      <c r="D994" s="11">
        <f t="shared" si="58"/>
        <v>-1098.6466422289195</v>
      </c>
      <c r="E994" s="11">
        <f t="shared" si="59"/>
        <v>-3096.3945031504004</v>
      </c>
      <c r="F994" s="11">
        <f>'Speed Calc'!B$5*E994</f>
        <v>-2786.7550528353604</v>
      </c>
      <c r="G994" s="15">
        <f>'Speed Calc'!G$3+'Speed Calc'!G$5*A994^2</f>
        <v>20</v>
      </c>
      <c r="H994" s="7">
        <f>(F994-G994)/'Speed Calc'!G$2*9.806</f>
        <v>-20.38743707266929</v>
      </c>
      <c r="I994" s="4">
        <f t="shared" si="60"/>
        <v>26.611111111111111</v>
      </c>
    </row>
    <row r="995" spans="1:9" x14ac:dyDescent="0.2">
      <c r="A995" s="11">
        <v>95.9</v>
      </c>
      <c r="B995" s="15">
        <v>3.133</v>
      </c>
      <c r="C995" s="11">
        <f t="shared" si="61"/>
        <v>12427.675072950571</v>
      </c>
      <c r="D995" s="11">
        <f t="shared" si="58"/>
        <v>-1111.4145927102818</v>
      </c>
      <c r="E995" s="11">
        <f t="shared" si="59"/>
        <v>-3129.1130347421899</v>
      </c>
      <c r="F995" s="11">
        <f>'Speed Calc'!B$5*E995</f>
        <v>-2816.2017312679709</v>
      </c>
      <c r="G995" s="15">
        <f>'Speed Calc'!G$3+'Speed Calc'!G$5*A995^2</f>
        <v>20</v>
      </c>
      <c r="H995" s="7">
        <f>(F995-G995)/'Speed Calc'!G$2*9.806</f>
        <v>-20.601329019862014</v>
      </c>
      <c r="I995" s="4">
        <f t="shared" si="60"/>
        <v>26.638888888888889</v>
      </c>
    </row>
    <row r="996" spans="1:9" x14ac:dyDescent="0.2">
      <c r="A996" s="11">
        <v>96</v>
      </c>
      <c r="B996" s="15">
        <v>3.133</v>
      </c>
      <c r="C996" s="11">
        <f t="shared" si="61"/>
        <v>12440.634066770124</v>
      </c>
      <c r="D996" s="11">
        <f t="shared" si="58"/>
        <v>-1124.2718499130892</v>
      </c>
      <c r="E996" s="11">
        <f t="shared" si="59"/>
        <v>-3162.0145778805627</v>
      </c>
      <c r="F996" s="11">
        <f>'Speed Calc'!B$5*E996</f>
        <v>-2845.8131200925063</v>
      </c>
      <c r="G996" s="15">
        <f>'Speed Calc'!G$3+'Speed Calc'!G$5*A996^2</f>
        <v>20</v>
      </c>
      <c r="H996" s="7">
        <f>(F996-G996)/'Speed Calc'!G$2*9.806</f>
        <v>-20.816417374538602</v>
      </c>
      <c r="I996" s="4">
        <f t="shared" si="60"/>
        <v>26.666666666666664</v>
      </c>
    </row>
    <row r="997" spans="1:9" x14ac:dyDescent="0.2">
      <c r="A997" s="11">
        <v>96.1</v>
      </c>
      <c r="B997" s="15">
        <v>3.133</v>
      </c>
      <c r="C997" s="11">
        <f t="shared" si="61"/>
        <v>12453.593060589674</v>
      </c>
      <c r="D997" s="11">
        <f t="shared" ref="D997:D1060" si="62">-4.687*10^(-17)*C997^5+9.129*10^(-13)*C997^4-6.175*10^(-9)*C997^3+1.799*10^(-5)*C997^2+6.502*10^(-3)*C997</f>
        <v>-1137.2188478126473</v>
      </c>
      <c r="E997" s="11">
        <f t="shared" si="59"/>
        <v>-3195.0997805350139</v>
      </c>
      <c r="F997" s="11">
        <f>'Speed Calc'!B$5*E997</f>
        <v>-2875.5898024815124</v>
      </c>
      <c r="G997" s="15">
        <f>'Speed Calc'!G$3+'Speed Calc'!G$5*A997^2</f>
        <v>20</v>
      </c>
      <c r="H997" s="7">
        <f>(F997-G997)/'Speed Calc'!G$2*9.806</f>
        <v>-21.032706372691639</v>
      </c>
      <c r="I997" s="4">
        <f t="shared" si="60"/>
        <v>26.694444444444443</v>
      </c>
    </row>
    <row r="998" spans="1:9" x14ac:dyDescent="0.2">
      <c r="A998" s="11">
        <v>96.2</v>
      </c>
      <c r="B998" s="15">
        <v>3.133</v>
      </c>
      <c r="C998" s="11">
        <f t="shared" si="61"/>
        <v>12466.552054409227</v>
      </c>
      <c r="D998" s="11">
        <f t="shared" si="62"/>
        <v>-1150.2560217397145</v>
      </c>
      <c r="E998" s="11">
        <f t="shared" ref="E998:E1061" si="63">D998*75*B998*B$31*B$32/B$23/C998/2/PI()*60</f>
        <v>-3228.3692917850613</v>
      </c>
      <c r="F998" s="11">
        <f>'Speed Calc'!B$5*E998</f>
        <v>-2905.5323626065551</v>
      </c>
      <c r="G998" s="15">
        <f>'Speed Calc'!G$3+'Speed Calc'!G$5*A998^2</f>
        <v>20</v>
      </c>
      <c r="H998" s="7">
        <f>(F998-G998)/'Speed Calc'!G$2*9.806</f>
        <v>-21.250200257570278</v>
      </c>
      <c r="I998" s="4">
        <f t="shared" ref="I998:I1061" si="64">A998/3.6</f>
        <v>26.722222222222221</v>
      </c>
    </row>
    <row r="999" spans="1:9" x14ac:dyDescent="0.2">
      <c r="A999" s="11">
        <v>96.3</v>
      </c>
      <c r="B999" s="15">
        <v>3.133</v>
      </c>
      <c r="C999" s="11">
        <f t="shared" si="61"/>
        <v>12479.51104822878</v>
      </c>
      <c r="D999" s="11">
        <f t="shared" si="62"/>
        <v>-1163.3838083825422</v>
      </c>
      <c r="E999" s="11">
        <f t="shared" si="63"/>
        <v>-3261.8237618202106</v>
      </c>
      <c r="F999" s="11">
        <f>'Speed Calc'!B$5*E999</f>
        <v>-2935.6413856381896</v>
      </c>
      <c r="G999" s="15">
        <f>'Speed Calc'!G$3+'Speed Calc'!G$5*A999^2</f>
        <v>20</v>
      </c>
      <c r="H999" s="7">
        <f>(F999-G999)/'Speed Calc'!G$2*9.806</f>
        <v>-21.468903279680063</v>
      </c>
      <c r="I999" s="4">
        <f t="shared" si="64"/>
        <v>26.75</v>
      </c>
    </row>
    <row r="1000" spans="1:9" x14ac:dyDescent="0.2">
      <c r="A1000" s="11">
        <v>96.4</v>
      </c>
      <c r="B1000" s="15">
        <v>3.133</v>
      </c>
      <c r="C1000" s="11">
        <f t="shared" si="61"/>
        <v>12492.470042048331</v>
      </c>
      <c r="D1000" s="11">
        <f t="shared" si="62"/>
        <v>-1176.6026457889432</v>
      </c>
      <c r="E1000" s="11">
        <f t="shared" si="63"/>
        <v>-3295.4638419399867</v>
      </c>
      <c r="F1000" s="11">
        <f>'Speed Calc'!B$5*E1000</f>
        <v>-2965.917457745988</v>
      </c>
      <c r="G1000" s="15">
        <f>'Speed Calc'!G$3+'Speed Calc'!G$5*A1000^2</f>
        <v>20</v>
      </c>
      <c r="H1000" s="7">
        <f>(F1000-G1000)/'Speed Calc'!G$2*9.806</f>
        <v>-21.688819696783082</v>
      </c>
      <c r="I1000" s="4">
        <f t="shared" si="64"/>
        <v>26.777777777777779</v>
      </c>
    </row>
    <row r="1001" spans="1:9" x14ac:dyDescent="0.2">
      <c r="A1001" s="11">
        <v>96.5</v>
      </c>
      <c r="B1001" s="15">
        <v>3.133</v>
      </c>
      <c r="C1001" s="11">
        <f t="shared" si="61"/>
        <v>12505.429035867885</v>
      </c>
      <c r="D1001" s="11">
        <f t="shared" si="62"/>
        <v>-1189.9129733683378</v>
      </c>
      <c r="E1001" s="11">
        <f t="shared" si="63"/>
        <v>-3329.2901845538981</v>
      </c>
      <c r="F1001" s="11">
        <f>'Speed Calc'!B$5*E1001</f>
        <v>-2996.3611660985084</v>
      </c>
      <c r="G1001" s="15">
        <f>'Speed Calc'!G$3+'Speed Calc'!G$5*A1001^2</f>
        <v>20</v>
      </c>
      <c r="H1001" s="7">
        <f>(F1001-G1001)/'Speed Calc'!G$2*9.806</f>
        <v>-21.909953773897755</v>
      </c>
      <c r="I1001" s="4">
        <f t="shared" si="64"/>
        <v>26.805555555555554</v>
      </c>
    </row>
    <row r="1002" spans="1:9" x14ac:dyDescent="0.2">
      <c r="A1002" s="11">
        <v>96.6</v>
      </c>
      <c r="B1002" s="15">
        <v>3.133</v>
      </c>
      <c r="C1002" s="11">
        <f t="shared" si="61"/>
        <v>12518.388029687438</v>
      </c>
      <c r="D1002" s="11">
        <f t="shared" si="62"/>
        <v>-1203.3152318938239</v>
      </c>
      <c r="E1002" s="11">
        <f t="shared" si="63"/>
        <v>-3363.3034431814949</v>
      </c>
      <c r="F1002" s="11">
        <f>'Speed Calc'!B$5*E1002</f>
        <v>-3026.9730988633455</v>
      </c>
      <c r="G1002" s="15">
        <f>'Speed Calc'!G$3+'Speed Calc'!G$5*A1002^2</f>
        <v>20</v>
      </c>
      <c r="H1002" s="7">
        <f>(F1002-G1002)/'Speed Calc'!G$2*9.806</f>
        <v>-22.132309783299231</v>
      </c>
      <c r="I1002" s="4">
        <f t="shared" si="64"/>
        <v>26.833333333333332</v>
      </c>
    </row>
    <row r="1003" spans="1:9" x14ac:dyDescent="0.2">
      <c r="A1003" s="11">
        <v>96.7</v>
      </c>
      <c r="B1003" s="15">
        <v>3.133</v>
      </c>
      <c r="C1003" s="11">
        <f t="shared" ref="C1003:C1066" si="65">A1003/3.6/B$23/2/PI()*B$32*B$31*B1003*60</f>
        <v>12531.347023506987</v>
      </c>
      <c r="D1003" s="11">
        <f t="shared" si="62"/>
        <v>-1216.8098635042245</v>
      </c>
      <c r="E1003" s="11">
        <f t="shared" si="63"/>
        <v>-3397.5042724523328</v>
      </c>
      <c r="F1003" s="11">
        <f>'Speed Calc'!B$5*E1003</f>
        <v>-3057.7538452070994</v>
      </c>
      <c r="G1003" s="15">
        <f>'Speed Calc'!G$3+'Speed Calc'!G$5*A1003^2</f>
        <v>20</v>
      </c>
      <c r="H1003" s="7">
        <f>(F1003-G1003)/'Speed Calc'!G$2*9.806</f>
        <v>-22.35589200451912</v>
      </c>
      <c r="I1003" s="4">
        <f t="shared" si="64"/>
        <v>26.861111111111111</v>
      </c>
    </row>
    <row r="1004" spans="1:9" x14ac:dyDescent="0.2">
      <c r="A1004" s="11">
        <v>96.8</v>
      </c>
      <c r="B1004" s="15">
        <v>3.133</v>
      </c>
      <c r="C1004" s="11">
        <f t="shared" si="65"/>
        <v>12544.306017326537</v>
      </c>
      <c r="D1004" s="11">
        <f t="shared" si="62"/>
        <v>-1230.3973117061312</v>
      </c>
      <c r="E1004" s="11">
        <f t="shared" si="63"/>
        <v>-3431.8933281059458</v>
      </c>
      <c r="F1004" s="11">
        <f>'Speed Calc'!B$5*E1004</f>
        <v>-3088.7039952953514</v>
      </c>
      <c r="G1004" s="15">
        <f>'Speed Calc'!G$3+'Speed Calc'!G$5*A1004^2</f>
        <v>20</v>
      </c>
      <c r="H1004" s="7">
        <f>(F1004-G1004)/'Speed Calc'!G$2*9.806</f>
        <v>-22.580704724345345</v>
      </c>
      <c r="I1004" s="4">
        <f t="shared" si="64"/>
        <v>26.888888888888886</v>
      </c>
    </row>
    <row r="1005" spans="1:9" x14ac:dyDescent="0.2">
      <c r="A1005" s="11">
        <v>96.9</v>
      </c>
      <c r="B1005" s="15">
        <v>3.133</v>
      </c>
      <c r="C1005" s="11">
        <f t="shared" si="65"/>
        <v>12557.265011146093</v>
      </c>
      <c r="D1005" s="11">
        <f t="shared" si="62"/>
        <v>-1244.0780213759961</v>
      </c>
      <c r="E1005" s="11">
        <f t="shared" si="63"/>
        <v>-3466.4712669919395</v>
      </c>
      <c r="F1005" s="11">
        <f>'Speed Calc'!B$5*E1005</f>
        <v>-3119.8241402927456</v>
      </c>
      <c r="G1005" s="15">
        <f>'Speed Calc'!G$3+'Speed Calc'!G$5*A1005^2</f>
        <v>20</v>
      </c>
      <c r="H1005" s="7">
        <f>(F1005-G1005)/'Speed Calc'!G$2*9.806</f>
        <v>-22.80675223682271</v>
      </c>
      <c r="I1005" s="4">
        <f t="shared" si="64"/>
        <v>26.916666666666668</v>
      </c>
    </row>
    <row r="1006" spans="1:9" x14ac:dyDescent="0.2">
      <c r="A1006" s="11">
        <v>97</v>
      </c>
      <c r="B1006" s="15">
        <v>3.133</v>
      </c>
      <c r="C1006" s="11">
        <f t="shared" si="65"/>
        <v>12570.224004965643</v>
      </c>
      <c r="D1006" s="11">
        <f t="shared" si="62"/>
        <v>-1257.8524387621246</v>
      </c>
      <c r="E1006" s="11">
        <f t="shared" si="63"/>
        <v>-3501.2387470698327</v>
      </c>
      <c r="F1006" s="11">
        <f>'Speed Calc'!B$5*E1006</f>
        <v>-3151.1148723628494</v>
      </c>
      <c r="G1006" s="15">
        <f>'Speed Calc'!G$3+'Speed Calc'!G$5*A1006^2</f>
        <v>20</v>
      </c>
      <c r="H1006" s="7">
        <f>(F1006-G1006)/'Speed Calc'!G$2*9.806</f>
        <v>-23.034038843251924</v>
      </c>
      <c r="I1006" s="4">
        <f t="shared" si="64"/>
        <v>26.944444444444443</v>
      </c>
    </row>
    <row r="1007" spans="1:9" x14ac:dyDescent="0.2">
      <c r="A1007" s="11">
        <v>97.1</v>
      </c>
      <c r="B1007" s="15">
        <v>3.133</v>
      </c>
      <c r="C1007" s="11">
        <f t="shared" si="65"/>
        <v>12583.182998785198</v>
      </c>
      <c r="D1007" s="11">
        <f t="shared" si="62"/>
        <v>-1271.7210114868094</v>
      </c>
      <c r="E1007" s="11">
        <f t="shared" si="63"/>
        <v>-3536.1964274092543</v>
      </c>
      <c r="F1007" s="11">
        <f>'Speed Calc'!B$5*E1007</f>
        <v>-3182.5767846683289</v>
      </c>
      <c r="G1007" s="15">
        <f>'Speed Calc'!G$3+'Speed Calc'!G$5*A1007^2</f>
        <v>20</v>
      </c>
      <c r="H1007" s="7">
        <f>(F1007-G1007)/'Speed Calc'!G$2*9.806</f>
        <v>-23.262568852190835</v>
      </c>
      <c r="I1007" s="4">
        <f t="shared" si="64"/>
        <v>26.972222222222221</v>
      </c>
    </row>
    <row r="1008" spans="1:9" x14ac:dyDescent="0.2">
      <c r="A1008" s="11">
        <v>97.2</v>
      </c>
      <c r="B1008" s="15">
        <v>3.133</v>
      </c>
      <c r="C1008" s="11">
        <f t="shared" si="65"/>
        <v>12596.141992604751</v>
      </c>
      <c r="D1008" s="11">
        <f t="shared" si="62"/>
        <v>-1285.6841885483118</v>
      </c>
      <c r="E1008" s="11">
        <f t="shared" si="63"/>
        <v>-3571.3449681897541</v>
      </c>
      <c r="F1008" s="11">
        <f>'Speed Calc'!B$5*E1008</f>
        <v>-3214.2104713707786</v>
      </c>
      <c r="G1008" s="15">
        <f>'Speed Calc'!G$3+'Speed Calc'!G$5*A1008^2</f>
        <v>20</v>
      </c>
      <c r="H1008" s="7">
        <f>(F1008-G1008)/'Speed Calc'!G$2*9.806</f>
        <v>-23.492346579453223</v>
      </c>
      <c r="I1008" s="4">
        <f t="shared" si="64"/>
        <v>27</v>
      </c>
    </row>
    <row r="1009" spans="1:9" x14ac:dyDescent="0.2">
      <c r="A1009" s="11">
        <v>97.3</v>
      </c>
      <c r="B1009" s="15">
        <v>3.133</v>
      </c>
      <c r="C1009" s="11">
        <f t="shared" si="65"/>
        <v>12609.100986424301</v>
      </c>
      <c r="D1009" s="11">
        <f t="shared" si="62"/>
        <v>-1299.7424203229684</v>
      </c>
      <c r="E1009" s="11">
        <f t="shared" si="63"/>
        <v>-3606.6850307009408</v>
      </c>
      <c r="F1009" s="11">
        <f>'Speed Calc'!B$5*E1009</f>
        <v>-3246.0165276308467</v>
      </c>
      <c r="G1009" s="15">
        <f>'Speed Calc'!G$3+'Speed Calc'!G$5*A1009^2</f>
        <v>20</v>
      </c>
      <c r="H1009" s="7">
        <f>(F1009-G1009)/'Speed Calc'!G$2*9.806</f>
        <v>-23.723376348109689</v>
      </c>
      <c r="I1009" s="4">
        <f t="shared" si="64"/>
        <v>27.027777777777775</v>
      </c>
    </row>
    <row r="1010" spans="1:9" x14ac:dyDescent="0.2">
      <c r="A1010" s="11">
        <v>97.4</v>
      </c>
      <c r="B1010" s="15">
        <v>3.133</v>
      </c>
      <c r="C1010" s="11">
        <f t="shared" si="65"/>
        <v>12622.059980243854</v>
      </c>
      <c r="D1010" s="11">
        <f t="shared" si="62"/>
        <v>-1313.8961585672396</v>
      </c>
      <c r="E1010" s="11">
        <f t="shared" si="63"/>
        <v>-3642.2172773424509</v>
      </c>
      <c r="F1010" s="11">
        <f>'Speed Calc'!B$5*E1010</f>
        <v>-3277.9955496082057</v>
      </c>
      <c r="G1010" s="15">
        <f>'Speed Calc'!G$3+'Speed Calc'!G$5*A1010^2</f>
        <v>20</v>
      </c>
      <c r="H1010" s="7">
        <f>(F1010-G1010)/'Speed Calc'!G$2*9.806</f>
        <v>-23.955662488487455</v>
      </c>
      <c r="I1010" s="4">
        <f t="shared" si="64"/>
        <v>27.055555555555557</v>
      </c>
    </row>
    <row r="1011" spans="1:9" x14ac:dyDescent="0.2">
      <c r="A1011" s="11">
        <v>97.5</v>
      </c>
      <c r="B1011" s="15">
        <v>3.133</v>
      </c>
      <c r="C1011" s="11">
        <f t="shared" si="65"/>
        <v>12635.018974063403</v>
      </c>
      <c r="D1011" s="11">
        <f t="shared" si="62"/>
        <v>-1328.1458564197264</v>
      </c>
      <c r="E1011" s="11">
        <f t="shared" si="63"/>
        <v>-3677.942371623858</v>
      </c>
      <c r="F1011" s="11">
        <f>'Speed Calc'!B$5*E1011</f>
        <v>-3310.1481344614722</v>
      </c>
      <c r="G1011" s="15">
        <f>'Speed Calc'!G$3+'Speed Calc'!G$5*A1011^2</f>
        <v>20</v>
      </c>
      <c r="H1011" s="7">
        <f>(F1011-G1011)/'Speed Calc'!G$2*9.806</f>
        <v>-24.189209338169771</v>
      </c>
      <c r="I1011" s="4">
        <f t="shared" si="64"/>
        <v>27.083333333333332</v>
      </c>
    </row>
    <row r="1012" spans="1:9" x14ac:dyDescent="0.2">
      <c r="A1012" s="11">
        <v>97.6</v>
      </c>
      <c r="B1012" s="15">
        <v>3.133</v>
      </c>
      <c r="C1012" s="11">
        <f t="shared" si="65"/>
        <v>12647.977967882955</v>
      </c>
      <c r="D1012" s="11">
        <f t="shared" si="62"/>
        <v>-1342.491968403282</v>
      </c>
      <c r="E1012" s="11">
        <f t="shared" si="63"/>
        <v>-3713.8609781648188</v>
      </c>
      <c r="F1012" s="11">
        <f>'Speed Calc'!B$5*E1012</f>
        <v>-3342.4748803483371</v>
      </c>
      <c r="G1012" s="15">
        <f>'Speed Calc'!G$3+'Speed Calc'!G$5*A1012^2</f>
        <v>20</v>
      </c>
      <c r="H1012" s="7">
        <f>(F1012-G1012)/'Speed Calc'!G$2*9.806</f>
        <v>-24.424021241996883</v>
      </c>
      <c r="I1012" s="4">
        <f t="shared" si="64"/>
        <v>27.111111111111107</v>
      </c>
    </row>
    <row r="1013" spans="1:9" x14ac:dyDescent="0.2">
      <c r="A1013" s="11">
        <v>97.7</v>
      </c>
      <c r="B1013" s="15">
        <v>3.133</v>
      </c>
      <c r="C1013" s="11">
        <f t="shared" si="65"/>
        <v>12660.936961702511</v>
      </c>
      <c r="D1013" s="11">
        <f t="shared" si="62"/>
        <v>-1356.9349504270267</v>
      </c>
      <c r="E1013" s="11">
        <f t="shared" si="63"/>
        <v>-3749.9737626949554</v>
      </c>
      <c r="F1013" s="11">
        <f>'Speed Calc'!B$5*E1013</f>
        <v>-3374.9763864254601</v>
      </c>
      <c r="G1013" s="15">
        <f>'Speed Calc'!G$3+'Speed Calc'!G$5*A1013^2</f>
        <v>20</v>
      </c>
      <c r="H1013" s="7">
        <f>(F1013-G1013)/'Speed Calc'!G$2*9.806</f>
        <v>-24.660102552065229</v>
      </c>
      <c r="I1013" s="4">
        <f t="shared" si="64"/>
        <v>27.138888888888889</v>
      </c>
    </row>
    <row r="1014" spans="1:9" x14ac:dyDescent="0.2">
      <c r="A1014" s="11">
        <v>97.8</v>
      </c>
      <c r="B1014" s="15">
        <v>3.133</v>
      </c>
      <c r="C1014" s="11">
        <f t="shared" si="65"/>
        <v>12673.895955522064</v>
      </c>
      <c r="D1014" s="11">
        <f t="shared" si="62"/>
        <v>-1371.4752597884144</v>
      </c>
      <c r="E1014" s="11">
        <f t="shared" si="63"/>
        <v>-3786.2813920539038</v>
      </c>
      <c r="F1014" s="11">
        <f>'Speed Calc'!B$5*E1014</f>
        <v>-3407.6532528485136</v>
      </c>
      <c r="G1014" s="15">
        <f>'Speed Calc'!G$3+'Speed Calc'!G$5*A1014^2</f>
        <v>20</v>
      </c>
      <c r="H1014" s="7">
        <f>(F1014-G1014)/'Speed Calc'!G$2*9.806</f>
        <v>-24.897457627727793</v>
      </c>
      <c r="I1014" s="4">
        <f t="shared" si="64"/>
        <v>27.166666666666664</v>
      </c>
    </row>
    <row r="1015" spans="1:9" x14ac:dyDescent="0.2">
      <c r="A1015" s="11">
        <v>97.9</v>
      </c>
      <c r="B1015" s="15">
        <v>3.133</v>
      </c>
      <c r="C1015" s="11">
        <f t="shared" si="65"/>
        <v>12686.854949341614</v>
      </c>
      <c r="D1015" s="11">
        <f t="shared" si="62"/>
        <v>-1386.1133551752976</v>
      </c>
      <c r="E1015" s="11">
        <f t="shared" si="63"/>
        <v>-3822.7845341913207</v>
      </c>
      <c r="F1015" s="11">
        <f>'Speed Calc'!B$5*E1015</f>
        <v>-3440.5060807721889</v>
      </c>
      <c r="G1015" s="15">
        <f>'Speed Calc'!G$3+'Speed Calc'!G$5*A1015^2</f>
        <v>20</v>
      </c>
      <c r="H1015" s="7">
        <f>(F1015-G1015)/'Speed Calc'!G$2*9.806</f>
        <v>-25.136090835594132</v>
      </c>
      <c r="I1015" s="4">
        <f t="shared" si="64"/>
        <v>27.194444444444446</v>
      </c>
    </row>
    <row r="1016" spans="1:9" x14ac:dyDescent="0.2">
      <c r="A1016" s="11">
        <v>98</v>
      </c>
      <c r="B1016" s="15">
        <v>3.133</v>
      </c>
      <c r="C1016" s="11">
        <f t="shared" si="65"/>
        <v>12699.813943161167</v>
      </c>
      <c r="D1016" s="11">
        <f t="shared" si="62"/>
        <v>-1400.8496966679729</v>
      </c>
      <c r="E1016" s="11">
        <f t="shared" si="63"/>
        <v>-3859.4838581668637</v>
      </c>
      <c r="F1016" s="11">
        <f>'Speed Calc'!B$5*E1016</f>
        <v>-3473.5354723501773</v>
      </c>
      <c r="G1016" s="15">
        <f>'Speed Calc'!G$3+'Speed Calc'!G$5*A1016^2</f>
        <v>20</v>
      </c>
      <c r="H1016" s="7">
        <f>(F1016-G1016)/'Speed Calc'!G$2*9.806</f>
        <v>-25.376006549530249</v>
      </c>
      <c r="I1016" s="4">
        <f t="shared" si="64"/>
        <v>27.222222222222221</v>
      </c>
    </row>
    <row r="1017" spans="1:9" x14ac:dyDescent="0.2">
      <c r="A1017" s="11">
        <v>98.1</v>
      </c>
      <c r="B1017" s="15">
        <v>3.133</v>
      </c>
      <c r="C1017" s="11">
        <f t="shared" si="65"/>
        <v>12712.772936980717</v>
      </c>
      <c r="D1017" s="11">
        <f t="shared" si="62"/>
        <v>-1415.6847457412421</v>
      </c>
      <c r="E1017" s="11">
        <f t="shared" si="63"/>
        <v>-3896.3800341502083</v>
      </c>
      <c r="F1017" s="11">
        <f>'Speed Calc'!B$5*E1017</f>
        <v>-3506.7420307351877</v>
      </c>
      <c r="G1017" s="15">
        <f>'Speed Calc'!G$3+'Speed Calc'!G$5*A1017^2</f>
        <v>20</v>
      </c>
      <c r="H1017" s="7">
        <f>(F1017-G1017)/'Speed Calc'!G$2*9.806</f>
        <v>-25.617209150658702</v>
      </c>
      <c r="I1017" s="4">
        <f t="shared" si="64"/>
        <v>27.249999999999996</v>
      </c>
    </row>
    <row r="1018" spans="1:9" x14ac:dyDescent="0.2">
      <c r="A1018" s="11">
        <v>98.2</v>
      </c>
      <c r="B1018" s="15">
        <v>3.133</v>
      </c>
      <c r="C1018" s="11">
        <f t="shared" si="65"/>
        <v>12725.73193080027</v>
      </c>
      <c r="D1018" s="11">
        <f t="shared" si="62"/>
        <v>-1430.6189652664568</v>
      </c>
      <c r="E1018" s="11">
        <f t="shared" si="63"/>
        <v>-3933.4737334210117</v>
      </c>
      <c r="F1018" s="11">
        <f>'Speed Calc'!B$5*E1018</f>
        <v>-3540.1263600789107</v>
      </c>
      <c r="G1018" s="15">
        <f>'Speed Calc'!G$3+'Speed Calc'!G$5*A1018^2</f>
        <v>20</v>
      </c>
      <c r="H1018" s="7">
        <f>(F1018-G1018)/'Speed Calc'!G$2*9.806</f>
        <v>-25.859703027358364</v>
      </c>
      <c r="I1018" s="4">
        <f t="shared" si="64"/>
        <v>27.277777777777779</v>
      </c>
    </row>
    <row r="1019" spans="1:9" x14ac:dyDescent="0.2">
      <c r="A1019" s="11">
        <v>98.3</v>
      </c>
      <c r="B1019" s="15">
        <v>3.133</v>
      </c>
      <c r="C1019" s="11">
        <f t="shared" si="65"/>
        <v>12738.690924619825</v>
      </c>
      <c r="D1019" s="11">
        <f t="shared" si="62"/>
        <v>-1445.6528195136</v>
      </c>
      <c r="E1019" s="11">
        <f t="shared" si="63"/>
        <v>-3970.7656283689926</v>
      </c>
      <c r="F1019" s="11">
        <f>'Speed Calc'!B$5*E1019</f>
        <v>-3573.6890655320935</v>
      </c>
      <c r="G1019" s="15">
        <f>'Speed Calc'!G$3+'Speed Calc'!G$5*A1019^2</f>
        <v>20</v>
      </c>
      <c r="H1019" s="7">
        <f>(F1019-G1019)/'Speed Calc'!G$2*9.806</f>
        <v>-26.103492575264966</v>
      </c>
      <c r="I1019" s="4">
        <f t="shared" si="64"/>
        <v>27.305555555555554</v>
      </c>
    </row>
    <row r="1020" spans="1:9" x14ac:dyDescent="0.2">
      <c r="A1020" s="11">
        <v>98.4</v>
      </c>
      <c r="B1020" s="15">
        <v>3.133</v>
      </c>
      <c r="C1020" s="11">
        <f t="shared" si="65"/>
        <v>12751.649918439378</v>
      </c>
      <c r="D1020" s="11">
        <f t="shared" si="62"/>
        <v>-1460.7867741533016</v>
      </c>
      <c r="E1020" s="11">
        <f t="shared" si="63"/>
        <v>-4008.2563924938145</v>
      </c>
      <c r="F1020" s="11">
        <f>'Speed Calc'!B$5*E1020</f>
        <v>-3607.4307532444332</v>
      </c>
      <c r="G1020" s="15">
        <f>'Speed Calc'!G$3+'Speed Calc'!G$5*A1020^2</f>
        <v>20</v>
      </c>
      <c r="H1020" s="7">
        <f>(F1020-G1020)/'Speed Calc'!G$2*9.806</f>
        <v>-26.348582197270304</v>
      </c>
      <c r="I1020" s="4">
        <f t="shared" si="64"/>
        <v>27.333333333333336</v>
      </c>
    </row>
    <row r="1021" spans="1:9" x14ac:dyDescent="0.2">
      <c r="A1021" s="11">
        <v>98.5</v>
      </c>
      <c r="B1021" s="15">
        <v>3.133</v>
      </c>
      <c r="C1021" s="11">
        <f t="shared" si="65"/>
        <v>12764.608912258927</v>
      </c>
      <c r="D1021" s="11">
        <f t="shared" si="62"/>
        <v>-1476.0212962589244</v>
      </c>
      <c r="E1021" s="11">
        <f t="shared" si="63"/>
        <v>-4045.946700405173</v>
      </c>
      <c r="F1021" s="11">
        <f>'Speed Calc'!B$5*E1021</f>
        <v>-3641.352030364656</v>
      </c>
      <c r="G1021" s="15">
        <f>'Speed Calc'!G$3+'Speed Calc'!G$5*A1021^2</f>
        <v>20</v>
      </c>
      <c r="H1021" s="7">
        <f>(F1021-G1021)/'Speed Calc'!G$2*9.806</f>
        <v>-26.594976303522824</v>
      </c>
      <c r="I1021" s="4">
        <f t="shared" si="64"/>
        <v>27.361111111111111</v>
      </c>
    </row>
    <row r="1022" spans="1:9" x14ac:dyDescent="0.2">
      <c r="A1022" s="11">
        <v>98.6</v>
      </c>
      <c r="B1022" s="15">
        <v>3.133</v>
      </c>
      <c r="C1022" s="11">
        <f t="shared" si="65"/>
        <v>12777.567906078477</v>
      </c>
      <c r="D1022" s="11">
        <f t="shared" si="62"/>
        <v>-1491.3568543086208</v>
      </c>
      <c r="E1022" s="11">
        <f t="shared" si="63"/>
        <v>-4083.8372278227966</v>
      </c>
      <c r="F1022" s="11">
        <f>'Speed Calc'!B$5*E1022</f>
        <v>-3675.453505040517</v>
      </c>
      <c r="G1022" s="15">
        <f>'Speed Calc'!G$3+'Speed Calc'!G$5*A1022^2</f>
        <v>20</v>
      </c>
      <c r="H1022" s="7">
        <f>(F1022-G1022)/'Speed Calc'!G$2*9.806</f>
        <v>-26.842679311427634</v>
      </c>
      <c r="I1022" s="4">
        <f t="shared" si="64"/>
        <v>27.388888888888886</v>
      </c>
    </row>
    <row r="1023" spans="1:9" x14ac:dyDescent="0.2">
      <c r="A1023" s="11">
        <v>98.7</v>
      </c>
      <c r="B1023" s="15">
        <v>3.133</v>
      </c>
      <c r="C1023" s="11">
        <f t="shared" si="65"/>
        <v>12790.52689989803</v>
      </c>
      <c r="D1023" s="11">
        <f t="shared" si="62"/>
        <v>-1506.7939181873812</v>
      </c>
      <c r="E1023" s="11">
        <f t="shared" si="63"/>
        <v>-4121.9286515764243</v>
      </c>
      <c r="F1023" s="11">
        <f>'Speed Calc'!B$5*E1023</f>
        <v>-3709.735786418782</v>
      </c>
      <c r="G1023" s="15">
        <f>'Speed Calc'!G$3+'Speed Calc'!G$5*A1023^2</f>
        <v>20</v>
      </c>
      <c r="H1023" s="7">
        <f>(F1023-G1023)/'Speed Calc'!G$2*9.806</f>
        <v>-27.091695645646354</v>
      </c>
      <c r="I1023" s="4">
        <f t="shared" si="64"/>
        <v>27.416666666666668</v>
      </c>
    </row>
    <row r="1024" spans="1:9" x14ac:dyDescent="0.2">
      <c r="A1024" s="11">
        <v>98.8</v>
      </c>
      <c r="B1024" s="15">
        <v>3.133</v>
      </c>
      <c r="C1024" s="11">
        <f t="shared" si="65"/>
        <v>12803.485893717581</v>
      </c>
      <c r="D1024" s="11">
        <f t="shared" si="62"/>
        <v>-1522.3329591890683</v>
      </c>
      <c r="E1024" s="11">
        <f t="shared" si="63"/>
        <v>-4160.2216496057545</v>
      </c>
      <c r="F1024" s="11">
        <f>'Speed Calc'!B$5*E1024</f>
        <v>-3744.1994846451789</v>
      </c>
      <c r="G1024" s="15">
        <f>'Speed Calc'!G$3+'Speed Calc'!G$5*A1024^2</f>
        <v>20</v>
      </c>
      <c r="H1024" s="7">
        <f>(F1024-G1024)/'Speed Calc'!G$2*9.806</f>
        <v>-27.342029738096759</v>
      </c>
      <c r="I1024" s="4">
        <f t="shared" si="64"/>
        <v>27.444444444444443</v>
      </c>
    </row>
    <row r="1025" spans="1:9" x14ac:dyDescent="0.2">
      <c r="A1025" s="11">
        <v>98.9</v>
      </c>
      <c r="B1025" s="15">
        <v>3.133</v>
      </c>
      <c r="C1025" s="11">
        <f t="shared" si="65"/>
        <v>12816.444887537138</v>
      </c>
      <c r="D1025" s="11">
        <f t="shared" si="62"/>
        <v>-1537.9744500185138</v>
      </c>
      <c r="E1025" s="11">
        <f t="shared" si="63"/>
        <v>-4198.7169009605532</v>
      </c>
      <c r="F1025" s="11">
        <f>'Speed Calc'!B$5*E1025</f>
        <v>-3778.8452108644979</v>
      </c>
      <c r="G1025" s="15">
        <f>'Speed Calc'!G$3+'Speed Calc'!G$5*A1025^2</f>
        <v>20</v>
      </c>
      <c r="H1025" s="7">
        <f>(F1025-G1025)/'Speed Calc'!G$2*9.806</f>
        <v>-27.593686027953527</v>
      </c>
      <c r="I1025" s="4">
        <f t="shared" si="64"/>
        <v>27.472222222222221</v>
      </c>
    </row>
    <row r="1026" spans="1:9" x14ac:dyDescent="0.2">
      <c r="A1026" s="11">
        <v>99</v>
      </c>
      <c r="B1026" s="15">
        <v>3.133</v>
      </c>
      <c r="C1026" s="11">
        <f t="shared" si="65"/>
        <v>12829.403881356691</v>
      </c>
      <c r="D1026" s="11">
        <f t="shared" si="62"/>
        <v>-1553.7188647935286</v>
      </c>
      <c r="E1026" s="11">
        <f t="shared" si="63"/>
        <v>-4237.4150858005314</v>
      </c>
      <c r="F1026" s="11">
        <f>'Speed Calc'!B$5*E1026</f>
        <v>-3813.6735772204784</v>
      </c>
      <c r="G1026" s="15">
        <f>'Speed Calc'!G$3+'Speed Calc'!G$5*A1026^2</f>
        <v>20</v>
      </c>
      <c r="H1026" s="7">
        <f>(F1026-G1026)/'Speed Calc'!G$2*9.806</f>
        <v>-27.846668961647413</v>
      </c>
      <c r="I1026" s="4">
        <f t="shared" si="64"/>
        <v>27.5</v>
      </c>
    </row>
    <row r="1027" spans="1:9" x14ac:dyDescent="0.2">
      <c r="A1027" s="11">
        <v>99.1</v>
      </c>
      <c r="B1027" s="15">
        <v>3.133</v>
      </c>
      <c r="C1027" s="11">
        <f t="shared" si="65"/>
        <v>12842.362875176237</v>
      </c>
      <c r="D1027" s="11">
        <f t="shared" si="62"/>
        <v>-1569.5666790469941</v>
      </c>
      <c r="E1027" s="11">
        <f t="shared" si="63"/>
        <v>-4276.3168853954448</v>
      </c>
      <c r="F1027" s="11">
        <f>'Speed Calc'!B$5*E1027</f>
        <v>-3848.6851968559004</v>
      </c>
      <c r="G1027" s="15">
        <f>'Speed Calc'!G$3+'Speed Calc'!G$5*A1027^2</f>
        <v>20</v>
      </c>
      <c r="H1027" s="7">
        <f>(F1027-G1027)/'Speed Calc'!G$2*9.806</f>
        <v>-28.100982992865895</v>
      </c>
      <c r="I1027" s="4">
        <f t="shared" si="64"/>
        <v>27.527777777777775</v>
      </c>
    </row>
    <row r="1028" spans="1:9" x14ac:dyDescent="0.2">
      <c r="A1028" s="11">
        <v>99.2</v>
      </c>
      <c r="B1028" s="15">
        <v>3.133</v>
      </c>
      <c r="C1028" s="11">
        <f t="shared" si="65"/>
        <v>12855.321868995794</v>
      </c>
      <c r="D1028" s="11">
        <f t="shared" si="62"/>
        <v>-1585.5183697289299</v>
      </c>
      <c r="E1028" s="11">
        <f t="shared" si="63"/>
        <v>-4315.4229821251101</v>
      </c>
      <c r="F1028" s="11">
        <f>'Speed Calc'!B$5*E1028</f>
        <v>-3883.8806839125991</v>
      </c>
      <c r="G1028" s="15">
        <f>'Speed Calc'!G$3+'Speed Calc'!G$5*A1028^2</f>
        <v>20</v>
      </c>
      <c r="H1028" s="7">
        <f>(F1028-G1028)/'Speed Calc'!G$2*9.806</f>
        <v>-28.356632582553292</v>
      </c>
      <c r="I1028" s="4">
        <f t="shared" si="64"/>
        <v>27.555555555555557</v>
      </c>
    </row>
    <row r="1029" spans="1:9" x14ac:dyDescent="0.2">
      <c r="A1029" s="11">
        <v>99.3</v>
      </c>
      <c r="B1029" s="15">
        <v>3.133</v>
      </c>
      <c r="C1029" s="11">
        <f t="shared" si="65"/>
        <v>12868.280862815343</v>
      </c>
      <c r="D1029" s="11">
        <f t="shared" si="62"/>
        <v>-1601.5744152084733</v>
      </c>
      <c r="E1029" s="11">
        <f t="shared" si="63"/>
        <v>-4354.7340594792331</v>
      </c>
      <c r="F1029" s="11">
        <f>'Speed Calc'!B$5*E1029</f>
        <v>-3919.2606535313098</v>
      </c>
      <c r="G1029" s="15">
        <f>'Speed Calc'!G$3+'Speed Calc'!G$5*A1029^2</f>
        <v>20</v>
      </c>
      <c r="H1029" s="7">
        <f>(F1029-G1029)/'Speed Calc'!G$2*9.806</f>
        <v>-28.613622198909646</v>
      </c>
      <c r="I1029" s="4">
        <f t="shared" si="64"/>
        <v>27.583333333333332</v>
      </c>
    </row>
    <row r="1030" spans="1:9" x14ac:dyDescent="0.2">
      <c r="A1030" s="11">
        <v>99.4</v>
      </c>
      <c r="B1030" s="15">
        <v>3.133</v>
      </c>
      <c r="C1030" s="11">
        <f t="shared" si="65"/>
        <v>12881.239856634897</v>
      </c>
      <c r="D1030" s="11">
        <f t="shared" si="62"/>
        <v>-1617.7352952760309</v>
      </c>
      <c r="E1030" s="11">
        <f t="shared" si="63"/>
        <v>-4394.2508020576288</v>
      </c>
      <c r="F1030" s="11">
        <f>'Speed Calc'!B$5*E1030</f>
        <v>-3954.8257218518661</v>
      </c>
      <c r="G1030" s="15">
        <f>'Speed Calc'!G$3+'Speed Calc'!G$5*A1030^2</f>
        <v>20</v>
      </c>
      <c r="H1030" s="7">
        <f>(F1030-G1030)/'Speed Calc'!G$2*9.806</f>
        <v>-28.871956317392144</v>
      </c>
      <c r="I1030" s="4">
        <f t="shared" si="64"/>
        <v>27.611111111111111</v>
      </c>
    </row>
    <row r="1031" spans="1:9" x14ac:dyDescent="0.2">
      <c r="A1031" s="11">
        <v>99.5</v>
      </c>
      <c r="B1031" s="15">
        <v>3.133</v>
      </c>
      <c r="C1031" s="11">
        <f t="shared" si="65"/>
        <v>12894.198850454452</v>
      </c>
      <c r="D1031" s="11">
        <f t="shared" si="62"/>
        <v>-1634.0014911452774</v>
      </c>
      <c r="E1031" s="11">
        <f t="shared" si="63"/>
        <v>-4433.9738955700996</v>
      </c>
      <c r="F1031" s="11">
        <f>'Speed Calc'!B$5*E1031</f>
        <v>-3990.5765060130898</v>
      </c>
      <c r="G1031" s="15">
        <f>'Speed Calc'!G$3+'Speed Calc'!G$5*A1031^2</f>
        <v>20</v>
      </c>
      <c r="H1031" s="7">
        <f>(F1031-G1031)/'Speed Calc'!G$2*9.806</f>
        <v>-29.13163942071434</v>
      </c>
      <c r="I1031" s="4">
        <f t="shared" si="64"/>
        <v>27.638888888888889</v>
      </c>
    </row>
    <row r="1032" spans="1:9" x14ac:dyDescent="0.2">
      <c r="A1032" s="11">
        <v>99.6</v>
      </c>
      <c r="B1032" s="15">
        <v>3.133</v>
      </c>
      <c r="C1032" s="11">
        <f t="shared" si="65"/>
        <v>12907.157844274005</v>
      </c>
      <c r="D1032" s="11">
        <f t="shared" si="62"/>
        <v>-1650.3734854552083</v>
      </c>
      <c r="E1032" s="11">
        <f t="shared" si="63"/>
        <v>-4473.904026836407</v>
      </c>
      <c r="F1032" s="11">
        <f>'Speed Calc'!B$5*E1032</f>
        <v>-4026.5136241527662</v>
      </c>
      <c r="G1032" s="15">
        <f>'Speed Calc'!G$3+'Speed Calc'!G$5*A1032^2</f>
        <v>20</v>
      </c>
      <c r="H1032" s="7">
        <f>(F1032-G1032)/'Speed Calc'!G$2*9.806</f>
        <v>-29.392675998845942</v>
      </c>
      <c r="I1032" s="4">
        <f t="shared" si="64"/>
        <v>27.666666666666664</v>
      </c>
    </row>
    <row r="1033" spans="1:9" x14ac:dyDescent="0.2">
      <c r="A1033" s="11">
        <v>99.7</v>
      </c>
      <c r="B1033" s="15">
        <v>3.133</v>
      </c>
      <c r="C1033" s="11">
        <f t="shared" si="65"/>
        <v>12920.116838093554</v>
      </c>
      <c r="D1033" s="11">
        <f t="shared" si="62"/>
        <v>-1666.8517622722259</v>
      </c>
      <c r="E1033" s="11">
        <f t="shared" si="63"/>
        <v>-4514.041883786369</v>
      </c>
      <c r="F1033" s="11">
        <f>'Speed Calc'!B$5*E1033</f>
        <v>-4062.6376954077323</v>
      </c>
      <c r="G1033" s="15">
        <f>'Speed Calc'!G$3+'Speed Calc'!G$5*A1033^2</f>
        <v>20</v>
      </c>
      <c r="H1033" s="7">
        <f>(F1033-G1033)/'Speed Calc'!G$2*9.806</f>
        <v>-29.655070549013498</v>
      </c>
      <c r="I1033" s="4">
        <f t="shared" si="64"/>
        <v>27.694444444444443</v>
      </c>
    </row>
    <row r="1034" spans="1:9" x14ac:dyDescent="0.2">
      <c r="A1034" s="11">
        <v>99.8</v>
      </c>
      <c r="B1034" s="15">
        <v>3.133</v>
      </c>
      <c r="C1034" s="11">
        <f t="shared" si="65"/>
        <v>12933.075831913107</v>
      </c>
      <c r="D1034" s="11">
        <f t="shared" si="62"/>
        <v>-1683.4368070921862</v>
      </c>
      <c r="E1034" s="11">
        <f t="shared" si="63"/>
        <v>-4554.388155459822</v>
      </c>
      <c r="F1034" s="11">
        <f>'Speed Calc'!B$5*E1034</f>
        <v>-4098.94933991384</v>
      </c>
      <c r="G1034" s="15">
        <f>'Speed Calc'!G$3+'Speed Calc'!G$5*A1034^2</f>
        <v>20</v>
      </c>
      <c r="H1034" s="7">
        <f>(F1034-G1034)/'Speed Calc'!G$2*9.806</f>
        <v>-29.918827575700085</v>
      </c>
      <c r="I1034" s="4">
        <f t="shared" si="64"/>
        <v>27.722222222222221</v>
      </c>
    </row>
    <row r="1035" spans="1:9" x14ac:dyDescent="0.2">
      <c r="A1035" s="11">
        <v>99.9</v>
      </c>
      <c r="B1035" s="15">
        <v>3.133</v>
      </c>
      <c r="C1035" s="11">
        <f t="shared" si="65"/>
        <v>12946.034825732657</v>
      </c>
      <c r="D1035" s="11">
        <f t="shared" si="62"/>
        <v>-1700.1291068424298</v>
      </c>
      <c r="E1035" s="11">
        <f t="shared" si="63"/>
        <v>-4594.9435320065677</v>
      </c>
      <c r="F1035" s="11">
        <f>'Speed Calc'!B$5*E1035</f>
        <v>-4135.4491788059113</v>
      </c>
      <c r="G1035" s="15">
        <f>'Speed Calc'!G$3+'Speed Calc'!G$5*A1035^2</f>
        <v>20</v>
      </c>
      <c r="H1035" s="7">
        <f>(F1035-G1035)/'Speed Calc'!G$2*9.806</f>
        <v>-30.183951590645009</v>
      </c>
      <c r="I1035" s="4">
        <f t="shared" si="64"/>
        <v>27.75</v>
      </c>
    </row>
    <row r="1036" spans="1:9" x14ac:dyDescent="0.2">
      <c r="A1036" s="11">
        <v>100</v>
      </c>
      <c r="B1036" s="15">
        <v>3.133</v>
      </c>
      <c r="C1036" s="11">
        <f t="shared" si="65"/>
        <v>12958.993819552214</v>
      </c>
      <c r="D1036" s="11">
        <f t="shared" si="62"/>
        <v>-1716.9291498838747</v>
      </c>
      <c r="E1036" s="11">
        <f t="shared" si="63"/>
        <v>-4635.7087046864608</v>
      </c>
      <c r="F1036" s="11">
        <f>'Speed Calc'!B$5*E1036</f>
        <v>-4172.137834217815</v>
      </c>
      <c r="G1036" s="15">
        <f>'Speed Calc'!G$3+'Speed Calc'!G$5*A1036^2</f>
        <v>20</v>
      </c>
      <c r="H1036" s="7">
        <f>(F1036-G1036)/'Speed Calc'!G$2*9.806</f>
        <v>-30.450447112844362</v>
      </c>
      <c r="I1036" s="4">
        <f t="shared" si="64"/>
        <v>27.777777777777779</v>
      </c>
    </row>
    <row r="1037" spans="1:9" x14ac:dyDescent="0.2">
      <c r="A1037" s="11">
        <v>100.1</v>
      </c>
      <c r="B1037" s="15">
        <v>3.133</v>
      </c>
      <c r="C1037" s="11">
        <f t="shared" si="65"/>
        <v>12971.952813371765</v>
      </c>
      <c r="D1037" s="11">
        <f t="shared" si="62"/>
        <v>-1733.8374260130313</v>
      </c>
      <c r="E1037" s="11">
        <f t="shared" si="63"/>
        <v>-4676.6843658693142</v>
      </c>
      <c r="F1037" s="11">
        <f>'Speed Calc'!B$5*E1037</f>
        <v>-4209.0159292823828</v>
      </c>
      <c r="G1037" s="15">
        <f>'Speed Calc'!G$3+'Speed Calc'!G$5*A1037^2</f>
        <v>20</v>
      </c>
      <c r="H1037" s="7">
        <f>(F1037-G1037)/'Speed Calc'!G$2*9.806</f>
        <v>-30.718318668550403</v>
      </c>
      <c r="I1037" s="4">
        <f t="shared" si="64"/>
        <v>27.805555555555554</v>
      </c>
    </row>
    <row r="1038" spans="1:9" x14ac:dyDescent="0.2">
      <c r="A1038" s="11">
        <v>100.2</v>
      </c>
      <c r="B1038" s="15">
        <v>3.133</v>
      </c>
      <c r="C1038" s="11">
        <f t="shared" si="65"/>
        <v>12984.911807191318</v>
      </c>
      <c r="D1038" s="11">
        <f t="shared" si="62"/>
        <v>-1750.8544264641014</v>
      </c>
      <c r="E1038" s="11">
        <f t="shared" si="63"/>
        <v>-4717.8712090350036</v>
      </c>
      <c r="F1038" s="11">
        <f>'Speed Calc'!B$5*E1038</f>
        <v>-4246.0840881315034</v>
      </c>
      <c r="G1038" s="15">
        <f>'Speed Calc'!G$3+'Speed Calc'!G$5*A1038^2</f>
        <v>20</v>
      </c>
      <c r="H1038" s="7">
        <f>(F1038-G1038)/'Speed Calc'!G$2*9.806</f>
        <v>-30.987570791272233</v>
      </c>
      <c r="I1038" s="4">
        <f t="shared" si="64"/>
        <v>27.833333333333332</v>
      </c>
    </row>
    <row r="1039" spans="1:9" x14ac:dyDescent="0.2">
      <c r="A1039" s="11">
        <v>100.3</v>
      </c>
      <c r="B1039" s="15">
        <v>3.133</v>
      </c>
      <c r="C1039" s="11">
        <f t="shared" si="65"/>
        <v>12997.870801010868</v>
      </c>
      <c r="D1039" s="11">
        <f t="shared" si="62"/>
        <v>-1767.9806439109921</v>
      </c>
      <c r="E1039" s="11">
        <f t="shared" si="63"/>
        <v>-4759.2699287733585</v>
      </c>
      <c r="F1039" s="11">
        <f>'Speed Calc'!B$5*E1039</f>
        <v>-4283.3429358960229</v>
      </c>
      <c r="G1039" s="15">
        <f>'Speed Calc'!G$3+'Speed Calc'!G$5*A1039^2</f>
        <v>20</v>
      </c>
      <c r="H1039" s="7">
        <f>(F1039-G1039)/'Speed Calc'!G$2*9.806</f>
        <v>-31.258208021775111</v>
      </c>
      <c r="I1039" s="4">
        <f t="shared" si="64"/>
        <v>27.861111111111111</v>
      </c>
    </row>
    <row r="1040" spans="1:9" x14ac:dyDescent="0.2">
      <c r="A1040" s="11">
        <v>100.4</v>
      </c>
      <c r="B1040" s="15">
        <v>3.133</v>
      </c>
      <c r="C1040" s="11">
        <f t="shared" si="65"/>
        <v>13010.829794830421</v>
      </c>
      <c r="D1040" s="11">
        <f t="shared" si="62"/>
        <v>-1785.2165724694137</v>
      </c>
      <c r="E1040" s="11">
        <f t="shared" si="63"/>
        <v>-4800.8812207842793</v>
      </c>
      <c r="F1040" s="11">
        <f>'Speed Calc'!B$5*E1040</f>
        <v>-4320.7930987058517</v>
      </c>
      <c r="G1040" s="15">
        <f>'Speed Calc'!G$3+'Speed Calc'!G$5*A1040^2</f>
        <v>20</v>
      </c>
      <c r="H1040" s="7">
        <f>(F1040-G1040)/'Speed Calc'!G$2*9.806</f>
        <v>-31.530234908081166</v>
      </c>
      <c r="I1040" s="4">
        <f t="shared" si="64"/>
        <v>27.888888888888889</v>
      </c>
    </row>
    <row r="1041" spans="1:9" x14ac:dyDescent="0.2">
      <c r="A1041" s="11">
        <v>100.5</v>
      </c>
      <c r="B1041" s="15">
        <v>3.133</v>
      </c>
      <c r="C1041" s="11">
        <f t="shared" si="65"/>
        <v>13023.78878864997</v>
      </c>
      <c r="D1041" s="11">
        <f t="shared" si="62"/>
        <v>-1802.562707698894</v>
      </c>
      <c r="E1041" s="11">
        <f t="shared" si="63"/>
        <v>-4842.7057818776266</v>
      </c>
      <c r="F1041" s="11">
        <f>'Speed Calc'!B$5*E1041</f>
        <v>-4358.4352036898645</v>
      </c>
      <c r="G1041" s="15">
        <f>'Speed Calc'!G$3+'Speed Calc'!G$5*A1041^2</f>
        <v>20</v>
      </c>
      <c r="H1041" s="7">
        <f>(F1041-G1041)/'Speed Calc'!G$2*9.806</f>
        <v>-31.803656005468746</v>
      </c>
      <c r="I1041" s="4">
        <f t="shared" si="64"/>
        <v>27.916666666666664</v>
      </c>
    </row>
    <row r="1042" spans="1:9" x14ac:dyDescent="0.2">
      <c r="A1042" s="11">
        <v>100.6</v>
      </c>
      <c r="B1042" s="15">
        <v>3.133</v>
      </c>
      <c r="C1042" s="11">
        <f t="shared" si="65"/>
        <v>13036.747782469523</v>
      </c>
      <c r="D1042" s="11">
        <f t="shared" si="62"/>
        <v>-1820.0195466048576</v>
      </c>
      <c r="E1042" s="11">
        <f t="shared" si="63"/>
        <v>-4884.7443099732764</v>
      </c>
      <c r="F1042" s="11">
        <f>'Speed Calc'!B$5*E1042</f>
        <v>-4396.2698789759488</v>
      </c>
      <c r="G1042" s="15">
        <f>'Speed Calc'!G$3+'Speed Calc'!G$5*A1042^2</f>
        <v>20</v>
      </c>
      <c r="H1042" s="7">
        <f>(F1042-G1042)/'Speed Calc'!G$2*9.806</f>
        <v>-32.078475876472702</v>
      </c>
      <c r="I1042" s="4">
        <f t="shared" si="64"/>
        <v>27.944444444444443</v>
      </c>
    </row>
    <row r="1043" spans="1:9" x14ac:dyDescent="0.2">
      <c r="A1043" s="11">
        <v>100.7</v>
      </c>
      <c r="B1043" s="15">
        <v>3.133</v>
      </c>
      <c r="C1043" s="11">
        <f t="shared" si="65"/>
        <v>13049.706776289078</v>
      </c>
      <c r="D1043" s="11">
        <f t="shared" si="62"/>
        <v>-1837.5875876406892</v>
      </c>
      <c r="E1043" s="11">
        <f t="shared" si="63"/>
        <v>-4926.9975041011521</v>
      </c>
      <c r="F1043" s="11">
        <f>'Speed Calc'!B$5*E1043</f>
        <v>-4434.2977536910366</v>
      </c>
      <c r="G1043" s="15">
        <f>'Speed Calc'!G$3+'Speed Calc'!G$5*A1043^2</f>
        <v>20</v>
      </c>
      <c r="H1043" s="7">
        <f>(F1043-G1043)/'Speed Calc'!G$2*9.806</f>
        <v>-32.354699090884665</v>
      </c>
      <c r="I1043" s="4">
        <f t="shared" si="64"/>
        <v>27.972222222222221</v>
      </c>
    </row>
    <row r="1044" spans="1:9" x14ac:dyDescent="0.2">
      <c r="A1044" s="11">
        <v>100.8</v>
      </c>
      <c r="B1044" s="15">
        <v>3.133</v>
      </c>
      <c r="C1044" s="11">
        <f t="shared" si="65"/>
        <v>13062.665770108628</v>
      </c>
      <c r="D1044" s="11">
        <f t="shared" si="62"/>
        <v>-1855.2673307097464</v>
      </c>
      <c r="E1044" s="11">
        <f t="shared" si="63"/>
        <v>-4969.4660644011065</v>
      </c>
      <c r="F1044" s="11">
        <f>'Speed Calc'!B$5*E1044</f>
        <v>-4472.5194579609961</v>
      </c>
      <c r="G1044" s="15">
        <f>'Speed Calc'!G$3+'Speed Calc'!G$5*A1044^2</f>
        <v>20</v>
      </c>
      <c r="H1044" s="7">
        <f>(F1044-G1044)/'Speed Calc'!G$2*9.806</f>
        <v>-32.632330225752241</v>
      </c>
      <c r="I1044" s="4">
        <f t="shared" si="64"/>
        <v>28</v>
      </c>
    </row>
    <row r="1045" spans="1:9" x14ac:dyDescent="0.2">
      <c r="A1045" s="11">
        <v>100.9</v>
      </c>
      <c r="B1045" s="15">
        <v>3.133</v>
      </c>
      <c r="C1045" s="11">
        <f t="shared" si="65"/>
        <v>13075.624763928181</v>
      </c>
      <c r="D1045" s="11">
        <f t="shared" si="62"/>
        <v>-1873.0592771674876</v>
      </c>
      <c r="E1045" s="11">
        <f t="shared" si="63"/>
        <v>-5012.1506921231085</v>
      </c>
      <c r="F1045" s="11">
        <f>'Speed Calc'!B$5*E1045</f>
        <v>-4510.935622910798</v>
      </c>
      <c r="G1045" s="15">
        <f>'Speed Calc'!G$3+'Speed Calc'!G$5*A1045^2</f>
        <v>20</v>
      </c>
      <c r="H1045" s="7">
        <f>(F1045-G1045)/'Speed Calc'!G$2*9.806</f>
        <v>-32.911373865380213</v>
      </c>
      <c r="I1045" s="4">
        <f t="shared" si="64"/>
        <v>28.027777777777779</v>
      </c>
    </row>
    <row r="1046" spans="1:9" x14ac:dyDescent="0.2">
      <c r="A1046" s="11">
        <v>101</v>
      </c>
      <c r="B1046" s="15">
        <v>3.133</v>
      </c>
      <c r="C1046" s="11">
        <f t="shared" si="65"/>
        <v>13088.58375774773</v>
      </c>
      <c r="D1046" s="11">
        <f t="shared" si="62"/>
        <v>-1890.9639298234376</v>
      </c>
      <c r="E1046" s="11">
        <f t="shared" si="63"/>
        <v>-5055.0520896270118</v>
      </c>
      <c r="F1046" s="11">
        <f>'Speed Calc'!B$5*E1046</f>
        <v>-4549.5468806643112</v>
      </c>
      <c r="G1046" s="15">
        <f>'Speed Calc'!G$3+'Speed Calc'!G$5*A1046^2</f>
        <v>20</v>
      </c>
      <c r="H1046" s="7">
        <f>(F1046-G1046)/'Speed Calc'!G$2*9.806</f>
        <v>-33.191834601329063</v>
      </c>
      <c r="I1046" s="4">
        <f t="shared" si="64"/>
        <v>28.055555555555554</v>
      </c>
    </row>
    <row r="1047" spans="1:9" x14ac:dyDescent="0.2">
      <c r="A1047" s="11">
        <v>101.1</v>
      </c>
      <c r="B1047" s="15">
        <v>3.133</v>
      </c>
      <c r="C1047" s="11">
        <f t="shared" si="65"/>
        <v>13101.542751567284</v>
      </c>
      <c r="D1047" s="11">
        <f t="shared" si="62"/>
        <v>-1908.9817929433432</v>
      </c>
      <c r="E1047" s="11">
        <f t="shared" si="63"/>
        <v>-5098.1709603828176</v>
      </c>
      <c r="F1047" s="11">
        <f>'Speed Calc'!B$5*E1047</f>
        <v>-4588.3538643445363</v>
      </c>
      <c r="G1047" s="15">
        <f>'Speed Calc'!G$3+'Speed Calc'!G$5*A1047^2</f>
        <v>20</v>
      </c>
      <c r="H1047" s="7">
        <f>(F1047-G1047)/'Speed Calc'!G$2*9.806</f>
        <v>-33.47371703241668</v>
      </c>
      <c r="I1047" s="4">
        <f t="shared" si="64"/>
        <v>28.083333333333332</v>
      </c>
    </row>
    <row r="1048" spans="1:9" x14ac:dyDescent="0.2">
      <c r="A1048" s="11">
        <v>101.2</v>
      </c>
      <c r="B1048" s="15">
        <v>3.133</v>
      </c>
      <c r="C1048" s="11">
        <f t="shared" si="65"/>
        <v>13114.501745386839</v>
      </c>
      <c r="D1048" s="11">
        <f t="shared" si="62"/>
        <v>-1927.1133722511411</v>
      </c>
      <c r="E1048" s="11">
        <f t="shared" si="63"/>
        <v>-5141.5080089704352</v>
      </c>
      <c r="F1048" s="11">
        <f>'Speed Calc'!B$5*E1048</f>
        <v>-4627.357208073392</v>
      </c>
      <c r="G1048" s="15">
        <f>'Speed Calc'!G$3+'Speed Calc'!G$5*A1048^2</f>
        <v>20</v>
      </c>
      <c r="H1048" s="7">
        <f>(F1048-G1048)/'Speed Calc'!G$2*9.806</f>
        <v>-33.757025764716801</v>
      </c>
      <c r="I1048" s="4">
        <f t="shared" si="64"/>
        <v>28.111111111111111</v>
      </c>
    </row>
    <row r="1049" spans="1:9" x14ac:dyDescent="0.2">
      <c r="A1049" s="11">
        <v>101.3</v>
      </c>
      <c r="B1049" s="15">
        <v>3.133</v>
      </c>
      <c r="C1049" s="11">
        <f t="shared" si="65"/>
        <v>13127.460739206388</v>
      </c>
      <c r="D1049" s="11">
        <f t="shared" si="62"/>
        <v>-1945.3591749310349</v>
      </c>
      <c r="E1049" s="11">
        <f t="shared" si="63"/>
        <v>-5185.0639410797585</v>
      </c>
      <c r="F1049" s="11">
        <f>'Speed Calc'!B$5*E1049</f>
        <v>-4666.5575469717824</v>
      </c>
      <c r="G1049" s="15">
        <f>'Speed Calc'!G$3+'Speed Calc'!G$5*A1049^2</f>
        <v>20</v>
      </c>
      <c r="H1049" s="7">
        <f>(F1049-G1049)/'Speed Calc'!G$2*9.806</f>
        <v>-34.041765411559481</v>
      </c>
      <c r="I1049" s="4">
        <f t="shared" si="64"/>
        <v>28.138888888888886</v>
      </c>
    </row>
    <row r="1050" spans="1:9" x14ac:dyDescent="0.2">
      <c r="A1050" s="11">
        <v>101.4</v>
      </c>
      <c r="B1050" s="15">
        <v>3.133</v>
      </c>
      <c r="C1050" s="11">
        <f t="shared" si="65"/>
        <v>13140.419733025941</v>
      </c>
      <c r="D1050" s="11">
        <f t="shared" si="62"/>
        <v>-1963.7197096296186</v>
      </c>
      <c r="E1050" s="11">
        <f t="shared" si="63"/>
        <v>-5228.8394635108198</v>
      </c>
      <c r="F1050" s="11">
        <f>'Speed Calc'!B$5*E1050</f>
        <v>-4705.9555171597376</v>
      </c>
      <c r="G1050" s="15">
        <f>'Speed Calc'!G$3+'Speed Calc'!G$5*A1050^2</f>
        <v>20</v>
      </c>
      <c r="H1050" s="7">
        <f>(F1050-G1050)/'Speed Calc'!G$2*9.806</f>
        <v>-34.327940593532141</v>
      </c>
      <c r="I1050" s="4">
        <f t="shared" si="64"/>
        <v>28.166666666666668</v>
      </c>
    </row>
    <row r="1051" spans="1:9" x14ac:dyDescent="0.2">
      <c r="A1051" s="11">
        <v>101.5</v>
      </c>
      <c r="B1051" s="15">
        <v>3.133</v>
      </c>
      <c r="C1051" s="11">
        <f t="shared" si="65"/>
        <v>13153.378726845493</v>
      </c>
      <c r="D1051" s="11">
        <f t="shared" si="62"/>
        <v>-1982.1954864578238</v>
      </c>
      <c r="E1051" s="11">
        <f t="shared" si="63"/>
        <v>-5272.8352841735223</v>
      </c>
      <c r="F1051" s="11">
        <f>'Speed Calc'!B$5*E1051</f>
        <v>-4745.5517557561698</v>
      </c>
      <c r="G1051" s="15">
        <f>'Speed Calc'!G$3+'Speed Calc'!G$5*A1051^2</f>
        <v>20</v>
      </c>
      <c r="H1051" s="7">
        <f>(F1051-G1051)/'Speed Calc'!G$2*9.806</f>
        <v>-34.615555938477776</v>
      </c>
      <c r="I1051" s="4">
        <f t="shared" si="64"/>
        <v>28.194444444444443</v>
      </c>
    </row>
    <row r="1052" spans="1:9" x14ac:dyDescent="0.2">
      <c r="A1052" s="11">
        <v>101.6</v>
      </c>
      <c r="B1052" s="15">
        <v>3.133</v>
      </c>
      <c r="C1052" s="11">
        <f t="shared" si="65"/>
        <v>13166.337720665048</v>
      </c>
      <c r="D1052" s="11">
        <f t="shared" si="62"/>
        <v>-2000.7870169930698</v>
      </c>
      <c r="E1052" s="11">
        <f t="shared" si="63"/>
        <v>-5317.0521120878821</v>
      </c>
      <c r="F1052" s="11">
        <f>'Speed Calc'!B$5*E1052</f>
        <v>-4785.3469008790944</v>
      </c>
      <c r="G1052" s="15">
        <f>'Speed Calc'!G$3+'Speed Calc'!G$5*A1052^2</f>
        <v>20</v>
      </c>
      <c r="H1052" s="7">
        <f>(F1052-G1052)/'Speed Calc'!G$2*9.806</f>
        <v>-34.904616081496592</v>
      </c>
      <c r="I1052" s="4">
        <f t="shared" si="64"/>
        <v>28.222222222222221</v>
      </c>
    </row>
    <row r="1053" spans="1:9" x14ac:dyDescent="0.2">
      <c r="A1053" s="11">
        <v>101.7</v>
      </c>
      <c r="B1053" s="15">
        <v>3.133</v>
      </c>
      <c r="C1053" s="11">
        <f t="shared" si="65"/>
        <v>13179.296714484597</v>
      </c>
      <c r="D1053" s="11">
        <f t="shared" si="62"/>
        <v>-2019.4948142812527</v>
      </c>
      <c r="E1053" s="11">
        <f t="shared" si="63"/>
        <v>-5361.4906573838589</v>
      </c>
      <c r="F1053" s="11">
        <f>'Speed Calc'!B$5*E1053</f>
        <v>-4825.3415916454733</v>
      </c>
      <c r="G1053" s="15">
        <f>'Speed Calc'!G$3+'Speed Calc'!G$5*A1053^2</f>
        <v>20</v>
      </c>
      <c r="H1053" s="7">
        <f>(F1053-G1053)/'Speed Calc'!G$2*9.806</f>
        <v>-35.195125664944818</v>
      </c>
      <c r="I1053" s="4">
        <f t="shared" si="64"/>
        <v>28.25</v>
      </c>
    </row>
    <row r="1054" spans="1:9" x14ac:dyDescent="0.2">
      <c r="A1054" s="11">
        <v>101.8</v>
      </c>
      <c r="B1054" s="15">
        <v>3.133</v>
      </c>
      <c r="C1054" s="11">
        <f t="shared" si="65"/>
        <v>13192.25570830415</v>
      </c>
      <c r="D1054" s="11">
        <f t="shared" si="62"/>
        <v>-2038.3193928388323</v>
      </c>
      <c r="E1054" s="11">
        <f t="shared" si="63"/>
        <v>-5406.1516313014217</v>
      </c>
      <c r="F1054" s="11">
        <f>'Speed Calc'!B$5*E1054</f>
        <v>-4865.5364681712799</v>
      </c>
      <c r="G1054" s="15">
        <f>'Speed Calc'!G$3+'Speed Calc'!G$5*A1054^2</f>
        <v>20</v>
      </c>
      <c r="H1054" s="7">
        <f>(F1054-G1054)/'Speed Calc'!G$2*9.806</f>
        <v>-35.487089338435233</v>
      </c>
      <c r="I1054" s="4">
        <f t="shared" si="64"/>
        <v>28.277777777777775</v>
      </c>
    </row>
    <row r="1055" spans="1:9" x14ac:dyDescent="0.2">
      <c r="A1055" s="11">
        <v>101.9</v>
      </c>
      <c r="B1055" s="15">
        <v>3.133</v>
      </c>
      <c r="C1055" s="11">
        <f t="shared" si="65"/>
        <v>13205.214702123705</v>
      </c>
      <c r="D1055" s="11">
        <f t="shared" si="62"/>
        <v>-2057.2612686549037</v>
      </c>
      <c r="E1055" s="11">
        <f t="shared" si="63"/>
        <v>-5451.0357461906196</v>
      </c>
      <c r="F1055" s="11">
        <f>'Speed Calc'!B$5*E1055</f>
        <v>-4905.9321715715578</v>
      </c>
      <c r="G1055" s="15">
        <f>'Speed Calc'!G$3+'Speed Calc'!G$5*A1055^2</f>
        <v>20</v>
      </c>
      <c r="H1055" s="7">
        <f>(F1055-G1055)/'Speed Calc'!G$2*9.806</f>
        <v>-35.780511758837548</v>
      </c>
      <c r="I1055" s="4">
        <f t="shared" si="64"/>
        <v>28.305555555555557</v>
      </c>
    </row>
    <row r="1056" spans="1:9" x14ac:dyDescent="0.2">
      <c r="A1056" s="11">
        <v>102</v>
      </c>
      <c r="B1056" s="15">
        <v>3.133</v>
      </c>
      <c r="C1056" s="11">
        <f t="shared" si="65"/>
        <v>13218.173695943253</v>
      </c>
      <c r="D1056" s="11">
        <f t="shared" si="62"/>
        <v>-2076.320959193195</v>
      </c>
      <c r="E1056" s="11">
        <f t="shared" si="63"/>
        <v>-5496.1437155114008</v>
      </c>
      <c r="F1056" s="11">
        <f>'Speed Calc'!B$5*E1056</f>
        <v>-4946.529343960261</v>
      </c>
      <c r="G1056" s="15">
        <f>'Speed Calc'!G$3+'Speed Calc'!G$5*A1056^2</f>
        <v>20</v>
      </c>
      <c r="H1056" s="7">
        <f>(F1056-G1056)/'Speed Calc'!G$2*9.806</f>
        <v>-36.075397590277269</v>
      </c>
      <c r="I1056" s="4">
        <f t="shared" si="64"/>
        <v>28.333333333333332</v>
      </c>
    </row>
    <row r="1057" spans="1:9" x14ac:dyDescent="0.2">
      <c r="A1057" s="11">
        <v>102.1</v>
      </c>
      <c r="B1057" s="15">
        <v>3.133</v>
      </c>
      <c r="C1057" s="11">
        <f t="shared" si="65"/>
        <v>13231.132689762806</v>
      </c>
      <c r="D1057" s="11">
        <f t="shared" si="62"/>
        <v>-2095.4989833941895</v>
      </c>
      <c r="E1057" s="11">
        <f t="shared" si="63"/>
        <v>-5541.4762538338036</v>
      </c>
      <c r="F1057" s="11">
        <f>'Speed Calc'!B$5*E1057</f>
        <v>-4987.3286284504238</v>
      </c>
      <c r="G1057" s="15">
        <f>'Speed Calc'!G$3+'Speed Calc'!G$5*A1057^2</f>
        <v>20</v>
      </c>
      <c r="H1057" s="7">
        <f>(F1057-G1057)/'Speed Calc'!G$2*9.806</f>
        <v>-36.371751504136924</v>
      </c>
      <c r="I1057" s="4">
        <f t="shared" si="64"/>
        <v>28.361111111111107</v>
      </c>
    </row>
    <row r="1058" spans="1:9" x14ac:dyDescent="0.2">
      <c r="A1058" s="11">
        <v>102.2</v>
      </c>
      <c r="B1058" s="15">
        <v>3.133</v>
      </c>
      <c r="C1058" s="11">
        <f t="shared" si="65"/>
        <v>13244.091683582361</v>
      </c>
      <c r="D1058" s="11">
        <f t="shared" si="62"/>
        <v>-2114.7958616771566</v>
      </c>
      <c r="E1058" s="11">
        <f t="shared" si="63"/>
        <v>-5587.0340768378883</v>
      </c>
      <c r="F1058" s="11">
        <f>'Speed Calc'!B$5*E1058</f>
        <v>-5028.3306691540993</v>
      </c>
      <c r="G1058" s="15">
        <f>'Speed Calc'!G$3+'Speed Calc'!G$5*A1058^2</f>
        <v>20</v>
      </c>
      <c r="H1058" s="7">
        <f>(F1058-G1058)/'Speed Calc'!G$2*9.806</f>
        <v>-36.669578179055627</v>
      </c>
      <c r="I1058" s="4">
        <f t="shared" si="64"/>
        <v>28.388888888888889</v>
      </c>
    </row>
    <row r="1059" spans="1:9" x14ac:dyDescent="0.2">
      <c r="A1059" s="11">
        <v>102.3</v>
      </c>
      <c r="B1059" s="15">
        <v>3.133</v>
      </c>
      <c r="C1059" s="11">
        <f t="shared" si="65"/>
        <v>13257.05067740191</v>
      </c>
      <c r="D1059" s="11">
        <f t="shared" si="62"/>
        <v>-2134.2121159421649</v>
      </c>
      <c r="E1059" s="11">
        <f t="shared" si="63"/>
        <v>-5632.8179013136323</v>
      </c>
      <c r="F1059" s="11">
        <f>'Speed Calc'!B$5*E1059</f>
        <v>-5069.5361111822695</v>
      </c>
      <c r="G1059" s="15">
        <f>'Speed Calc'!G$3+'Speed Calc'!G$5*A1059^2</f>
        <v>20</v>
      </c>
      <c r="H1059" s="7">
        <f>(F1059-G1059)/'Speed Calc'!G$2*9.806</f>
        <v>-36.968882300928392</v>
      </c>
      <c r="I1059" s="4">
        <f t="shared" si="64"/>
        <v>28.416666666666664</v>
      </c>
    </row>
    <row r="1060" spans="1:9" x14ac:dyDescent="0.2">
      <c r="A1060" s="11">
        <v>102.4</v>
      </c>
      <c r="B1060" s="15">
        <v>3.133</v>
      </c>
      <c r="C1060" s="11">
        <f t="shared" si="65"/>
        <v>13270.009671221465</v>
      </c>
      <c r="D1060" s="11">
        <f t="shared" si="62"/>
        <v>-2153.7482695722124</v>
      </c>
      <c r="E1060" s="11">
        <f t="shared" si="63"/>
        <v>-5678.8284451611062</v>
      </c>
      <c r="F1060" s="11">
        <f>'Speed Calc'!B$5*E1060</f>
        <v>-5110.9456006449955</v>
      </c>
      <c r="G1060" s="15">
        <f>'Speed Calc'!G$3+'Speed Calc'!G$5*A1060^2</f>
        <v>20</v>
      </c>
      <c r="H1060" s="7">
        <f>(F1060-G1060)/'Speed Calc'!G$2*9.806</f>
        <v>-37.269668562907277</v>
      </c>
      <c r="I1060" s="4">
        <f t="shared" si="64"/>
        <v>28.444444444444446</v>
      </c>
    </row>
    <row r="1061" spans="1:9" x14ac:dyDescent="0.2">
      <c r="A1061" s="11">
        <v>102.5</v>
      </c>
      <c r="B1061" s="15">
        <v>3.133</v>
      </c>
      <c r="C1061" s="11">
        <f t="shared" si="65"/>
        <v>13282.968665041019</v>
      </c>
      <c r="D1061" s="11">
        <f t="shared" ref="D1061:D1102" si="66">-4.687*10^(-17)*C1061^5+9.129*10^(-13)*C1061^4-6.175*10^(-9)*C1061^3+1.799*10^(-5)*C1061^2+6.502*10^(-3)*C1061</f>
        <v>-2173.4048474352276</v>
      </c>
      <c r="E1061" s="11">
        <f t="shared" si="63"/>
        <v>-5725.0664273903549</v>
      </c>
      <c r="F1061" s="11">
        <f>'Speed Calc'!B$5*E1061</f>
        <v>-5152.5597846513192</v>
      </c>
      <c r="G1061" s="15">
        <f>'Speed Calc'!G$3+'Speed Calc'!G$5*A1061^2</f>
        <v>20</v>
      </c>
      <c r="H1061" s="7">
        <f>(F1061-G1061)/'Speed Calc'!G$2*9.806</f>
        <v>-37.571941665400615</v>
      </c>
      <c r="I1061" s="4">
        <f t="shared" si="64"/>
        <v>28.472222222222221</v>
      </c>
    </row>
    <row r="1062" spans="1:9" x14ac:dyDescent="0.2">
      <c r="A1062" s="11">
        <v>102.6</v>
      </c>
      <c r="B1062" s="15">
        <v>3.133</v>
      </c>
      <c r="C1062" s="11">
        <f t="shared" si="65"/>
        <v>13295.927658860568</v>
      </c>
      <c r="D1062" s="11">
        <f t="shared" si="66"/>
        <v>-2193.1823758861369</v>
      </c>
      <c r="E1062" s="11">
        <f t="shared" ref="E1062:E1102" si="67">D1062*75*B1062*B$31*B$32/B$23/C1062/2/PI()*60</f>
        <v>-5771.5325681214135</v>
      </c>
      <c r="F1062" s="11">
        <f>'Speed Calc'!B$5*E1062</f>
        <v>-5194.3793113092725</v>
      </c>
      <c r="G1062" s="15">
        <f>'Speed Calc'!G$3+'Speed Calc'!G$5*A1062^2</f>
        <v>20</v>
      </c>
      <c r="H1062" s="7">
        <f>(F1062-G1062)/'Speed Calc'!G$2*9.806</f>
        <v>-37.875706316073128</v>
      </c>
      <c r="I1062" s="4">
        <f t="shared" ref="I1062:I1102" si="68">A1062/3.6</f>
        <v>28.499999999999996</v>
      </c>
    </row>
    <row r="1063" spans="1:9" x14ac:dyDescent="0.2">
      <c r="A1063" s="11">
        <v>102.7</v>
      </c>
      <c r="B1063" s="15">
        <v>3.133</v>
      </c>
      <c r="C1063" s="11">
        <f t="shared" si="65"/>
        <v>13308.886652680121</v>
      </c>
      <c r="D1063" s="11">
        <f t="shared" si="66"/>
        <v>-2213.0813827689462</v>
      </c>
      <c r="E1063" s="11">
        <f t="shared" si="67"/>
        <v>-5818.2275885843765</v>
      </c>
      <c r="F1063" s="11">
        <f>'Speed Calc'!B$5*E1063</f>
        <v>-5236.4048297259387</v>
      </c>
      <c r="G1063" s="15">
        <f>'Speed Calc'!G$3+'Speed Calc'!G$5*A1063^2</f>
        <v>20</v>
      </c>
      <c r="H1063" s="7">
        <f>(F1063-G1063)/'Speed Calc'!G$2*9.806</f>
        <v>-38.180967229846331</v>
      </c>
      <c r="I1063" s="4">
        <f t="shared" si="68"/>
        <v>28.527777777777779</v>
      </c>
    </row>
    <row r="1064" spans="1:9" x14ac:dyDescent="0.2">
      <c r="A1064" s="11">
        <v>102.8</v>
      </c>
      <c r="B1064" s="15">
        <v>3.133</v>
      </c>
      <c r="C1064" s="11">
        <f t="shared" si="65"/>
        <v>13321.845646499673</v>
      </c>
      <c r="D1064" s="11">
        <f t="shared" si="66"/>
        <v>-2233.1023974187651</v>
      </c>
      <c r="E1064" s="11">
        <f t="shared" si="67"/>
        <v>-5865.1522111193235</v>
      </c>
      <c r="F1064" s="11">
        <f>'Speed Calc'!B$5*E1064</f>
        <v>-5278.6369900073914</v>
      </c>
      <c r="G1064" s="15">
        <f>'Speed Calc'!G$3+'Speed Calc'!G$5*A1064^2</f>
        <v>20</v>
      </c>
      <c r="H1064" s="7">
        <f>(F1064-G1064)/'Speed Calc'!G$2*9.806</f>
        <v>-38.487729128898131</v>
      </c>
      <c r="I1064" s="4">
        <f t="shared" si="68"/>
        <v>28.555555555555554</v>
      </c>
    </row>
    <row r="1065" spans="1:9" x14ac:dyDescent="0.2">
      <c r="A1065" s="11">
        <v>102.9</v>
      </c>
      <c r="B1065" s="15">
        <v>3.133</v>
      </c>
      <c r="C1065" s="11">
        <f t="shared" si="65"/>
        <v>13334.804640319227</v>
      </c>
      <c r="D1065" s="11">
        <f t="shared" si="66"/>
        <v>-2253.2459506638661</v>
      </c>
      <c r="E1065" s="11">
        <f t="shared" si="67"/>
        <v>-5912.3071591763228</v>
      </c>
      <c r="F1065" s="11">
        <f>'Speed Calc'!B$5*E1065</f>
        <v>-5321.0764432586902</v>
      </c>
      <c r="G1065" s="15">
        <f>'Speed Calc'!G$3+'Speed Calc'!G$5*A1065^2</f>
        <v>20</v>
      </c>
      <c r="H1065" s="7">
        <f>(F1065-G1065)/'Speed Calc'!G$2*9.806</f>
        <v>-38.795996742662751</v>
      </c>
      <c r="I1065" s="4">
        <f t="shared" si="68"/>
        <v>28.583333333333336</v>
      </c>
    </row>
    <row r="1066" spans="1:9" x14ac:dyDescent="0.2">
      <c r="A1066" s="11">
        <v>103</v>
      </c>
      <c r="B1066" s="15">
        <v>3.133</v>
      </c>
      <c r="C1066" s="11">
        <f t="shared" si="65"/>
        <v>13347.763634138777</v>
      </c>
      <c r="D1066" s="11">
        <f t="shared" si="66"/>
        <v>-2273.5125748277565</v>
      </c>
      <c r="E1066" s="11">
        <f t="shared" si="67"/>
        <v>-5959.6931573154789</v>
      </c>
      <c r="F1066" s="11">
        <f>'Speed Calc'!B$5*E1066</f>
        <v>-5363.7238415839311</v>
      </c>
      <c r="G1066" s="15">
        <f>'Speed Calc'!G$3+'Speed Calc'!G$5*A1066^2</f>
        <v>20</v>
      </c>
      <c r="H1066" s="7">
        <f>(F1066-G1066)/'Speed Calc'!G$2*9.806</f>
        <v>-39.105774807831132</v>
      </c>
      <c r="I1066" s="4">
        <f t="shared" si="68"/>
        <v>28.611111111111111</v>
      </c>
    </row>
    <row r="1067" spans="1:9" x14ac:dyDescent="0.2">
      <c r="A1067" s="11">
        <v>103.1</v>
      </c>
      <c r="B1067" s="15">
        <v>3.133</v>
      </c>
      <c r="C1067" s="11">
        <f t="shared" ref="C1067:C1102" si="69">A1067/3.6/B$23/2/PI()*B$32*B$31*B1067*60</f>
        <v>13360.72262795833</v>
      </c>
      <c r="D1067" s="11">
        <f t="shared" si="66"/>
        <v>-2293.902803731221</v>
      </c>
      <c r="E1067" s="11">
        <f t="shared" si="67"/>
        <v>-6007.3109312068837</v>
      </c>
      <c r="F1067" s="11">
        <f>'Speed Calc'!B$5*E1067</f>
        <v>-5406.5798380861952</v>
      </c>
      <c r="G1067" s="15">
        <f>'Speed Calc'!G$3+'Speed Calc'!G$5*A1067^2</f>
        <v>20</v>
      </c>
      <c r="H1067" s="7">
        <f>(F1067-G1067)/'Speed Calc'!G$2*9.806</f>
        <v>-39.417068068350538</v>
      </c>
      <c r="I1067" s="4">
        <f t="shared" si="68"/>
        <v>28.638888888888886</v>
      </c>
    </row>
    <row r="1068" spans="1:9" x14ac:dyDescent="0.2">
      <c r="A1068" s="11">
        <v>103.2</v>
      </c>
      <c r="B1068" s="15">
        <v>3.133</v>
      </c>
      <c r="C1068" s="11">
        <f t="shared" si="69"/>
        <v>13373.681621777881</v>
      </c>
      <c r="D1068" s="11">
        <f t="shared" si="66"/>
        <v>-2314.4171726943732</v>
      </c>
      <c r="E1068" s="11">
        <f t="shared" si="67"/>
        <v>-6055.1612076306283</v>
      </c>
      <c r="F1068" s="11">
        <f>'Speed Calc'!B$5*E1068</f>
        <v>-5449.6450868675656</v>
      </c>
      <c r="G1068" s="15">
        <f>'Speed Calc'!G$3+'Speed Calc'!G$5*A1068^2</f>
        <v>20</v>
      </c>
      <c r="H1068" s="7">
        <f>(F1068-G1068)/'Speed Calc'!G$2*9.806</f>
        <v>-39.729881275424695</v>
      </c>
      <c r="I1068" s="4">
        <f t="shared" si="68"/>
        <v>28.666666666666668</v>
      </c>
    </row>
    <row r="1069" spans="1:9" x14ac:dyDescent="0.2">
      <c r="A1069" s="11">
        <v>103.3</v>
      </c>
      <c r="B1069" s="15">
        <v>3.133</v>
      </c>
      <c r="C1069" s="11">
        <f t="shared" si="69"/>
        <v>13386.640615597433</v>
      </c>
      <c r="D1069" s="11">
        <f t="shared" si="66"/>
        <v>-2335.0562185387416</v>
      </c>
      <c r="E1069" s="11">
        <f t="shared" si="67"/>
        <v>-6103.2447144768648</v>
      </c>
      <c r="F1069" s="11">
        <f>'Speed Calc'!B$5*E1069</f>
        <v>-5492.9202430291789</v>
      </c>
      <c r="G1069" s="15">
        <f>'Speed Calc'!G$3+'Speed Calc'!G$5*A1069^2</f>
        <v>20</v>
      </c>
      <c r="H1069" s="7">
        <f>(F1069-G1069)/'Speed Calc'!G$2*9.806</f>
        <v>-40.044219187514159</v>
      </c>
      <c r="I1069" s="4">
        <f t="shared" si="68"/>
        <v>28.694444444444443</v>
      </c>
    </row>
    <row r="1070" spans="1:9" x14ac:dyDescent="0.2">
      <c r="A1070" s="11">
        <v>103.4</v>
      </c>
      <c r="B1070" s="15">
        <v>3.133</v>
      </c>
      <c r="C1070" s="11">
        <f t="shared" si="69"/>
        <v>13399.599609416986</v>
      </c>
      <c r="D1070" s="11">
        <f t="shared" si="66"/>
        <v>-2355.8204795892912</v>
      </c>
      <c r="E1070" s="11">
        <f t="shared" si="67"/>
        <v>-6151.5621807457319</v>
      </c>
      <c r="F1070" s="11">
        <f>'Speed Calc'!B$5*E1070</f>
        <v>-5536.4059626711587</v>
      </c>
      <c r="G1070" s="15">
        <f>'Speed Calc'!G$3+'Speed Calc'!G$5*A1070^2</f>
        <v>20</v>
      </c>
      <c r="H1070" s="7">
        <f>(F1070-G1070)/'Speed Calc'!G$2*9.806</f>
        <v>-40.360086570335831</v>
      </c>
      <c r="I1070" s="4">
        <f t="shared" si="68"/>
        <v>28.722222222222221</v>
      </c>
    </row>
    <row r="1071" spans="1:9" x14ac:dyDescent="0.2">
      <c r="A1071" s="11">
        <v>103.5</v>
      </c>
      <c r="B1071" s="15">
        <v>3.133</v>
      </c>
      <c r="C1071" s="11">
        <f t="shared" si="69"/>
        <v>13412.558603236537</v>
      </c>
      <c r="D1071" s="11">
        <f t="shared" si="66"/>
        <v>-2376.7104956764733</v>
      </c>
      <c r="E1071" s="11">
        <f t="shared" si="67"/>
        <v>-6200.1143365473226</v>
      </c>
      <c r="F1071" s="11">
        <f>'Speed Calc'!B$5*E1071</f>
        <v>-5580.1029028925905</v>
      </c>
      <c r="G1071" s="15">
        <f>'Speed Calc'!G$3+'Speed Calc'!G$5*A1071^2</f>
        <v>20</v>
      </c>
      <c r="H1071" s="7">
        <f>(F1071-G1071)/'Speed Calc'!G$2*9.806</f>
        <v>-40.677488196862768</v>
      </c>
      <c r="I1071" s="4">
        <f t="shared" si="68"/>
        <v>28.75</v>
      </c>
    </row>
    <row r="1072" spans="1:9" x14ac:dyDescent="0.2">
      <c r="A1072" s="11">
        <v>103.6</v>
      </c>
      <c r="B1072" s="15">
        <v>3.133</v>
      </c>
      <c r="C1072" s="11">
        <f t="shared" si="69"/>
        <v>13425.51759705609</v>
      </c>
      <c r="D1072" s="11">
        <f t="shared" si="66"/>
        <v>-2397.7268081383268</v>
      </c>
      <c r="E1072" s="11">
        <f t="shared" si="67"/>
        <v>-6248.9019131018176</v>
      </c>
      <c r="F1072" s="11">
        <f>'Speed Calc'!B$5*E1072</f>
        <v>-5624.0117217916359</v>
      </c>
      <c r="G1072" s="15">
        <f>'Speed Calc'!G$3+'Speed Calc'!G$5*A1072^2</f>
        <v>20</v>
      </c>
      <c r="H1072" s="7">
        <f>(F1072-G1072)/'Speed Calc'!G$2*9.806</f>
        <v>-40.996428847325014</v>
      </c>
      <c r="I1072" s="4">
        <f t="shared" si="68"/>
        <v>28.777777777777775</v>
      </c>
    </row>
    <row r="1073" spans="1:9" x14ac:dyDescent="0.2">
      <c r="A1073" s="11">
        <v>103.7</v>
      </c>
      <c r="B1073" s="15">
        <v>3.133</v>
      </c>
      <c r="C1073" s="11">
        <f t="shared" si="69"/>
        <v>13438.476590875645</v>
      </c>
      <c r="D1073" s="11">
        <f t="shared" si="66"/>
        <v>-2418.8699598224835</v>
      </c>
      <c r="E1073" s="11">
        <f t="shared" si="67"/>
        <v>-6297.9256427393475</v>
      </c>
      <c r="F1073" s="11">
        <f>'Speed Calc'!B$5*E1073</f>
        <v>-5668.1330784654128</v>
      </c>
      <c r="G1073" s="15">
        <f>'Speed Calc'!G$3+'Speed Calc'!G$5*A1073^2</f>
        <v>20</v>
      </c>
      <c r="H1073" s="7">
        <f>(F1073-G1073)/'Speed Calc'!G$2*9.806</f>
        <v>-41.316913309208772</v>
      </c>
      <c r="I1073" s="4">
        <f t="shared" si="68"/>
        <v>28.805555555555557</v>
      </c>
    </row>
    <row r="1074" spans="1:9" x14ac:dyDescent="0.2">
      <c r="A1074" s="11">
        <v>103.8</v>
      </c>
      <c r="B1074" s="15">
        <v>3.133</v>
      </c>
      <c r="C1074" s="11">
        <f t="shared" si="69"/>
        <v>13451.435584695193</v>
      </c>
      <c r="D1074" s="11">
        <f t="shared" si="66"/>
        <v>-2440.1404950882516</v>
      </c>
      <c r="E1074" s="11">
        <f t="shared" si="67"/>
        <v>-6347.1862589000775</v>
      </c>
      <c r="F1074" s="11">
        <f>'Speed Calc'!B$5*E1074</f>
        <v>-5712.4676330100701</v>
      </c>
      <c r="G1074" s="15">
        <f>'Speed Calc'!G$3+'Speed Calc'!G$5*A1074^2</f>
        <v>20</v>
      </c>
      <c r="H1074" s="7">
        <f>(F1074-G1074)/'Speed Calc'!G$2*9.806</f>
        <v>-41.638946377256843</v>
      </c>
      <c r="I1074" s="4">
        <f t="shared" si="68"/>
        <v>28.833333333333332</v>
      </c>
    </row>
    <row r="1075" spans="1:9" x14ac:dyDescent="0.2">
      <c r="A1075" s="11">
        <v>103.9</v>
      </c>
      <c r="B1075" s="15">
        <v>3.133</v>
      </c>
      <c r="C1075" s="11">
        <f t="shared" si="69"/>
        <v>13464.394578514746</v>
      </c>
      <c r="D1075" s="11">
        <f t="shared" si="66"/>
        <v>-2461.5389598086763</v>
      </c>
      <c r="E1075" s="11">
        <f t="shared" si="67"/>
        <v>-6396.6844961341931</v>
      </c>
      <c r="F1075" s="11">
        <f>'Speed Calc'!B$5*E1075</f>
        <v>-5757.0160465207737</v>
      </c>
      <c r="G1075" s="15">
        <f>'Speed Calc'!G$3+'Speed Calc'!G$5*A1075^2</f>
        <v>20</v>
      </c>
      <c r="H1075" s="7">
        <f>(F1075-G1075)/'Speed Calc'!G$2*9.806</f>
        <v>-41.962532853468666</v>
      </c>
      <c r="I1075" s="4">
        <f t="shared" si="68"/>
        <v>28.861111111111111</v>
      </c>
    </row>
    <row r="1076" spans="1:9" x14ac:dyDescent="0.2">
      <c r="A1076" s="11">
        <v>104</v>
      </c>
      <c r="B1076" s="15">
        <v>3.133</v>
      </c>
      <c r="C1076" s="11">
        <f t="shared" si="69"/>
        <v>13477.353572334301</v>
      </c>
      <c r="D1076" s="11">
        <f t="shared" si="66"/>
        <v>-2483.0659013725781</v>
      </c>
      <c r="E1076" s="11">
        <f t="shared" si="67"/>
        <v>-6446.4210901018851</v>
      </c>
      <c r="F1076" s="11">
        <f>'Speed Calc'!B$5*E1076</f>
        <v>-5801.7789810916966</v>
      </c>
      <c r="G1076" s="15">
        <f>'Speed Calc'!G$3+'Speed Calc'!G$5*A1076^2</f>
        <v>20</v>
      </c>
      <c r="H1076" s="7">
        <f>(F1076-G1076)/'Speed Calc'!G$2*9.806</f>
        <v>-42.287677547100131</v>
      </c>
      <c r="I1076" s="4">
        <f t="shared" si="68"/>
        <v>28.888888888888889</v>
      </c>
    </row>
    <row r="1077" spans="1:9" x14ac:dyDescent="0.2">
      <c r="A1077" s="11">
        <v>104.1</v>
      </c>
      <c r="B1077" s="15">
        <v>3.133</v>
      </c>
      <c r="C1077" s="11">
        <f t="shared" si="69"/>
        <v>13490.312566153851</v>
      </c>
      <c r="D1077" s="11">
        <f t="shared" si="66"/>
        <v>-2504.7218686865913</v>
      </c>
      <c r="E1077" s="11">
        <f t="shared" si="67"/>
        <v>-6496.3967775732926</v>
      </c>
      <c r="F1077" s="11">
        <f>'Speed Calc'!B$5*E1077</f>
        <v>-5846.7570998159636</v>
      </c>
      <c r="G1077" s="15">
        <f>'Speed Calc'!G$3+'Speed Calc'!G$5*A1077^2</f>
        <v>20</v>
      </c>
      <c r="H1077" s="7">
        <f>(F1077-G1077)/'Speed Calc'!G$2*9.806</f>
        <v>-42.614385274663206</v>
      </c>
      <c r="I1077" s="4">
        <f t="shared" si="68"/>
        <v>28.916666666666664</v>
      </c>
    </row>
    <row r="1078" spans="1:9" x14ac:dyDescent="0.2">
      <c r="A1078" s="11">
        <v>104.2</v>
      </c>
      <c r="B1078" s="15">
        <v>3.133</v>
      </c>
      <c r="C1078" s="11">
        <f t="shared" si="69"/>
        <v>13503.271559973404</v>
      </c>
      <c r="D1078" s="11">
        <f t="shared" si="66"/>
        <v>-2526.5074121772859</v>
      </c>
      <c r="E1078" s="11">
        <f t="shared" si="67"/>
        <v>-6546.6122964286687</v>
      </c>
      <c r="F1078" s="11">
        <f>'Speed Calc'!B$5*E1078</f>
        <v>-5891.9510667858021</v>
      </c>
      <c r="G1078" s="15">
        <f>'Speed Calc'!G$3+'Speed Calc'!G$5*A1078^2</f>
        <v>20</v>
      </c>
      <c r="H1078" s="7">
        <f>(F1078-G1078)/'Speed Calc'!G$2*9.806</f>
        <v>-42.942660859927088</v>
      </c>
      <c r="I1078" s="4">
        <f t="shared" si="68"/>
        <v>28.944444444444443</v>
      </c>
    </row>
    <row r="1079" spans="1:9" x14ac:dyDescent="0.2">
      <c r="A1079" s="11">
        <v>104.3</v>
      </c>
      <c r="B1079" s="15">
        <v>3.133</v>
      </c>
      <c r="C1079" s="11">
        <f t="shared" si="69"/>
        <v>13516.230553792957</v>
      </c>
      <c r="D1079" s="11">
        <f t="shared" si="66"/>
        <v>-2548.4230837931391</v>
      </c>
      <c r="E1079" s="11">
        <f t="shared" si="67"/>
        <v>-6597.0683856581727</v>
      </c>
      <c r="F1079" s="11">
        <f>'Speed Calc'!B$5*E1079</f>
        <v>-5937.361547092356</v>
      </c>
      <c r="G1079" s="15">
        <f>'Speed Calc'!G$3+'Speed Calc'!G$5*A1079^2</f>
        <v>20</v>
      </c>
      <c r="H1079" s="7">
        <f>(F1079-G1079)/'Speed Calc'!G$2*9.806</f>
        <v>-43.27250913391677</v>
      </c>
      <c r="I1079" s="4">
        <f t="shared" si="68"/>
        <v>28.972222222222221</v>
      </c>
    </row>
    <row r="1080" spans="1:9" x14ac:dyDescent="0.2">
      <c r="A1080" s="11">
        <v>104.4</v>
      </c>
      <c r="B1080" s="15">
        <v>3.133</v>
      </c>
      <c r="C1080" s="11">
        <f t="shared" si="69"/>
        <v>13529.189547612506</v>
      </c>
      <c r="D1080" s="11">
        <f t="shared" si="66"/>
        <v>-2570.4694370066545</v>
      </c>
      <c r="E1080" s="11">
        <f t="shared" si="67"/>
        <v>-6647.7657853620394</v>
      </c>
      <c r="F1080" s="11">
        <f>'Speed Calc'!B$5*E1080</f>
        <v>-5982.9892068258359</v>
      </c>
      <c r="G1080" s="15">
        <f>'Speed Calc'!G$3+'Speed Calc'!G$5*A1080^2</f>
        <v>20</v>
      </c>
      <c r="H1080" s="7">
        <f>(F1080-G1080)/'Speed Calc'!G$2*9.806</f>
        <v>-43.603934934914179</v>
      </c>
      <c r="I1080" s="4">
        <f t="shared" si="68"/>
        <v>29</v>
      </c>
    </row>
    <row r="1081" spans="1:9" x14ac:dyDescent="0.2">
      <c r="A1081" s="11">
        <v>104.5</v>
      </c>
      <c r="B1081" s="15">
        <v>3.133</v>
      </c>
      <c r="C1081" s="11">
        <f t="shared" si="69"/>
        <v>13542.148541432061</v>
      </c>
      <c r="D1081" s="11">
        <f t="shared" si="66"/>
        <v>-2592.6470268164089</v>
      </c>
      <c r="E1081" s="11">
        <f t="shared" si="67"/>
        <v>-6698.7052367505303</v>
      </c>
      <c r="F1081" s="11">
        <f>'Speed Calc'!B$5*E1081</f>
        <v>-6028.8347130754773</v>
      </c>
      <c r="G1081" s="15">
        <f>'Speed Calc'!G$3+'Speed Calc'!G$5*A1081^2</f>
        <v>20</v>
      </c>
      <c r="H1081" s="7">
        <f>(F1081-G1081)/'Speed Calc'!G$2*9.806</f>
        <v>-43.936943108457875</v>
      </c>
      <c r="I1081" s="4">
        <f t="shared" si="68"/>
        <v>29.027777777777779</v>
      </c>
    </row>
    <row r="1082" spans="1:9" x14ac:dyDescent="0.2">
      <c r="A1082" s="11">
        <v>104.6</v>
      </c>
      <c r="B1082" s="15">
        <v>3.133</v>
      </c>
      <c r="C1082" s="11">
        <f t="shared" si="69"/>
        <v>13555.107535251613</v>
      </c>
      <c r="D1082" s="11">
        <f t="shared" si="66"/>
        <v>-2614.956409749042</v>
      </c>
      <c r="E1082" s="11">
        <f t="shared" si="67"/>
        <v>-6749.8874821438003</v>
      </c>
      <c r="F1082" s="11">
        <f>'Speed Calc'!B$5*E1082</f>
        <v>-6074.8987339294208</v>
      </c>
      <c r="G1082" s="15">
        <f>'Speed Calc'!G$3+'Speed Calc'!G$5*A1082^2</f>
        <v>20</v>
      </c>
      <c r="H1082" s="7">
        <f>(F1082-G1082)/'Speed Calc'!G$2*9.806</f>
        <v>-44.27153850734215</v>
      </c>
      <c r="I1082" s="4">
        <f t="shared" si="68"/>
        <v>29.055555555555554</v>
      </c>
    </row>
    <row r="1083" spans="1:9" x14ac:dyDescent="0.2">
      <c r="A1083" s="11">
        <v>104.7</v>
      </c>
      <c r="B1083" s="15">
        <v>3.133</v>
      </c>
      <c r="C1083" s="11">
        <f t="shared" si="69"/>
        <v>13568.066529071162</v>
      </c>
      <c r="D1083" s="11">
        <f t="shared" si="66"/>
        <v>-2637.398143861411</v>
      </c>
      <c r="E1083" s="11">
        <f t="shared" si="67"/>
        <v>-6801.313264972121</v>
      </c>
      <c r="F1083" s="11">
        <f>'Speed Calc'!B$5*E1083</f>
        <v>-6121.1819384749087</v>
      </c>
      <c r="G1083" s="15">
        <f>'Speed Calc'!G$3+'Speed Calc'!G$5*A1083^2</f>
        <v>20</v>
      </c>
      <c r="H1083" s="7">
        <f>(F1083-G1083)/'Speed Calc'!G$2*9.806</f>
        <v>-44.607725991618487</v>
      </c>
      <c r="I1083" s="4">
        <f t="shared" si="68"/>
        <v>29.083333333333332</v>
      </c>
    </row>
    <row r="1084" spans="1:9" x14ac:dyDescent="0.2">
      <c r="A1084" s="11">
        <v>104.8</v>
      </c>
      <c r="B1084" s="15">
        <v>3.133</v>
      </c>
      <c r="C1084" s="11">
        <f t="shared" si="69"/>
        <v>13581.025522890719</v>
      </c>
      <c r="D1084" s="11">
        <f t="shared" si="66"/>
        <v>-2659.9727887426034</v>
      </c>
      <c r="E1084" s="11">
        <f t="shared" si="67"/>
        <v>-6852.9833297757896</v>
      </c>
      <c r="F1084" s="11">
        <f>'Speed Calc'!B$5*E1084</f>
        <v>-6167.6849967982107</v>
      </c>
      <c r="G1084" s="15">
        <f>'Speed Calc'!G$3+'Speed Calc'!G$5*A1084^2</f>
        <v>20</v>
      </c>
      <c r="H1084" s="7">
        <f>(F1084-G1084)/'Speed Calc'!G$2*9.806</f>
        <v>-44.945510428595</v>
      </c>
      <c r="I1084" s="4">
        <f t="shared" si="68"/>
        <v>29.111111111111111</v>
      </c>
    </row>
    <row r="1085" spans="1:9" x14ac:dyDescent="0.2">
      <c r="A1085" s="11">
        <v>104.9</v>
      </c>
      <c r="B1085" s="15">
        <v>3.133</v>
      </c>
      <c r="C1085" s="11">
        <f t="shared" si="69"/>
        <v>13593.984516710272</v>
      </c>
      <c r="D1085" s="11">
        <f t="shared" si="66"/>
        <v>-2682.6809055159447</v>
      </c>
      <c r="E1085" s="11">
        <f t="shared" si="67"/>
        <v>-6904.8984222050049</v>
      </c>
      <c r="F1085" s="11">
        <f>'Speed Calc'!B$5*E1085</f>
        <v>-6214.4085799845043</v>
      </c>
      <c r="G1085" s="15">
        <f>'Speed Calc'!G$3+'Speed Calc'!G$5*A1085^2</f>
        <v>20</v>
      </c>
      <c r="H1085" s="7">
        <f>(F1085-G1085)/'Speed Calc'!G$2*9.806</f>
        <v>-45.284896692835595</v>
      </c>
      <c r="I1085" s="4">
        <f t="shared" si="68"/>
        <v>29.138888888888889</v>
      </c>
    </row>
    <row r="1086" spans="1:9" x14ac:dyDescent="0.2">
      <c r="A1086" s="11">
        <v>105</v>
      </c>
      <c r="B1086" s="15">
        <v>3.133</v>
      </c>
      <c r="C1086" s="11">
        <f t="shared" si="69"/>
        <v>13606.94351052982</v>
      </c>
      <c r="D1086" s="11">
        <f t="shared" si="66"/>
        <v>-2705.5230568411216</v>
      </c>
      <c r="E1086" s="11">
        <f t="shared" si="67"/>
        <v>-6957.0592890200278</v>
      </c>
      <c r="F1086" s="11">
        <f>'Speed Calc'!B$5*E1086</f>
        <v>-6261.3533601180252</v>
      </c>
      <c r="G1086" s="15">
        <f>'Speed Calc'!G$3+'Speed Calc'!G$5*A1086^2</f>
        <v>20</v>
      </c>
      <c r="H1086" s="7">
        <f>(F1086-G1086)/'Speed Calc'!G$2*9.806</f>
        <v>-45.625889666161001</v>
      </c>
      <c r="I1086" s="4">
        <f t="shared" si="68"/>
        <v>29.166666666666664</v>
      </c>
    </row>
    <row r="1087" spans="1:9" x14ac:dyDescent="0.2">
      <c r="A1087" s="11">
        <v>105.1</v>
      </c>
      <c r="B1087" s="15">
        <v>3.133</v>
      </c>
      <c r="C1087" s="11">
        <f t="shared" si="69"/>
        <v>13619.902504349373</v>
      </c>
      <c r="D1087" s="11">
        <f t="shared" si="66"/>
        <v>-2728.4998069162352</v>
      </c>
      <c r="E1087" s="11">
        <f t="shared" si="67"/>
        <v>-7009.4666780911848</v>
      </c>
      <c r="F1087" s="11">
        <f>'Speed Calc'!B$5*E1087</f>
        <v>-6308.5200102820663</v>
      </c>
      <c r="G1087" s="15">
        <f>'Speed Calc'!G$3+'Speed Calc'!G$5*A1087^2</f>
        <v>20</v>
      </c>
      <c r="H1087" s="7">
        <f>(F1087-G1087)/'Speed Calc'!G$2*9.806</f>
        <v>-45.968494237648841</v>
      </c>
      <c r="I1087" s="4">
        <f t="shared" si="68"/>
        <v>29.194444444444443</v>
      </c>
    </row>
    <row r="1088" spans="1:9" x14ac:dyDescent="0.2">
      <c r="A1088" s="11">
        <v>105.2</v>
      </c>
      <c r="B1088" s="15">
        <v>3.133</v>
      </c>
      <c r="C1088" s="11">
        <f t="shared" si="69"/>
        <v>13632.861498168926</v>
      </c>
      <c r="D1088" s="11">
        <f t="shared" si="66"/>
        <v>-2751.6117214798019</v>
      </c>
      <c r="E1088" s="11">
        <f t="shared" si="67"/>
        <v>-7062.1213383987315</v>
      </c>
      <c r="F1088" s="11">
        <f>'Speed Calc'!B$5*E1088</f>
        <v>-6355.9092045588586</v>
      </c>
      <c r="G1088" s="15">
        <f>'Speed Calc'!G$3+'Speed Calc'!G$5*A1088^2</f>
        <v>20</v>
      </c>
      <c r="H1088" s="7">
        <f>(F1088-G1088)/'Speed Calc'!G$2*9.806</f>
        <v>-46.312715303632714</v>
      </c>
      <c r="I1088" s="4">
        <f t="shared" si="68"/>
        <v>29.222222222222221</v>
      </c>
    </row>
    <row r="1089" spans="1:9" x14ac:dyDescent="0.2">
      <c r="A1089" s="11">
        <v>105.3</v>
      </c>
      <c r="B1089" s="15">
        <v>3.133</v>
      </c>
      <c r="C1089" s="11">
        <f t="shared" si="69"/>
        <v>13645.820491988477</v>
      </c>
      <c r="D1089" s="11">
        <f t="shared" si="66"/>
        <v>-2774.8593678128527</v>
      </c>
      <c r="E1089" s="11">
        <f t="shared" si="67"/>
        <v>-7115.0240200329554</v>
      </c>
      <c r="F1089" s="11">
        <f>'Speed Calc'!B$5*E1089</f>
        <v>-6403.5216180296602</v>
      </c>
      <c r="G1089" s="15">
        <f>'Speed Calc'!G$3+'Speed Calc'!G$5*A1089^2</f>
        <v>20</v>
      </c>
      <c r="H1089" s="7">
        <f>(F1089-G1089)/'Speed Calc'!G$2*9.806</f>
        <v>-46.658557767702845</v>
      </c>
      <c r="I1089" s="4">
        <f t="shared" si="68"/>
        <v>29.25</v>
      </c>
    </row>
    <row r="1090" spans="1:9" x14ac:dyDescent="0.2">
      <c r="A1090" s="11">
        <v>105.4</v>
      </c>
      <c r="B1090" s="15">
        <v>3.133</v>
      </c>
      <c r="C1090" s="11">
        <f t="shared" si="69"/>
        <v>13658.779485808031</v>
      </c>
      <c r="D1090" s="11">
        <f t="shared" si="66"/>
        <v>-2798.2433147409897</v>
      </c>
      <c r="E1090" s="11">
        <f t="shared" si="67"/>
        <v>-7168.1754741941868</v>
      </c>
      <c r="F1090" s="11">
        <f>'Speed Calc'!B$5*E1090</f>
        <v>-6451.3579267747682</v>
      </c>
      <c r="G1090" s="15">
        <f>'Speed Calc'!G$3+'Speed Calc'!G$5*A1090^2</f>
        <v>20</v>
      </c>
      <c r="H1090" s="7">
        <f>(F1090-G1090)/'Speed Calc'!G$2*9.806</f>
        <v>-47.006026540706202</v>
      </c>
      <c r="I1090" s="4">
        <f t="shared" si="68"/>
        <v>29.277777777777779</v>
      </c>
    </row>
    <row r="1091" spans="1:9" x14ac:dyDescent="0.2">
      <c r="A1091" s="11">
        <v>105.5</v>
      </c>
      <c r="B1091" s="15">
        <v>3.133</v>
      </c>
      <c r="C1091" s="11">
        <f t="shared" si="69"/>
        <v>13671.738479627584</v>
      </c>
      <c r="D1091" s="11">
        <f t="shared" si="66"/>
        <v>-2821.7641326364028</v>
      </c>
      <c r="E1091" s="11">
        <f t="shared" si="67"/>
        <v>-7221.5764531926898</v>
      </c>
      <c r="F1091" s="11">
        <f>'Speed Calc'!B$5*E1091</f>
        <v>-6499.4188078734205</v>
      </c>
      <c r="G1091" s="15">
        <f>'Speed Calc'!G$3+'Speed Calc'!G$5*A1091^2</f>
        <v>20</v>
      </c>
      <c r="H1091" s="7">
        <f>(F1091-G1091)/'Speed Calc'!G$2*9.806</f>
        <v>-47.355126540745744</v>
      </c>
      <c r="I1091" s="4">
        <f t="shared" si="68"/>
        <v>29.305555555555554</v>
      </c>
    </row>
    <row r="1092" spans="1:9" x14ac:dyDescent="0.2">
      <c r="A1092" s="11">
        <v>105.6</v>
      </c>
      <c r="B1092" s="15">
        <v>3.133</v>
      </c>
      <c r="C1092" s="11">
        <f t="shared" si="69"/>
        <v>13684.697473447133</v>
      </c>
      <c r="D1092" s="11">
        <f t="shared" si="66"/>
        <v>-2845.4223934199758</v>
      </c>
      <c r="E1092" s="11">
        <f t="shared" si="67"/>
        <v>-7275.2277104488021</v>
      </c>
      <c r="F1092" s="11">
        <f>'Speed Calc'!B$5*E1092</f>
        <v>-6547.7049394039223</v>
      </c>
      <c r="G1092" s="15">
        <f>'Speed Calc'!G$3+'Speed Calc'!G$5*A1092^2</f>
        <v>20</v>
      </c>
      <c r="H1092" s="7">
        <f>(F1092-G1092)/'Speed Calc'!G$2*9.806</f>
        <v>-47.705862693181373</v>
      </c>
      <c r="I1092" s="4">
        <f t="shared" si="68"/>
        <v>29.333333333333332</v>
      </c>
    </row>
    <row r="1093" spans="1:9" x14ac:dyDescent="0.2">
      <c r="A1093" s="11">
        <v>105.7</v>
      </c>
      <c r="B1093" s="15">
        <v>3.133</v>
      </c>
      <c r="C1093" s="11">
        <f t="shared" si="69"/>
        <v>13697.656467266686</v>
      </c>
      <c r="D1093" s="11">
        <f t="shared" si="66"/>
        <v>-2869.2186705633198</v>
      </c>
      <c r="E1093" s="11">
        <f t="shared" si="67"/>
        <v>-7329.1300004928707</v>
      </c>
      <c r="F1093" s="11">
        <f>'Speed Calc'!B$5*E1093</f>
        <v>-6596.2170004435839</v>
      </c>
      <c r="G1093" s="15">
        <f>'Speed Calc'!G$3+'Speed Calc'!G$5*A1093^2</f>
        <v>20</v>
      </c>
      <c r="H1093" s="7">
        <f>(F1093-G1093)/'Speed Calc'!G$2*9.806</f>
        <v>-48.058239930629469</v>
      </c>
      <c r="I1093" s="4">
        <f t="shared" si="68"/>
        <v>29.361111111111111</v>
      </c>
    </row>
    <row r="1094" spans="1:9" x14ac:dyDescent="0.2">
      <c r="A1094" s="11">
        <v>105.8</v>
      </c>
      <c r="B1094" s="15">
        <v>3.133</v>
      </c>
      <c r="C1094" s="11">
        <f t="shared" si="69"/>
        <v>13710.615461086236</v>
      </c>
      <c r="D1094" s="11">
        <f t="shared" si="66"/>
        <v>-2893.1535390908052</v>
      </c>
      <c r="E1094" s="11">
        <f t="shared" si="67"/>
        <v>-7383.2840789651946</v>
      </c>
      <c r="F1094" s="11">
        <f>'Speed Calc'!B$5*E1094</f>
        <v>-6644.9556710686757</v>
      </c>
      <c r="G1094" s="15">
        <f>'Speed Calc'!G$3+'Speed Calc'!G$5*A1094^2</f>
        <v>20</v>
      </c>
      <c r="H1094" s="7">
        <f>(F1094-G1094)/'Speed Calc'!G$2*9.806</f>
        <v>-48.412263192962541</v>
      </c>
      <c r="I1094" s="4">
        <f t="shared" si="68"/>
        <v>29.388888888888886</v>
      </c>
    </row>
    <row r="1095" spans="1:9" x14ac:dyDescent="0.2">
      <c r="A1095" s="11">
        <v>105.9</v>
      </c>
      <c r="B1095" s="15">
        <v>3.133</v>
      </c>
      <c r="C1095" s="11">
        <f t="shared" si="69"/>
        <v>13723.574454905793</v>
      </c>
      <c r="D1095" s="11">
        <f t="shared" si="66"/>
        <v>-2917.2275755816795</v>
      </c>
      <c r="E1095" s="11">
        <f t="shared" si="67"/>
        <v>-7437.6907026161798</v>
      </c>
      <c r="F1095" s="11">
        <f>'Speed Calc'!B$5*E1095</f>
        <v>-6693.9216323545616</v>
      </c>
      <c r="G1095" s="15">
        <f>'Speed Calc'!G$3+'Speed Calc'!G$5*A1095^2</f>
        <v>20</v>
      </c>
      <c r="H1095" s="7">
        <f>(F1095-G1095)/'Speed Calc'!G$2*9.806</f>
        <v>-48.767937427310244</v>
      </c>
      <c r="I1095" s="4">
        <f t="shared" si="68"/>
        <v>29.416666666666668</v>
      </c>
    </row>
    <row r="1096" spans="1:9" x14ac:dyDescent="0.2">
      <c r="A1096" s="11">
        <v>106</v>
      </c>
      <c r="B1096" s="15">
        <v>3.133</v>
      </c>
      <c r="C1096" s="11">
        <f t="shared" si="69"/>
        <v>13736.533448725344</v>
      </c>
      <c r="D1096" s="11">
        <f t="shared" si="66"/>
        <v>-2941.4413581720291</v>
      </c>
      <c r="E1096" s="11">
        <f t="shared" si="67"/>
        <v>-7492.3506293061109</v>
      </c>
      <c r="F1096" s="11">
        <f>'Speed Calc'!B$5*E1096</f>
        <v>-6743.1155663754998</v>
      </c>
      <c r="G1096" s="15">
        <f>'Speed Calc'!G$3+'Speed Calc'!G$5*A1096^2</f>
        <v>20</v>
      </c>
      <c r="H1096" s="7">
        <f>(F1096-G1096)/'Speed Calc'!G$2*9.806</f>
        <v>-49.125267588057888</v>
      </c>
      <c r="I1096" s="4">
        <f t="shared" si="68"/>
        <v>29.444444444444443</v>
      </c>
    </row>
    <row r="1097" spans="1:9" x14ac:dyDescent="0.2">
      <c r="A1097" s="11">
        <v>106.1</v>
      </c>
      <c r="B1097" s="15">
        <v>3.133</v>
      </c>
      <c r="C1097" s="11">
        <f t="shared" si="69"/>
        <v>13749.492442544897</v>
      </c>
      <c r="D1097" s="11">
        <f t="shared" si="66"/>
        <v>-2965.7954665569296</v>
      </c>
      <c r="E1097" s="11">
        <f t="shared" si="67"/>
        <v>-7547.2646180053825</v>
      </c>
      <c r="F1097" s="11">
        <f>'Speed Calc'!B$5*E1097</f>
        <v>-6792.5381562048442</v>
      </c>
      <c r="G1097" s="15">
        <f>'Speed Calc'!G$3+'Speed Calc'!G$5*A1097^2</f>
        <v>20</v>
      </c>
      <c r="H1097" s="7">
        <f>(F1097-G1097)/'Speed Calc'!G$2*9.806</f>
        <v>-49.484258636847926</v>
      </c>
      <c r="I1097" s="4">
        <f t="shared" si="68"/>
        <v>29.472222222222221</v>
      </c>
    </row>
    <row r="1098" spans="1:9" x14ac:dyDescent="0.2">
      <c r="A1098" s="11">
        <v>106.2</v>
      </c>
      <c r="B1098" s="15">
        <v>3.133</v>
      </c>
      <c r="C1098" s="11">
        <f t="shared" si="69"/>
        <v>13762.451436364447</v>
      </c>
      <c r="D1098" s="11">
        <f t="shared" si="66"/>
        <v>-2990.2904819924433</v>
      </c>
      <c r="E1098" s="11">
        <f t="shared" si="67"/>
        <v>-7602.4334287943484</v>
      </c>
      <c r="F1098" s="11">
        <f>'Speed Calc'!B$5*E1098</f>
        <v>-6842.1900859149137</v>
      </c>
      <c r="G1098" s="15">
        <f>'Speed Calc'!G$3+'Speed Calc'!G$5*A1098^2</f>
        <v>20</v>
      </c>
      <c r="H1098" s="7">
        <f>(F1098-G1098)/'Speed Calc'!G$2*9.806</f>
        <v>-49.844915542578988</v>
      </c>
      <c r="I1098" s="4">
        <f t="shared" si="68"/>
        <v>29.5</v>
      </c>
    </row>
    <row r="1099" spans="1:9" x14ac:dyDescent="0.2">
      <c r="A1099" s="11">
        <v>106.3</v>
      </c>
      <c r="B1099" s="15">
        <v>3.133</v>
      </c>
      <c r="C1099" s="11">
        <f t="shared" si="69"/>
        <v>13775.410430184</v>
      </c>
      <c r="D1099" s="11">
        <f t="shared" si="66"/>
        <v>-3014.9269872977065</v>
      </c>
      <c r="E1099" s="11">
        <f t="shared" si="67"/>
        <v>-7657.8578228634115</v>
      </c>
      <c r="F1099" s="11">
        <f>'Speed Calc'!B$5*E1099</f>
        <v>-6892.0720405770708</v>
      </c>
      <c r="G1099" s="15">
        <f>'Speed Calc'!G$3+'Speed Calc'!G$5*A1099^2</f>
        <v>20</v>
      </c>
      <c r="H1099" s="7">
        <f>(F1099-G1099)/'Speed Calc'!G$2*9.806</f>
        <v>-50.207243281406484</v>
      </c>
      <c r="I1099" s="4">
        <f t="shared" si="68"/>
        <v>29.527777777777775</v>
      </c>
    </row>
    <row r="1100" spans="1:9" x14ac:dyDescent="0.2">
      <c r="A1100" s="11">
        <v>106.4</v>
      </c>
      <c r="B1100" s="15">
        <v>3.133</v>
      </c>
      <c r="C1100" s="11">
        <f t="shared" si="69"/>
        <v>13788.369424003555</v>
      </c>
      <c r="D1100" s="11">
        <f t="shared" si="66"/>
        <v>-3039.7055668569687</v>
      </c>
      <c r="E1100" s="11">
        <f t="shared" si="67"/>
        <v>-7713.5385625129838</v>
      </c>
      <c r="F1100" s="11">
        <f>'Speed Calc'!B$5*E1100</f>
        <v>-6942.1847062616853</v>
      </c>
      <c r="G1100" s="15">
        <f>'Speed Calc'!G$3+'Speed Calc'!G$5*A1100^2</f>
        <v>20</v>
      </c>
      <c r="H1100" s="7">
        <f>(F1100-G1100)/'Speed Calc'!G$2*9.806</f>
        <v>-50.571246836742276</v>
      </c>
      <c r="I1100" s="4">
        <f t="shared" si="68"/>
        <v>29.555555555555557</v>
      </c>
    </row>
    <row r="1101" spans="1:9" x14ac:dyDescent="0.2">
      <c r="A1101" s="11">
        <v>106.5</v>
      </c>
      <c r="B1101" s="15">
        <v>3.133</v>
      </c>
      <c r="C1101" s="11">
        <f t="shared" si="69"/>
        <v>13801.328417823106</v>
      </c>
      <c r="D1101" s="11">
        <f t="shared" si="66"/>
        <v>-3064.626806621613</v>
      </c>
      <c r="E1101" s="11">
        <f t="shared" si="67"/>
        <v>-7769.4764111533832</v>
      </c>
      <c r="F1101" s="11">
        <f>'Speed Calc'!B$5*E1101</f>
        <v>-6992.528770038045</v>
      </c>
      <c r="G1101" s="15">
        <f>'Speed Calc'!G$3+'Speed Calc'!G$5*A1101^2</f>
        <v>20</v>
      </c>
      <c r="H1101" s="7">
        <f>(F1101-G1101)/'Speed Calc'!G$2*9.806</f>
        <v>-50.936931199254118</v>
      </c>
      <c r="I1101" s="4">
        <f t="shared" si="68"/>
        <v>29.583333333333332</v>
      </c>
    </row>
    <row r="1102" spans="1:9" x14ac:dyDescent="0.2">
      <c r="A1102" s="11">
        <v>106.6</v>
      </c>
      <c r="B1102" s="15">
        <v>3.133</v>
      </c>
      <c r="C1102" s="11">
        <f t="shared" si="69"/>
        <v>13814.287411642657</v>
      </c>
      <c r="D1102" s="11">
        <f t="shared" si="66"/>
        <v>-3089.6912941122978</v>
      </c>
      <c r="E1102" s="11">
        <f t="shared" si="67"/>
        <v>-7825.67213330507</v>
      </c>
      <c r="F1102" s="11">
        <f>'Speed Calc'!B$5*E1102</f>
        <v>-7043.104919974563</v>
      </c>
      <c r="G1102" s="15">
        <f>'Speed Calc'!G$3+'Speed Calc'!G$5*A1102^2</f>
        <v>20</v>
      </c>
      <c r="H1102" s="7">
        <f>(F1102-G1102)/'Speed Calc'!G$2*9.806</f>
        <v>-51.30430136686708</v>
      </c>
      <c r="I1102" s="4">
        <f t="shared" si="68"/>
        <v>29.611111111111107</v>
      </c>
    </row>
  </sheetData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Traveling Line</vt:lpstr>
      <vt:lpstr>Speed Calc</vt:lpstr>
      <vt:lpstr>ENG Calc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桑野僚大</dc:creator>
  <cp:lastModifiedBy>桑野僚大</cp:lastModifiedBy>
  <dcterms:created xsi:type="dcterms:W3CDTF">2018-11-18T06:32:41Z</dcterms:created>
  <dcterms:modified xsi:type="dcterms:W3CDTF">2018-11-19T05:14:43Z</dcterms:modified>
</cp:coreProperties>
</file>